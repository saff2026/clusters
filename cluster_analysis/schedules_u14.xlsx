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creativeartistsagencygbr.sharepoint.com/sites/NFSIMPLEMENTATIONSAFF/Shared Documents/04 Deliverables WIP/SAFF 2025 Plan/Competitions restructure/Analysis/Schedule Analysis/"/>
    </mc:Choice>
  </mc:AlternateContent>
  <xr:revisionPtr revIDLastSave="10793" documentId="11_8E03C3D55F05E1650D153916ECDF0F8F88E7FE8D" xr6:coauthVersionLast="47" xr6:coauthVersionMax="47" xr10:uidLastSave="{ABB3EAD7-F5F5-443E-BCF2-DD82261B093A}"/>
  <bookViews>
    <workbookView xWindow="19090" yWindow="-110" windowWidth="19420" windowHeight="10300" tabRatio="1000" firstSheet="1" activeTab="2" xr2:uid="{00000000-000D-0000-FFFF-FFFF00000000}"/>
  </bookViews>
  <sheets>
    <sheet name="المدخلات" sheetId="2" r:id="rId1"/>
    <sheet name="المبادئ" sheetId="68" r:id="rId2"/>
    <sheet name="الملخص" sheetId="58" r:id="rId3"/>
    <sheet name="6 فرق" sheetId="3" r:id="rId4"/>
    <sheet name="7 فرق" sheetId="4" r:id="rId5"/>
    <sheet name="8 فرق" sheetId="5" r:id="rId6"/>
    <sheet name="10 فرق" sheetId="7" r:id="rId7"/>
    <sheet name="13 فريقًا" sheetId="10" r:id="rId8"/>
    <sheet name="14 فريقًا" sheetId="11" r:id="rId9"/>
    <sheet name="15 فريقًا" sheetId="12" r:id="rId10"/>
    <sheet name="16 فريقًا" sheetId="13" r:id="rId11"/>
    <sheet name="18 فريقًا" sheetId="15" r:id="rId12"/>
    <sheet name="19 فريقًا" sheetId="16" r:id="rId13"/>
    <sheet name="20 فريقًا" sheetId="17" r:id="rId14"/>
    <sheet name="21 فريقًا" sheetId="18" r:id="rId15"/>
    <sheet name="22 فريقًا" sheetId="19" r:id="rId16"/>
    <sheet name="23 فريقًا" sheetId="20" r:id="rId17"/>
    <sheet name="31 فريقًا" sheetId="28" r:id="rId18"/>
    <sheet name="35 فريقًا" sheetId="32" r:id="rId19"/>
    <sheet name="48 فريقًا" sheetId="45" r:id="rId20"/>
    <sheet name="بيانات الفرق" sheetId="67"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58" l="1"/>
  <c r="G19" i="58"/>
  <c r="H19" i="58" s="1"/>
  <c r="I19" i="58"/>
  <c r="J19" i="58"/>
  <c r="L19" i="58"/>
  <c r="BY3" i="67"/>
  <c r="BZ3" i="67"/>
  <c r="BY4" i="67"/>
  <c r="BZ4" i="67"/>
  <c r="BY5" i="67"/>
  <c r="BZ5" i="67"/>
  <c r="BY6" i="67"/>
  <c r="BZ6" i="67"/>
  <c r="BY7" i="67"/>
  <c r="BZ7" i="67"/>
  <c r="BY8" i="67"/>
  <c r="BZ8" i="67"/>
  <c r="BY9" i="67"/>
  <c r="BZ9" i="67"/>
  <c r="BY10" i="67"/>
  <c r="BZ10" i="67"/>
  <c r="BY11" i="67"/>
  <c r="BZ11" i="67"/>
  <c r="BY12" i="67"/>
  <c r="BZ12" i="67"/>
  <c r="BY13" i="67"/>
  <c r="BZ13" i="67"/>
  <c r="BY14" i="67"/>
  <c r="BZ14" i="67"/>
  <c r="BY15" i="67"/>
  <c r="BZ15" i="67"/>
  <c r="BY16" i="67"/>
  <c r="BZ16" i="67"/>
  <c r="BY17" i="67"/>
  <c r="BZ17" i="67"/>
  <c r="BY18" i="67"/>
  <c r="BZ18" i="67"/>
  <c r="BY19" i="67"/>
  <c r="BZ19" i="67"/>
  <c r="BY20" i="67"/>
  <c r="BZ20" i="67"/>
  <c r="BY21" i="67"/>
  <c r="BZ21" i="67"/>
  <c r="BY22" i="67"/>
  <c r="BZ22" i="67"/>
  <c r="BY23" i="67"/>
  <c r="BZ23" i="67"/>
  <c r="BY24" i="67"/>
  <c r="BZ24" i="67"/>
  <c r="BY25" i="67"/>
  <c r="BZ25" i="67"/>
  <c r="BY26" i="67"/>
  <c r="BZ26" i="67"/>
  <c r="BY27" i="67"/>
  <c r="BZ27" i="67"/>
  <c r="BY28" i="67"/>
  <c r="BZ28" i="67"/>
  <c r="BY29" i="67"/>
  <c r="BZ29" i="67"/>
  <c r="BY30" i="67"/>
  <c r="BZ30" i="67"/>
  <c r="BY31" i="67"/>
  <c r="BZ31" i="67"/>
  <c r="BY32" i="67"/>
  <c r="BZ32" i="67"/>
  <c r="BY33" i="67"/>
  <c r="BZ33" i="67"/>
  <c r="BY34" i="67"/>
  <c r="BZ34" i="67"/>
  <c r="BY35" i="67"/>
  <c r="BZ35" i="67"/>
  <c r="BY36" i="67"/>
  <c r="BZ36" i="67"/>
  <c r="BY37" i="67"/>
  <c r="BZ37" i="67"/>
  <c r="B329" i="32"/>
  <c r="C329" i="32"/>
  <c r="D329" i="32"/>
  <c r="E329" i="32"/>
  <c r="F329" i="32"/>
  <c r="G329" i="32"/>
  <c r="H329" i="32"/>
  <c r="I329" i="32"/>
  <c r="J329" i="32"/>
  <c r="K329" i="32"/>
  <c r="L329" i="32"/>
  <c r="M329" i="32"/>
  <c r="N329" i="32"/>
  <c r="O329" i="32"/>
  <c r="P329" i="32"/>
  <c r="Q329" i="32"/>
  <c r="R329" i="32"/>
  <c r="S329" i="32"/>
  <c r="T329" i="32"/>
  <c r="U329" i="32"/>
  <c r="V329" i="32"/>
  <c r="W329" i="32"/>
  <c r="X329" i="32"/>
  <c r="Y329" i="32"/>
  <c r="Z329" i="32"/>
  <c r="AA329" i="32"/>
  <c r="AB329" i="32"/>
  <c r="AC329" i="32"/>
  <c r="AD329" i="32"/>
  <c r="AE329" i="32"/>
  <c r="AF329" i="32"/>
  <c r="AG329" i="32"/>
  <c r="AH329" i="32"/>
  <c r="AI329" i="32"/>
  <c r="AJ329" i="32"/>
  <c r="B330" i="32"/>
  <c r="C330" i="32"/>
  <c r="D330" i="32"/>
  <c r="E330" i="32"/>
  <c r="F330" i="32"/>
  <c r="G330" i="32"/>
  <c r="H330" i="32"/>
  <c r="I330" i="32"/>
  <c r="J330" i="32"/>
  <c r="K330" i="32"/>
  <c r="L330" i="32"/>
  <c r="M330" i="32"/>
  <c r="N330" i="32"/>
  <c r="O330" i="32"/>
  <c r="P330" i="32"/>
  <c r="Q330" i="32"/>
  <c r="R330" i="32"/>
  <c r="S330" i="32"/>
  <c r="T330" i="32"/>
  <c r="U330" i="32"/>
  <c r="V330" i="32"/>
  <c r="W330" i="32"/>
  <c r="X330" i="32"/>
  <c r="Y330" i="32"/>
  <c r="Z330" i="32"/>
  <c r="AA330" i="32"/>
  <c r="AB330" i="32"/>
  <c r="AC330" i="32"/>
  <c r="AD330" i="32"/>
  <c r="AE330" i="32"/>
  <c r="AF330" i="32"/>
  <c r="AG330" i="32"/>
  <c r="AH330" i="32"/>
  <c r="AI330" i="32"/>
  <c r="AJ330" i="32"/>
  <c r="B331" i="32"/>
  <c r="C331" i="32"/>
  <c r="D331" i="32"/>
  <c r="E331" i="32"/>
  <c r="F331" i="32"/>
  <c r="G331" i="32"/>
  <c r="H331" i="32"/>
  <c r="I331" i="32"/>
  <c r="J331" i="32"/>
  <c r="K331" i="32"/>
  <c r="L331" i="32"/>
  <c r="M331" i="32"/>
  <c r="N331" i="32"/>
  <c r="O331" i="32"/>
  <c r="P331" i="32"/>
  <c r="Q331" i="32"/>
  <c r="R331" i="32"/>
  <c r="S331" i="32"/>
  <c r="T331" i="32"/>
  <c r="U331" i="32"/>
  <c r="V331" i="32"/>
  <c r="W331" i="32"/>
  <c r="X331" i="32"/>
  <c r="Y331" i="32"/>
  <c r="Z331" i="32"/>
  <c r="AA331" i="32"/>
  <c r="AB331" i="32"/>
  <c r="AC331" i="32"/>
  <c r="AD331" i="32"/>
  <c r="AE331" i="32"/>
  <c r="AF331" i="32"/>
  <c r="AG331" i="32"/>
  <c r="AH331" i="32"/>
  <c r="AI331" i="32"/>
  <c r="AJ331" i="32"/>
  <c r="B332" i="32"/>
  <c r="C332" i="32"/>
  <c r="D332" i="32"/>
  <c r="E332" i="32"/>
  <c r="F332" i="32"/>
  <c r="G332" i="32"/>
  <c r="H332" i="32"/>
  <c r="I332" i="32"/>
  <c r="J332" i="32"/>
  <c r="K332" i="32"/>
  <c r="L332" i="32"/>
  <c r="M332" i="32"/>
  <c r="N332" i="32"/>
  <c r="O332" i="32"/>
  <c r="P332" i="32"/>
  <c r="Q332" i="32"/>
  <c r="R332" i="32"/>
  <c r="S332" i="32"/>
  <c r="T332" i="32"/>
  <c r="U332" i="32"/>
  <c r="V332" i="32"/>
  <c r="W332" i="32"/>
  <c r="X332" i="32"/>
  <c r="Y332" i="32"/>
  <c r="Z332" i="32"/>
  <c r="AA332" i="32"/>
  <c r="AB332" i="32"/>
  <c r="AC332" i="32"/>
  <c r="AD332" i="32"/>
  <c r="AE332" i="32"/>
  <c r="AF332" i="32"/>
  <c r="AG332" i="32"/>
  <c r="AH332" i="32"/>
  <c r="AI332" i="32"/>
  <c r="AJ332" i="32"/>
  <c r="B333" i="32"/>
  <c r="C333" i="32"/>
  <c r="D333" i="32"/>
  <c r="E333" i="32"/>
  <c r="F333" i="32"/>
  <c r="G333" i="32"/>
  <c r="H333" i="32"/>
  <c r="I333" i="32"/>
  <c r="J333" i="32"/>
  <c r="K333" i="32"/>
  <c r="L333" i="32"/>
  <c r="M333" i="32"/>
  <c r="N333" i="32"/>
  <c r="O333" i="32"/>
  <c r="P333" i="32"/>
  <c r="Q333" i="32"/>
  <c r="R333" i="32"/>
  <c r="S333" i="32"/>
  <c r="T333" i="32"/>
  <c r="U333" i="32"/>
  <c r="V333" i="32"/>
  <c r="W333" i="32"/>
  <c r="X333" i="32"/>
  <c r="Y333" i="32"/>
  <c r="Z333" i="32"/>
  <c r="AA333" i="32"/>
  <c r="AB333" i="32"/>
  <c r="AC333" i="32"/>
  <c r="AD333" i="32"/>
  <c r="AE333" i="32"/>
  <c r="AF333" i="32"/>
  <c r="AG333" i="32"/>
  <c r="AH333" i="32"/>
  <c r="AI333" i="32"/>
  <c r="AJ333" i="32"/>
  <c r="B334" i="32"/>
  <c r="C334" i="32"/>
  <c r="D334" i="32"/>
  <c r="E334" i="32"/>
  <c r="F334" i="32"/>
  <c r="G334" i="32"/>
  <c r="H334" i="32"/>
  <c r="I334" i="32"/>
  <c r="J334" i="32"/>
  <c r="K334" i="32"/>
  <c r="L334" i="32"/>
  <c r="M334" i="32"/>
  <c r="N334" i="32"/>
  <c r="O334" i="32"/>
  <c r="P334" i="32"/>
  <c r="Q334" i="32"/>
  <c r="R334" i="32"/>
  <c r="S334" i="32"/>
  <c r="T334" i="32"/>
  <c r="U334" i="32"/>
  <c r="V334" i="32"/>
  <c r="W334" i="32"/>
  <c r="X334" i="32"/>
  <c r="Y334" i="32"/>
  <c r="Z334" i="32"/>
  <c r="AA334" i="32"/>
  <c r="AB334" i="32"/>
  <c r="AC334" i="32"/>
  <c r="AD334" i="32"/>
  <c r="AE334" i="32"/>
  <c r="AF334" i="32"/>
  <c r="AG334" i="32"/>
  <c r="AH334" i="32"/>
  <c r="AI334" i="32"/>
  <c r="AJ334" i="32"/>
  <c r="B335" i="32"/>
  <c r="C335" i="32"/>
  <c r="D335" i="32"/>
  <c r="E335" i="32"/>
  <c r="F335" i="32"/>
  <c r="G335" i="32"/>
  <c r="H335" i="32"/>
  <c r="I335" i="32"/>
  <c r="J335" i="32"/>
  <c r="K335" i="32"/>
  <c r="L335" i="32"/>
  <c r="M335" i="32"/>
  <c r="N335" i="32"/>
  <c r="O335" i="32"/>
  <c r="P335" i="32"/>
  <c r="Q335" i="32"/>
  <c r="R335" i="32"/>
  <c r="S335" i="32"/>
  <c r="T335" i="32"/>
  <c r="U335" i="32"/>
  <c r="V335" i="32"/>
  <c r="W335" i="32"/>
  <c r="X335" i="32"/>
  <c r="Y335" i="32"/>
  <c r="Z335" i="32"/>
  <c r="AA335" i="32"/>
  <c r="AB335" i="32"/>
  <c r="AC335" i="32"/>
  <c r="AD335" i="32"/>
  <c r="AE335" i="32"/>
  <c r="AF335" i="32"/>
  <c r="AG335" i="32"/>
  <c r="AH335" i="32"/>
  <c r="AI335" i="32"/>
  <c r="AJ335" i="32"/>
  <c r="B336" i="32"/>
  <c r="C336" i="32"/>
  <c r="D336" i="32"/>
  <c r="E336" i="32"/>
  <c r="F336" i="32"/>
  <c r="G336" i="32"/>
  <c r="H336" i="32"/>
  <c r="I336" i="32"/>
  <c r="J336" i="32"/>
  <c r="K336" i="32"/>
  <c r="L336" i="32"/>
  <c r="M336" i="32"/>
  <c r="N336" i="32"/>
  <c r="O336" i="32"/>
  <c r="P336" i="32"/>
  <c r="Q336" i="32"/>
  <c r="R336" i="32"/>
  <c r="S336" i="32"/>
  <c r="T336" i="32"/>
  <c r="U336" i="32"/>
  <c r="V336" i="32"/>
  <c r="W336" i="32"/>
  <c r="X336" i="32"/>
  <c r="Y336" i="32"/>
  <c r="Z336" i="32"/>
  <c r="AA336" i="32"/>
  <c r="AB336" i="32"/>
  <c r="AC336" i="32"/>
  <c r="AD336" i="32"/>
  <c r="AE336" i="32"/>
  <c r="AF336" i="32"/>
  <c r="AG336" i="32"/>
  <c r="AH336" i="32"/>
  <c r="AI336" i="32"/>
  <c r="AJ336" i="32"/>
  <c r="B337" i="32"/>
  <c r="C337" i="32"/>
  <c r="D337" i="32"/>
  <c r="E337" i="32"/>
  <c r="F337" i="32"/>
  <c r="G337" i="32"/>
  <c r="H337" i="32"/>
  <c r="I337" i="32"/>
  <c r="J337" i="32"/>
  <c r="K337" i="32"/>
  <c r="L337" i="32"/>
  <c r="M337" i="32"/>
  <c r="N337" i="32"/>
  <c r="O337" i="32"/>
  <c r="P337" i="32"/>
  <c r="Q337" i="32"/>
  <c r="R337" i="32"/>
  <c r="S337" i="32"/>
  <c r="T337" i="32"/>
  <c r="U337" i="32"/>
  <c r="V337" i="32"/>
  <c r="W337" i="32"/>
  <c r="X337" i="32"/>
  <c r="Y337" i="32"/>
  <c r="Z337" i="32"/>
  <c r="AA337" i="32"/>
  <c r="AB337" i="32"/>
  <c r="AC337" i="32"/>
  <c r="AD337" i="32"/>
  <c r="AE337" i="32"/>
  <c r="AF337" i="32"/>
  <c r="AG337" i="32"/>
  <c r="AH337" i="32"/>
  <c r="AI337" i="32"/>
  <c r="AJ337" i="32"/>
  <c r="B338" i="32"/>
  <c r="C338" i="32"/>
  <c r="D338" i="32"/>
  <c r="E338" i="32"/>
  <c r="F338" i="32"/>
  <c r="G338" i="32"/>
  <c r="H338" i="32"/>
  <c r="I338" i="32"/>
  <c r="J338" i="32"/>
  <c r="K338" i="32"/>
  <c r="L338" i="32"/>
  <c r="M338" i="32"/>
  <c r="N338" i="32"/>
  <c r="O338" i="32"/>
  <c r="P338" i="32"/>
  <c r="Q338" i="32"/>
  <c r="R338" i="32"/>
  <c r="S338" i="32"/>
  <c r="T338" i="32"/>
  <c r="U338" i="32"/>
  <c r="V338" i="32"/>
  <c r="W338" i="32"/>
  <c r="X338" i="32"/>
  <c r="Y338" i="32"/>
  <c r="Z338" i="32"/>
  <c r="AA338" i="32"/>
  <c r="AB338" i="32"/>
  <c r="AC338" i="32"/>
  <c r="AD338" i="32"/>
  <c r="AE338" i="32"/>
  <c r="AF338" i="32"/>
  <c r="AG338" i="32"/>
  <c r="AH338" i="32"/>
  <c r="AI338" i="32"/>
  <c r="AJ338" i="32"/>
  <c r="B339" i="32"/>
  <c r="C339" i="32"/>
  <c r="D339" i="32"/>
  <c r="E339" i="32"/>
  <c r="F339" i="32"/>
  <c r="G339" i="32"/>
  <c r="H339" i="32"/>
  <c r="I339" i="32"/>
  <c r="J339" i="32"/>
  <c r="K339" i="32"/>
  <c r="L339" i="32"/>
  <c r="M339" i="32"/>
  <c r="N339" i="32"/>
  <c r="O339" i="32"/>
  <c r="P339" i="32"/>
  <c r="Q339" i="32"/>
  <c r="R339" i="32"/>
  <c r="S339" i="32"/>
  <c r="T339" i="32"/>
  <c r="U339" i="32"/>
  <c r="V339" i="32"/>
  <c r="W339" i="32"/>
  <c r="X339" i="32"/>
  <c r="Y339" i="32"/>
  <c r="Z339" i="32"/>
  <c r="AA339" i="32"/>
  <c r="AB339" i="32"/>
  <c r="AC339" i="32"/>
  <c r="AD339" i="32"/>
  <c r="AE339" i="32"/>
  <c r="AF339" i="32"/>
  <c r="AG339" i="32"/>
  <c r="AH339" i="32"/>
  <c r="AI339" i="32"/>
  <c r="AJ339" i="32"/>
  <c r="B340" i="32"/>
  <c r="C340" i="32"/>
  <c r="D340" i="32"/>
  <c r="E340" i="32"/>
  <c r="F340" i="32"/>
  <c r="G340" i="32"/>
  <c r="H340" i="32"/>
  <c r="I340" i="32"/>
  <c r="J340" i="32"/>
  <c r="K340" i="32"/>
  <c r="L340" i="32"/>
  <c r="M340" i="32"/>
  <c r="N340" i="32"/>
  <c r="O340" i="32"/>
  <c r="P340" i="32"/>
  <c r="Q340" i="32"/>
  <c r="R340" i="32"/>
  <c r="S340" i="32"/>
  <c r="T340" i="32"/>
  <c r="U340" i="32"/>
  <c r="V340" i="32"/>
  <c r="W340" i="32"/>
  <c r="X340" i="32"/>
  <c r="Y340" i="32"/>
  <c r="Z340" i="32"/>
  <c r="AA340" i="32"/>
  <c r="AB340" i="32"/>
  <c r="AC340" i="32"/>
  <c r="AD340" i="32"/>
  <c r="AE340" i="32"/>
  <c r="AF340" i="32"/>
  <c r="AG340" i="32"/>
  <c r="AH340" i="32"/>
  <c r="AI340" i="32"/>
  <c r="AJ340" i="32"/>
  <c r="B341" i="32"/>
  <c r="C341" i="32"/>
  <c r="D341" i="32"/>
  <c r="E341" i="32"/>
  <c r="F341" i="32"/>
  <c r="G341" i="32"/>
  <c r="H341" i="32"/>
  <c r="I341" i="32"/>
  <c r="J341" i="32"/>
  <c r="K341" i="32"/>
  <c r="L341" i="32"/>
  <c r="M341" i="32"/>
  <c r="N341" i="32"/>
  <c r="O341" i="32"/>
  <c r="P341" i="32"/>
  <c r="Q341" i="32"/>
  <c r="R341" i="32"/>
  <c r="S341" i="32"/>
  <c r="T341" i="32"/>
  <c r="U341" i="32"/>
  <c r="V341" i="32"/>
  <c r="W341" i="32"/>
  <c r="X341" i="32"/>
  <c r="Y341" i="32"/>
  <c r="Z341" i="32"/>
  <c r="AA341" i="32"/>
  <c r="AB341" i="32"/>
  <c r="AC341" i="32"/>
  <c r="AD341" i="32"/>
  <c r="AE341" i="32"/>
  <c r="AF341" i="32"/>
  <c r="AG341" i="32"/>
  <c r="AH341" i="32"/>
  <c r="AI341" i="32"/>
  <c r="AJ341" i="32"/>
  <c r="B342" i="32"/>
  <c r="C342" i="32"/>
  <c r="D342" i="32"/>
  <c r="E342" i="32"/>
  <c r="F342" i="32"/>
  <c r="G342" i="32"/>
  <c r="H342" i="32"/>
  <c r="I342" i="32"/>
  <c r="J342" i="32"/>
  <c r="K342" i="32"/>
  <c r="L342" i="32"/>
  <c r="M342" i="32"/>
  <c r="N342" i="32"/>
  <c r="O342" i="32"/>
  <c r="P342" i="32"/>
  <c r="Q342" i="32"/>
  <c r="R342" i="32"/>
  <c r="S342" i="32"/>
  <c r="T342" i="32"/>
  <c r="U342" i="32"/>
  <c r="V342" i="32"/>
  <c r="W342" i="32"/>
  <c r="X342" i="32"/>
  <c r="Y342" i="32"/>
  <c r="Z342" i="32"/>
  <c r="AA342" i="32"/>
  <c r="AB342" i="32"/>
  <c r="AC342" i="32"/>
  <c r="AD342" i="32"/>
  <c r="AE342" i="32"/>
  <c r="AF342" i="32"/>
  <c r="AG342" i="32"/>
  <c r="AH342" i="32"/>
  <c r="AI342" i="32"/>
  <c r="AJ342" i="32"/>
  <c r="B343" i="32"/>
  <c r="C343" i="32"/>
  <c r="D343" i="32"/>
  <c r="E343" i="32"/>
  <c r="F343" i="32"/>
  <c r="G343" i="32"/>
  <c r="H343" i="32"/>
  <c r="I343" i="32"/>
  <c r="J343" i="32"/>
  <c r="K343" i="32"/>
  <c r="L343" i="32"/>
  <c r="M343" i="32"/>
  <c r="N343" i="32"/>
  <c r="O343" i="32"/>
  <c r="P343" i="32"/>
  <c r="Q343" i="32"/>
  <c r="R343" i="32"/>
  <c r="S343" i="32"/>
  <c r="T343" i="32"/>
  <c r="U343" i="32"/>
  <c r="V343" i="32"/>
  <c r="W343" i="32"/>
  <c r="X343" i="32"/>
  <c r="Y343" i="32"/>
  <c r="Z343" i="32"/>
  <c r="AA343" i="32"/>
  <c r="AB343" i="32"/>
  <c r="AC343" i="32"/>
  <c r="AD343" i="32"/>
  <c r="AE343" i="32"/>
  <c r="AF343" i="32"/>
  <c r="AG343" i="32"/>
  <c r="AH343" i="32"/>
  <c r="AI343" i="32"/>
  <c r="AJ343" i="32"/>
  <c r="B344" i="32"/>
  <c r="C344" i="32"/>
  <c r="D344" i="32"/>
  <c r="E344" i="32"/>
  <c r="F344" i="32"/>
  <c r="G344" i="32"/>
  <c r="H344" i="32"/>
  <c r="I344" i="32"/>
  <c r="J344" i="32"/>
  <c r="K344" i="32"/>
  <c r="L344" i="32"/>
  <c r="M344" i="32"/>
  <c r="N344" i="32"/>
  <c r="O344" i="32"/>
  <c r="P344" i="32"/>
  <c r="Q344" i="32"/>
  <c r="R344" i="32"/>
  <c r="S344" i="32"/>
  <c r="T344" i="32"/>
  <c r="U344" i="32"/>
  <c r="V344" i="32"/>
  <c r="W344" i="32"/>
  <c r="X344" i="32"/>
  <c r="Y344" i="32"/>
  <c r="Z344" i="32"/>
  <c r="AA344" i="32"/>
  <c r="AB344" i="32"/>
  <c r="AC344" i="32"/>
  <c r="AD344" i="32"/>
  <c r="AE344" i="32"/>
  <c r="AF344" i="32"/>
  <c r="AG344" i="32"/>
  <c r="AH344" i="32"/>
  <c r="AI344" i="32"/>
  <c r="AJ344" i="32"/>
  <c r="B346" i="32"/>
  <c r="C346" i="32"/>
  <c r="D346" i="32"/>
  <c r="E346" i="32"/>
  <c r="F346" i="32"/>
  <c r="G346" i="32"/>
  <c r="H346" i="32"/>
  <c r="I346" i="32"/>
  <c r="J346" i="32"/>
  <c r="K346" i="32"/>
  <c r="L346" i="32"/>
  <c r="M346" i="32"/>
  <c r="N346" i="32"/>
  <c r="O346" i="32"/>
  <c r="P346" i="32"/>
  <c r="Q346" i="32"/>
  <c r="R346" i="32"/>
  <c r="S346" i="32"/>
  <c r="T346" i="32"/>
  <c r="U346" i="32"/>
  <c r="V346" i="32"/>
  <c r="W346" i="32"/>
  <c r="X346" i="32"/>
  <c r="Y346" i="32"/>
  <c r="Z346" i="32"/>
  <c r="AA346" i="32"/>
  <c r="AB346" i="32"/>
  <c r="AC346" i="32"/>
  <c r="AD346" i="32"/>
  <c r="AE346" i="32"/>
  <c r="AF346" i="32"/>
  <c r="AG346" i="32"/>
  <c r="AH346" i="32"/>
  <c r="AI346" i="32"/>
  <c r="AJ346" i="32"/>
  <c r="B347" i="32"/>
  <c r="C347" i="32"/>
  <c r="D347" i="32"/>
  <c r="E347" i="32"/>
  <c r="F347" i="32"/>
  <c r="G347" i="32"/>
  <c r="H347" i="32"/>
  <c r="I347" i="32"/>
  <c r="J347" i="32"/>
  <c r="K347" i="32"/>
  <c r="L347" i="32"/>
  <c r="M347" i="32"/>
  <c r="N347" i="32"/>
  <c r="O347" i="32"/>
  <c r="P347" i="32"/>
  <c r="Q347" i="32"/>
  <c r="R347" i="32"/>
  <c r="S347" i="32"/>
  <c r="T347" i="32"/>
  <c r="U347" i="32"/>
  <c r="V347" i="32"/>
  <c r="W347" i="32"/>
  <c r="X347" i="32"/>
  <c r="Y347" i="32"/>
  <c r="Z347" i="32"/>
  <c r="AA347" i="32"/>
  <c r="AB347" i="32"/>
  <c r="AC347" i="32"/>
  <c r="AD347" i="32"/>
  <c r="AE347" i="32"/>
  <c r="AF347" i="32"/>
  <c r="AG347" i="32"/>
  <c r="AH347" i="32"/>
  <c r="AI347" i="32"/>
  <c r="AJ347" i="32"/>
  <c r="B348" i="32"/>
  <c r="C348" i="32"/>
  <c r="D348" i="32"/>
  <c r="E348" i="32"/>
  <c r="F348" i="32"/>
  <c r="G348" i="32"/>
  <c r="H348" i="32"/>
  <c r="I348" i="32"/>
  <c r="J348" i="32"/>
  <c r="K348" i="32"/>
  <c r="L348" i="32"/>
  <c r="M348" i="32"/>
  <c r="N348" i="32"/>
  <c r="O348" i="32"/>
  <c r="P348" i="32"/>
  <c r="Q348" i="32"/>
  <c r="R348" i="32"/>
  <c r="S348" i="32"/>
  <c r="T348" i="32"/>
  <c r="U348" i="32"/>
  <c r="V348" i="32"/>
  <c r="W348" i="32"/>
  <c r="X348" i="32"/>
  <c r="Y348" i="32"/>
  <c r="Z348" i="32"/>
  <c r="AA348" i="32"/>
  <c r="AB348" i="32"/>
  <c r="AC348" i="32"/>
  <c r="AD348" i="32"/>
  <c r="AE348" i="32"/>
  <c r="AF348" i="32"/>
  <c r="AG348" i="32"/>
  <c r="AH348" i="32"/>
  <c r="AI348" i="32"/>
  <c r="AJ348" i="32"/>
  <c r="B349" i="32"/>
  <c r="C349" i="32"/>
  <c r="D349" i="32"/>
  <c r="E349" i="32"/>
  <c r="F349" i="32"/>
  <c r="G349" i="32"/>
  <c r="H349" i="32"/>
  <c r="I349" i="32"/>
  <c r="J349" i="32"/>
  <c r="K349" i="32"/>
  <c r="L349" i="32"/>
  <c r="M349" i="32"/>
  <c r="N349" i="32"/>
  <c r="O349" i="32"/>
  <c r="P349" i="32"/>
  <c r="Q349" i="32"/>
  <c r="R349" i="32"/>
  <c r="S349" i="32"/>
  <c r="T349" i="32"/>
  <c r="U349" i="32"/>
  <c r="V349" i="32"/>
  <c r="W349" i="32"/>
  <c r="X349" i="32"/>
  <c r="Y349" i="32"/>
  <c r="Z349" i="32"/>
  <c r="AA349" i="32"/>
  <c r="AB349" i="32"/>
  <c r="AC349" i="32"/>
  <c r="AD349" i="32"/>
  <c r="AE349" i="32"/>
  <c r="AF349" i="32"/>
  <c r="AG349" i="32"/>
  <c r="AH349" i="32"/>
  <c r="AI349" i="32"/>
  <c r="AJ349" i="32"/>
  <c r="B350" i="32"/>
  <c r="C350" i="32"/>
  <c r="D350" i="32"/>
  <c r="E350" i="32"/>
  <c r="F350" i="32"/>
  <c r="G350" i="32"/>
  <c r="H350" i="32"/>
  <c r="I350" i="32"/>
  <c r="J350" i="32"/>
  <c r="K350" i="32"/>
  <c r="L350" i="32"/>
  <c r="M350" i="32"/>
  <c r="N350" i="32"/>
  <c r="O350" i="32"/>
  <c r="P350" i="32"/>
  <c r="Q350" i="32"/>
  <c r="R350" i="32"/>
  <c r="S350" i="32"/>
  <c r="T350" i="32"/>
  <c r="U350" i="32"/>
  <c r="V350" i="32"/>
  <c r="W350" i="32"/>
  <c r="X350" i="32"/>
  <c r="Y350" i="32"/>
  <c r="Z350" i="32"/>
  <c r="AA350" i="32"/>
  <c r="AB350" i="32"/>
  <c r="AC350" i="32"/>
  <c r="AD350" i="32"/>
  <c r="AE350" i="32"/>
  <c r="AF350" i="32"/>
  <c r="AG350" i="32"/>
  <c r="AH350" i="32"/>
  <c r="AI350" i="32"/>
  <c r="AJ350" i="32"/>
  <c r="B351" i="32"/>
  <c r="C351" i="32"/>
  <c r="D351" i="32"/>
  <c r="E351" i="32"/>
  <c r="F351" i="32"/>
  <c r="G351" i="32"/>
  <c r="H351" i="32"/>
  <c r="I351" i="32"/>
  <c r="J351" i="32"/>
  <c r="K351" i="32"/>
  <c r="L351" i="32"/>
  <c r="M351" i="32"/>
  <c r="N351" i="32"/>
  <c r="O351" i="32"/>
  <c r="P351" i="32"/>
  <c r="Q351" i="32"/>
  <c r="R351" i="32"/>
  <c r="S351" i="32"/>
  <c r="T351" i="32"/>
  <c r="U351" i="32"/>
  <c r="V351" i="32"/>
  <c r="W351" i="32"/>
  <c r="X351" i="32"/>
  <c r="Y351" i="32"/>
  <c r="Z351" i="32"/>
  <c r="AA351" i="32"/>
  <c r="AB351" i="32"/>
  <c r="AC351" i="32"/>
  <c r="AD351" i="32"/>
  <c r="AE351" i="32"/>
  <c r="AF351" i="32"/>
  <c r="AG351" i="32"/>
  <c r="AH351" i="32"/>
  <c r="AI351" i="32"/>
  <c r="AJ351" i="32"/>
  <c r="B352" i="32"/>
  <c r="C352" i="32"/>
  <c r="D352" i="32"/>
  <c r="E352" i="32"/>
  <c r="F352" i="32"/>
  <c r="G352" i="32"/>
  <c r="H352" i="32"/>
  <c r="I352" i="32"/>
  <c r="J352" i="32"/>
  <c r="K352" i="32"/>
  <c r="L352" i="32"/>
  <c r="M352" i="32"/>
  <c r="N352" i="32"/>
  <c r="O352" i="32"/>
  <c r="P352" i="32"/>
  <c r="Q352" i="32"/>
  <c r="R352" i="32"/>
  <c r="S352" i="32"/>
  <c r="T352" i="32"/>
  <c r="U352" i="32"/>
  <c r="V352" i="32"/>
  <c r="W352" i="32"/>
  <c r="X352" i="32"/>
  <c r="Y352" i="32"/>
  <c r="Z352" i="32"/>
  <c r="AA352" i="32"/>
  <c r="AB352" i="32"/>
  <c r="AC352" i="32"/>
  <c r="AD352" i="32"/>
  <c r="AE352" i="32"/>
  <c r="AF352" i="32"/>
  <c r="AG352" i="32"/>
  <c r="AH352" i="32"/>
  <c r="AI352" i="32"/>
  <c r="AJ352" i="32"/>
  <c r="B353" i="32"/>
  <c r="C353" i="32"/>
  <c r="D353" i="32"/>
  <c r="E353" i="32"/>
  <c r="F353" i="32"/>
  <c r="G353" i="32"/>
  <c r="H353" i="32"/>
  <c r="I353" i="32"/>
  <c r="J353" i="32"/>
  <c r="K353" i="32"/>
  <c r="L353" i="32"/>
  <c r="M353" i="32"/>
  <c r="N353" i="32"/>
  <c r="O353" i="32"/>
  <c r="P353" i="32"/>
  <c r="Q353" i="32"/>
  <c r="R353" i="32"/>
  <c r="S353" i="32"/>
  <c r="T353" i="32"/>
  <c r="U353" i="32"/>
  <c r="V353" i="32"/>
  <c r="W353" i="32"/>
  <c r="X353" i="32"/>
  <c r="Y353" i="32"/>
  <c r="Z353" i="32"/>
  <c r="AA353" i="32"/>
  <c r="AB353" i="32"/>
  <c r="AC353" i="32"/>
  <c r="AD353" i="32"/>
  <c r="AE353" i="32"/>
  <c r="AF353" i="32"/>
  <c r="AG353" i="32"/>
  <c r="AH353" i="32"/>
  <c r="AI353" i="32"/>
  <c r="AJ353" i="32"/>
  <c r="B354" i="32"/>
  <c r="C354" i="32"/>
  <c r="D354" i="32"/>
  <c r="E354" i="32"/>
  <c r="F354" i="32"/>
  <c r="G354" i="32"/>
  <c r="H354" i="32"/>
  <c r="I354" i="32"/>
  <c r="J354" i="32"/>
  <c r="K354" i="32"/>
  <c r="L354" i="32"/>
  <c r="M354" i="32"/>
  <c r="N354" i="32"/>
  <c r="O354" i="32"/>
  <c r="P354" i="32"/>
  <c r="Q354" i="32"/>
  <c r="R354" i="32"/>
  <c r="S354" i="32"/>
  <c r="T354" i="32"/>
  <c r="U354" i="32"/>
  <c r="V354" i="32"/>
  <c r="W354" i="32"/>
  <c r="X354" i="32"/>
  <c r="Y354" i="32"/>
  <c r="Z354" i="32"/>
  <c r="AA354" i="32"/>
  <c r="AB354" i="32"/>
  <c r="AC354" i="32"/>
  <c r="AD354" i="32"/>
  <c r="AE354" i="32"/>
  <c r="AF354" i="32"/>
  <c r="AG354" i="32"/>
  <c r="AH354" i="32"/>
  <c r="AI354" i="32"/>
  <c r="AJ354" i="32"/>
  <c r="B355" i="32"/>
  <c r="C355" i="32"/>
  <c r="D355" i="32"/>
  <c r="E355" i="32"/>
  <c r="F355" i="32"/>
  <c r="G355" i="32"/>
  <c r="H355" i="32"/>
  <c r="I355" i="32"/>
  <c r="J355" i="32"/>
  <c r="K355" i="32"/>
  <c r="L355" i="32"/>
  <c r="M355" i="32"/>
  <c r="N355" i="32"/>
  <c r="O355" i="32"/>
  <c r="P355" i="32"/>
  <c r="Q355" i="32"/>
  <c r="R355" i="32"/>
  <c r="S355" i="32"/>
  <c r="T355" i="32"/>
  <c r="U355" i="32"/>
  <c r="V355" i="32"/>
  <c r="W355" i="32"/>
  <c r="X355" i="32"/>
  <c r="Y355" i="32"/>
  <c r="Z355" i="32"/>
  <c r="AA355" i="32"/>
  <c r="AB355" i="32"/>
  <c r="AC355" i="32"/>
  <c r="AD355" i="32"/>
  <c r="AE355" i="32"/>
  <c r="AF355" i="32"/>
  <c r="AG355" i="32"/>
  <c r="AH355" i="32"/>
  <c r="AI355" i="32"/>
  <c r="AJ355" i="32"/>
  <c r="B356" i="32"/>
  <c r="C356" i="32"/>
  <c r="D356" i="32"/>
  <c r="E356" i="32"/>
  <c r="F356" i="32"/>
  <c r="G356" i="32"/>
  <c r="H356" i="32"/>
  <c r="I356" i="32"/>
  <c r="J356" i="32"/>
  <c r="K356" i="32"/>
  <c r="L356" i="32"/>
  <c r="M356" i="32"/>
  <c r="N356" i="32"/>
  <c r="O356" i="32"/>
  <c r="P356" i="32"/>
  <c r="Q356" i="32"/>
  <c r="R356" i="32"/>
  <c r="S356" i="32"/>
  <c r="T356" i="32"/>
  <c r="U356" i="32"/>
  <c r="V356" i="32"/>
  <c r="W356" i="32"/>
  <c r="X356" i="32"/>
  <c r="Y356" i="32"/>
  <c r="Z356" i="32"/>
  <c r="AA356" i="32"/>
  <c r="AB356" i="32"/>
  <c r="AC356" i="32"/>
  <c r="AD356" i="32"/>
  <c r="AE356" i="32"/>
  <c r="AF356" i="32"/>
  <c r="AG356" i="32"/>
  <c r="AH356" i="32"/>
  <c r="AI356" i="32"/>
  <c r="AJ356" i="32"/>
  <c r="B357" i="32"/>
  <c r="C357" i="32"/>
  <c r="D357" i="32"/>
  <c r="E357" i="32"/>
  <c r="F357" i="32"/>
  <c r="G357" i="32"/>
  <c r="H357" i="32"/>
  <c r="I357" i="32"/>
  <c r="J357" i="32"/>
  <c r="K357" i="32"/>
  <c r="L357" i="32"/>
  <c r="M357" i="32"/>
  <c r="N357" i="32"/>
  <c r="O357" i="32"/>
  <c r="P357" i="32"/>
  <c r="Q357" i="32"/>
  <c r="R357" i="32"/>
  <c r="S357" i="32"/>
  <c r="T357" i="32"/>
  <c r="U357" i="32"/>
  <c r="V357" i="32"/>
  <c r="W357" i="32"/>
  <c r="X357" i="32"/>
  <c r="Y357" i="32"/>
  <c r="Z357" i="32"/>
  <c r="AA357" i="32"/>
  <c r="AB357" i="32"/>
  <c r="AC357" i="32"/>
  <c r="AD357" i="32"/>
  <c r="AE357" i="32"/>
  <c r="AF357" i="32"/>
  <c r="AG357" i="32"/>
  <c r="AH357" i="32"/>
  <c r="AI357" i="32"/>
  <c r="AJ357" i="32"/>
  <c r="B358" i="32"/>
  <c r="C358" i="32"/>
  <c r="D358" i="32"/>
  <c r="E358" i="32"/>
  <c r="F358" i="32"/>
  <c r="G358" i="32"/>
  <c r="H358" i="32"/>
  <c r="I358" i="32"/>
  <c r="J358" i="32"/>
  <c r="K358" i="32"/>
  <c r="L358" i="32"/>
  <c r="M358" i="32"/>
  <c r="N358" i="32"/>
  <c r="O358" i="32"/>
  <c r="P358" i="32"/>
  <c r="Q358" i="32"/>
  <c r="R358" i="32"/>
  <c r="S358" i="32"/>
  <c r="T358" i="32"/>
  <c r="U358" i="32"/>
  <c r="V358" i="32"/>
  <c r="W358" i="32"/>
  <c r="X358" i="32"/>
  <c r="Y358" i="32"/>
  <c r="Z358" i="32"/>
  <c r="AA358" i="32"/>
  <c r="AB358" i="32"/>
  <c r="AC358" i="32"/>
  <c r="AD358" i="32"/>
  <c r="AE358" i="32"/>
  <c r="AF358" i="32"/>
  <c r="AG358" i="32"/>
  <c r="AH358" i="32"/>
  <c r="AI358" i="32"/>
  <c r="AJ358" i="32"/>
  <c r="B359" i="32"/>
  <c r="C359" i="32"/>
  <c r="D359" i="32"/>
  <c r="E359" i="32"/>
  <c r="F359" i="32"/>
  <c r="G359" i="32"/>
  <c r="H359" i="32"/>
  <c r="I359" i="32"/>
  <c r="J359" i="32"/>
  <c r="K359" i="32"/>
  <c r="L359" i="32"/>
  <c r="M359" i="32"/>
  <c r="N359" i="32"/>
  <c r="O359" i="32"/>
  <c r="P359" i="32"/>
  <c r="Q359" i="32"/>
  <c r="R359" i="32"/>
  <c r="S359" i="32"/>
  <c r="T359" i="32"/>
  <c r="U359" i="32"/>
  <c r="V359" i="32"/>
  <c r="W359" i="32"/>
  <c r="X359" i="32"/>
  <c r="Y359" i="32"/>
  <c r="Z359" i="32"/>
  <c r="AA359" i="32"/>
  <c r="AB359" i="32"/>
  <c r="AC359" i="32"/>
  <c r="AD359" i="32"/>
  <c r="AE359" i="32"/>
  <c r="AF359" i="32"/>
  <c r="AG359" i="32"/>
  <c r="AH359" i="32"/>
  <c r="AI359" i="32"/>
  <c r="AJ359" i="32"/>
  <c r="B360" i="32"/>
  <c r="C360" i="32"/>
  <c r="D360" i="32"/>
  <c r="E360" i="32"/>
  <c r="F360" i="32"/>
  <c r="G360" i="32"/>
  <c r="H360" i="32"/>
  <c r="I360" i="32"/>
  <c r="J360" i="32"/>
  <c r="K360" i="32"/>
  <c r="L360" i="32"/>
  <c r="M360" i="32"/>
  <c r="N360" i="32"/>
  <c r="O360" i="32"/>
  <c r="P360" i="32"/>
  <c r="Q360" i="32"/>
  <c r="R360" i="32"/>
  <c r="S360" i="32"/>
  <c r="T360" i="32"/>
  <c r="U360" i="32"/>
  <c r="V360" i="32"/>
  <c r="W360" i="32"/>
  <c r="X360" i="32"/>
  <c r="Y360" i="32"/>
  <c r="Z360" i="32"/>
  <c r="AA360" i="32"/>
  <c r="AB360" i="32"/>
  <c r="AC360" i="32"/>
  <c r="AD360" i="32"/>
  <c r="AE360" i="32"/>
  <c r="AF360" i="32"/>
  <c r="AG360" i="32"/>
  <c r="AH360" i="32"/>
  <c r="AI360" i="32"/>
  <c r="AJ360" i="32"/>
  <c r="B361" i="32"/>
  <c r="C361" i="32"/>
  <c r="D361" i="32"/>
  <c r="E361" i="32"/>
  <c r="F361" i="32"/>
  <c r="G361" i="32"/>
  <c r="H361" i="32"/>
  <c r="I361" i="32"/>
  <c r="J361" i="32"/>
  <c r="K361" i="32"/>
  <c r="L361" i="32"/>
  <c r="M361" i="32"/>
  <c r="N361" i="32"/>
  <c r="O361" i="32"/>
  <c r="P361" i="32"/>
  <c r="Q361" i="32"/>
  <c r="R361" i="32"/>
  <c r="S361" i="32"/>
  <c r="T361" i="32"/>
  <c r="U361" i="32"/>
  <c r="V361" i="32"/>
  <c r="W361" i="32"/>
  <c r="X361" i="32"/>
  <c r="Y361" i="32"/>
  <c r="Z361" i="32"/>
  <c r="AA361" i="32"/>
  <c r="AB361" i="32"/>
  <c r="AC361" i="32"/>
  <c r="AD361" i="32"/>
  <c r="AE361" i="32"/>
  <c r="AF361" i="32"/>
  <c r="AG361" i="32"/>
  <c r="AH361" i="32"/>
  <c r="AI361" i="32"/>
  <c r="AJ361" i="32"/>
  <c r="B362" i="32"/>
  <c r="C362" i="32"/>
  <c r="D362" i="32"/>
  <c r="E362" i="32"/>
  <c r="F362" i="32"/>
  <c r="G362" i="32"/>
  <c r="H362" i="32"/>
  <c r="I362" i="32"/>
  <c r="J362" i="32"/>
  <c r="K362" i="32"/>
  <c r="L362" i="32"/>
  <c r="M362" i="32"/>
  <c r="N362" i="32"/>
  <c r="O362" i="32"/>
  <c r="P362" i="32"/>
  <c r="Q362" i="32"/>
  <c r="R362" i="32"/>
  <c r="S362" i="32"/>
  <c r="T362" i="32"/>
  <c r="U362" i="32"/>
  <c r="V362" i="32"/>
  <c r="W362" i="32"/>
  <c r="X362" i="32"/>
  <c r="Y362" i="32"/>
  <c r="Z362" i="32"/>
  <c r="AA362" i="32"/>
  <c r="AB362" i="32"/>
  <c r="AC362" i="32"/>
  <c r="AD362" i="32"/>
  <c r="AE362" i="32"/>
  <c r="AF362" i="32"/>
  <c r="AG362" i="32"/>
  <c r="AH362" i="32"/>
  <c r="AI362" i="32"/>
  <c r="AJ362" i="32"/>
  <c r="B363" i="32"/>
  <c r="C363" i="32"/>
  <c r="D363" i="32"/>
  <c r="E363" i="32"/>
  <c r="F363" i="32"/>
  <c r="G363" i="32"/>
  <c r="H363" i="32"/>
  <c r="I363" i="32"/>
  <c r="J363" i="32"/>
  <c r="K363" i="32"/>
  <c r="L363" i="32"/>
  <c r="M363" i="32"/>
  <c r="N363" i="32"/>
  <c r="O363" i="32"/>
  <c r="P363" i="32"/>
  <c r="Q363" i="32"/>
  <c r="R363" i="32"/>
  <c r="S363" i="32"/>
  <c r="T363" i="32"/>
  <c r="U363" i="32"/>
  <c r="V363" i="32"/>
  <c r="W363" i="32"/>
  <c r="X363" i="32"/>
  <c r="Y363" i="32"/>
  <c r="Z363" i="32"/>
  <c r="AA363" i="32"/>
  <c r="AB363" i="32"/>
  <c r="AC363" i="32"/>
  <c r="AD363" i="32"/>
  <c r="AE363" i="32"/>
  <c r="AF363" i="32"/>
  <c r="AG363" i="32"/>
  <c r="AH363" i="32"/>
  <c r="AI363" i="32"/>
  <c r="AJ363" i="32"/>
  <c r="B526" i="45"/>
  <c r="C526" i="45"/>
  <c r="D526" i="45"/>
  <c r="E526" i="45"/>
  <c r="F526" i="45"/>
  <c r="G526" i="45"/>
  <c r="H526" i="45"/>
  <c r="I526" i="45"/>
  <c r="J526" i="45"/>
  <c r="K526" i="45"/>
  <c r="L526" i="45"/>
  <c r="M526" i="45"/>
  <c r="N526" i="45"/>
  <c r="O526" i="45"/>
  <c r="P526" i="45"/>
  <c r="Q526" i="45"/>
  <c r="R526" i="45"/>
  <c r="S526" i="45"/>
  <c r="T526" i="45"/>
  <c r="U526" i="45"/>
  <c r="V526" i="45"/>
  <c r="W526" i="45"/>
  <c r="X526" i="45"/>
  <c r="Y526" i="45"/>
  <c r="Z526" i="45"/>
  <c r="AA526" i="45"/>
  <c r="AB526" i="45"/>
  <c r="AC526" i="45"/>
  <c r="AD526" i="45"/>
  <c r="AE526" i="45"/>
  <c r="AF526" i="45"/>
  <c r="AG526" i="45"/>
  <c r="AH526" i="45"/>
  <c r="AI526" i="45"/>
  <c r="AJ526" i="45"/>
  <c r="AK526" i="45"/>
  <c r="AL526" i="45"/>
  <c r="AM526" i="45"/>
  <c r="AN526" i="45"/>
  <c r="AO526" i="45"/>
  <c r="AP526" i="45"/>
  <c r="AQ526" i="45"/>
  <c r="AR526" i="45"/>
  <c r="AS526" i="45"/>
  <c r="AT526" i="45"/>
  <c r="AU526" i="45"/>
  <c r="AV526" i="45"/>
  <c r="AW526" i="45"/>
  <c r="B527" i="45"/>
  <c r="C527" i="45"/>
  <c r="D527" i="45"/>
  <c r="E527" i="45"/>
  <c r="F527" i="45"/>
  <c r="G527" i="45"/>
  <c r="H527" i="45"/>
  <c r="I527" i="45"/>
  <c r="J527" i="45"/>
  <c r="K527" i="45"/>
  <c r="L527" i="45"/>
  <c r="M527" i="45"/>
  <c r="N527" i="45"/>
  <c r="O527" i="45"/>
  <c r="P527" i="45"/>
  <c r="Q527" i="45"/>
  <c r="R527" i="45"/>
  <c r="S527" i="45"/>
  <c r="T527" i="45"/>
  <c r="U527" i="45"/>
  <c r="V527" i="45"/>
  <c r="W527" i="45"/>
  <c r="X527" i="45"/>
  <c r="Y527" i="45"/>
  <c r="Z527" i="45"/>
  <c r="AA527" i="45"/>
  <c r="AB527" i="45"/>
  <c r="AC527" i="45"/>
  <c r="AD527" i="45"/>
  <c r="AE527" i="45"/>
  <c r="AF527" i="45"/>
  <c r="AG527" i="45"/>
  <c r="AH527" i="45"/>
  <c r="AI527" i="45"/>
  <c r="AJ527" i="45"/>
  <c r="AK527" i="45"/>
  <c r="AL527" i="45"/>
  <c r="AM527" i="45"/>
  <c r="AN527" i="45"/>
  <c r="AO527" i="45"/>
  <c r="AP527" i="45"/>
  <c r="AQ527" i="45"/>
  <c r="AR527" i="45"/>
  <c r="AS527" i="45"/>
  <c r="AT527" i="45"/>
  <c r="AU527" i="45"/>
  <c r="AV527" i="45"/>
  <c r="AW527" i="45"/>
  <c r="B528" i="45"/>
  <c r="C528" i="45"/>
  <c r="D528" i="45"/>
  <c r="E528" i="45"/>
  <c r="F528" i="45"/>
  <c r="G528" i="45"/>
  <c r="H528" i="45"/>
  <c r="I528" i="45"/>
  <c r="J528" i="45"/>
  <c r="K528" i="45"/>
  <c r="L528" i="45"/>
  <c r="M528" i="45"/>
  <c r="N528" i="45"/>
  <c r="O528" i="45"/>
  <c r="P528" i="45"/>
  <c r="Q528" i="45"/>
  <c r="R528" i="45"/>
  <c r="S528" i="45"/>
  <c r="T528" i="45"/>
  <c r="U528" i="45"/>
  <c r="V528" i="45"/>
  <c r="W528" i="45"/>
  <c r="X528" i="45"/>
  <c r="Y528" i="45"/>
  <c r="Z528" i="45"/>
  <c r="AA528" i="45"/>
  <c r="AB528" i="45"/>
  <c r="AC528" i="45"/>
  <c r="AD528" i="45"/>
  <c r="AE528" i="45"/>
  <c r="AF528" i="45"/>
  <c r="AG528" i="45"/>
  <c r="AH528" i="45"/>
  <c r="AI528" i="45"/>
  <c r="AJ528" i="45"/>
  <c r="AK528" i="45"/>
  <c r="AL528" i="45"/>
  <c r="AM528" i="45"/>
  <c r="AN528" i="45"/>
  <c r="AO528" i="45"/>
  <c r="AP528" i="45"/>
  <c r="AQ528" i="45"/>
  <c r="AR528" i="45"/>
  <c r="AS528" i="45"/>
  <c r="AT528" i="45"/>
  <c r="AU528" i="45"/>
  <c r="AV528" i="45"/>
  <c r="AW528" i="45"/>
  <c r="B529" i="45"/>
  <c r="C529" i="45"/>
  <c r="D529" i="45"/>
  <c r="E529" i="45"/>
  <c r="F529" i="45"/>
  <c r="G529" i="45"/>
  <c r="H529" i="45"/>
  <c r="I529" i="45"/>
  <c r="J529" i="45"/>
  <c r="K529" i="45"/>
  <c r="L529" i="45"/>
  <c r="M529" i="45"/>
  <c r="N529" i="45"/>
  <c r="O529" i="45"/>
  <c r="P529" i="45"/>
  <c r="Q529" i="45"/>
  <c r="R529" i="45"/>
  <c r="S529" i="45"/>
  <c r="T529" i="45"/>
  <c r="U529" i="45"/>
  <c r="V529" i="45"/>
  <c r="W529" i="45"/>
  <c r="X529" i="45"/>
  <c r="Y529" i="45"/>
  <c r="Z529" i="45"/>
  <c r="AA529" i="45"/>
  <c r="AB529" i="45"/>
  <c r="AC529" i="45"/>
  <c r="AD529" i="45"/>
  <c r="AE529" i="45"/>
  <c r="AF529" i="45"/>
  <c r="AG529" i="45"/>
  <c r="AH529" i="45"/>
  <c r="AI529" i="45"/>
  <c r="AJ529" i="45"/>
  <c r="AK529" i="45"/>
  <c r="AL529" i="45"/>
  <c r="AM529" i="45"/>
  <c r="AN529" i="45"/>
  <c r="AO529" i="45"/>
  <c r="AP529" i="45"/>
  <c r="AQ529" i="45"/>
  <c r="AR529" i="45"/>
  <c r="AS529" i="45"/>
  <c r="AT529" i="45"/>
  <c r="AU529" i="45"/>
  <c r="AV529" i="45"/>
  <c r="AW529" i="45"/>
  <c r="B530" i="45"/>
  <c r="C530" i="45"/>
  <c r="D530" i="45"/>
  <c r="E530" i="45"/>
  <c r="F530" i="45"/>
  <c r="G530" i="45"/>
  <c r="H530" i="45"/>
  <c r="I530" i="45"/>
  <c r="J530" i="45"/>
  <c r="K530" i="45"/>
  <c r="L530" i="45"/>
  <c r="M530" i="45"/>
  <c r="N530" i="45"/>
  <c r="O530" i="45"/>
  <c r="P530" i="45"/>
  <c r="Q530" i="45"/>
  <c r="R530" i="45"/>
  <c r="S530" i="45"/>
  <c r="T530" i="45"/>
  <c r="U530" i="45"/>
  <c r="V530" i="45"/>
  <c r="W530" i="45"/>
  <c r="X530" i="45"/>
  <c r="Y530" i="45"/>
  <c r="Z530" i="45"/>
  <c r="AA530" i="45"/>
  <c r="AB530" i="45"/>
  <c r="AC530" i="45"/>
  <c r="AD530" i="45"/>
  <c r="AE530" i="45"/>
  <c r="AF530" i="45"/>
  <c r="AG530" i="45"/>
  <c r="AH530" i="45"/>
  <c r="AI530" i="45"/>
  <c r="AJ530" i="45"/>
  <c r="AK530" i="45"/>
  <c r="AL530" i="45"/>
  <c r="AM530" i="45"/>
  <c r="AN530" i="45"/>
  <c r="AO530" i="45"/>
  <c r="AP530" i="45"/>
  <c r="AQ530" i="45"/>
  <c r="AR530" i="45"/>
  <c r="AS530" i="45"/>
  <c r="AT530" i="45"/>
  <c r="AU530" i="45"/>
  <c r="AV530" i="45"/>
  <c r="AW530" i="45"/>
  <c r="B531" i="45"/>
  <c r="C531" i="45"/>
  <c r="D531" i="45"/>
  <c r="E531" i="45"/>
  <c r="F531" i="45"/>
  <c r="G531" i="45"/>
  <c r="H531" i="45"/>
  <c r="I531" i="45"/>
  <c r="J531" i="45"/>
  <c r="K531" i="45"/>
  <c r="L531" i="45"/>
  <c r="M531" i="45"/>
  <c r="N531" i="45"/>
  <c r="O531" i="45"/>
  <c r="P531" i="45"/>
  <c r="Q531" i="45"/>
  <c r="R531" i="45"/>
  <c r="S531" i="45"/>
  <c r="T531" i="45"/>
  <c r="U531" i="45"/>
  <c r="V531" i="45"/>
  <c r="W531" i="45"/>
  <c r="X531" i="45"/>
  <c r="Y531" i="45"/>
  <c r="Z531" i="45"/>
  <c r="AA531" i="45"/>
  <c r="AB531" i="45"/>
  <c r="AC531" i="45"/>
  <c r="AD531" i="45"/>
  <c r="AE531" i="45"/>
  <c r="AF531" i="45"/>
  <c r="AG531" i="45"/>
  <c r="AH531" i="45"/>
  <c r="AI531" i="45"/>
  <c r="AJ531" i="45"/>
  <c r="AK531" i="45"/>
  <c r="AL531" i="45"/>
  <c r="AM531" i="45"/>
  <c r="AN531" i="45"/>
  <c r="AO531" i="45"/>
  <c r="AP531" i="45"/>
  <c r="AQ531" i="45"/>
  <c r="AR531" i="45"/>
  <c r="AS531" i="45"/>
  <c r="AT531" i="45"/>
  <c r="AU531" i="45"/>
  <c r="AV531" i="45"/>
  <c r="AW531" i="45"/>
  <c r="B532" i="45"/>
  <c r="C532" i="45"/>
  <c r="D532" i="45"/>
  <c r="E532" i="45"/>
  <c r="F532" i="45"/>
  <c r="G532" i="45"/>
  <c r="H532" i="45"/>
  <c r="I532" i="45"/>
  <c r="J532" i="45"/>
  <c r="K532" i="45"/>
  <c r="L532" i="45"/>
  <c r="M532" i="45"/>
  <c r="N532" i="45"/>
  <c r="O532" i="45"/>
  <c r="P532" i="45"/>
  <c r="Q532" i="45"/>
  <c r="R532" i="45"/>
  <c r="S532" i="45"/>
  <c r="T532" i="45"/>
  <c r="U532" i="45"/>
  <c r="V532" i="45"/>
  <c r="W532" i="45"/>
  <c r="X532" i="45"/>
  <c r="Y532" i="45"/>
  <c r="Z532" i="45"/>
  <c r="AA532" i="45"/>
  <c r="AB532" i="45"/>
  <c r="AC532" i="45"/>
  <c r="AD532" i="45"/>
  <c r="AE532" i="45"/>
  <c r="AF532" i="45"/>
  <c r="AG532" i="45"/>
  <c r="AH532" i="45"/>
  <c r="AI532" i="45"/>
  <c r="AJ532" i="45"/>
  <c r="AK532" i="45"/>
  <c r="AL532" i="45"/>
  <c r="AM532" i="45"/>
  <c r="AN532" i="45"/>
  <c r="AO532" i="45"/>
  <c r="AP532" i="45"/>
  <c r="AQ532" i="45"/>
  <c r="AR532" i="45"/>
  <c r="AS532" i="45"/>
  <c r="AT532" i="45"/>
  <c r="AU532" i="45"/>
  <c r="AV532" i="45"/>
  <c r="AW532" i="45"/>
  <c r="B533" i="45"/>
  <c r="C533" i="45"/>
  <c r="D533" i="45"/>
  <c r="E533" i="45"/>
  <c r="F533" i="45"/>
  <c r="G533" i="45"/>
  <c r="H533" i="45"/>
  <c r="I533" i="45"/>
  <c r="J533" i="45"/>
  <c r="K533" i="45"/>
  <c r="L533" i="45"/>
  <c r="M533" i="45"/>
  <c r="N533" i="45"/>
  <c r="O533" i="45"/>
  <c r="P533" i="45"/>
  <c r="Q533" i="45"/>
  <c r="R533" i="45"/>
  <c r="S533" i="45"/>
  <c r="T533" i="45"/>
  <c r="U533" i="45"/>
  <c r="V533" i="45"/>
  <c r="W533" i="45"/>
  <c r="X533" i="45"/>
  <c r="Y533" i="45"/>
  <c r="Z533" i="45"/>
  <c r="AA533" i="45"/>
  <c r="AB533" i="45"/>
  <c r="AC533" i="45"/>
  <c r="AD533" i="45"/>
  <c r="AE533" i="45"/>
  <c r="AF533" i="45"/>
  <c r="AG533" i="45"/>
  <c r="AH533" i="45"/>
  <c r="AI533" i="45"/>
  <c r="AJ533" i="45"/>
  <c r="AK533" i="45"/>
  <c r="AL533" i="45"/>
  <c r="AM533" i="45"/>
  <c r="AN533" i="45"/>
  <c r="AO533" i="45"/>
  <c r="AP533" i="45"/>
  <c r="AQ533" i="45"/>
  <c r="AR533" i="45"/>
  <c r="AS533" i="45"/>
  <c r="AT533" i="45"/>
  <c r="AU533" i="45"/>
  <c r="AV533" i="45"/>
  <c r="AW533" i="45"/>
  <c r="B534" i="45"/>
  <c r="C534" i="45"/>
  <c r="D534" i="45"/>
  <c r="E534" i="45"/>
  <c r="F534" i="45"/>
  <c r="G534" i="45"/>
  <c r="H534" i="45"/>
  <c r="I534" i="45"/>
  <c r="J534" i="45"/>
  <c r="K534" i="45"/>
  <c r="L534" i="45"/>
  <c r="M534" i="45"/>
  <c r="N534" i="45"/>
  <c r="O534" i="45"/>
  <c r="P534" i="45"/>
  <c r="Q534" i="45"/>
  <c r="R534" i="45"/>
  <c r="S534" i="45"/>
  <c r="T534" i="45"/>
  <c r="U534" i="45"/>
  <c r="V534" i="45"/>
  <c r="W534" i="45"/>
  <c r="X534" i="45"/>
  <c r="Y534" i="45"/>
  <c r="Z534" i="45"/>
  <c r="AA534" i="45"/>
  <c r="AB534" i="45"/>
  <c r="AC534" i="45"/>
  <c r="AD534" i="45"/>
  <c r="AE534" i="45"/>
  <c r="AF534" i="45"/>
  <c r="AG534" i="45"/>
  <c r="AH534" i="45"/>
  <c r="AI534" i="45"/>
  <c r="AJ534" i="45"/>
  <c r="AK534" i="45"/>
  <c r="AL534" i="45"/>
  <c r="AM534" i="45"/>
  <c r="AN534" i="45"/>
  <c r="AO534" i="45"/>
  <c r="AP534" i="45"/>
  <c r="AQ534" i="45"/>
  <c r="AR534" i="45"/>
  <c r="AS534" i="45"/>
  <c r="AT534" i="45"/>
  <c r="AU534" i="45"/>
  <c r="AV534" i="45"/>
  <c r="AW534" i="45"/>
  <c r="B535" i="45"/>
  <c r="C535" i="45"/>
  <c r="D535" i="45"/>
  <c r="E535" i="45"/>
  <c r="F535" i="45"/>
  <c r="G535" i="45"/>
  <c r="H535" i="45"/>
  <c r="I535" i="45"/>
  <c r="J535" i="45"/>
  <c r="K535" i="45"/>
  <c r="L535" i="45"/>
  <c r="M535" i="45"/>
  <c r="N535" i="45"/>
  <c r="O535" i="45"/>
  <c r="P535" i="45"/>
  <c r="Q535" i="45"/>
  <c r="R535" i="45"/>
  <c r="S535" i="45"/>
  <c r="T535" i="45"/>
  <c r="U535" i="45"/>
  <c r="V535" i="45"/>
  <c r="W535" i="45"/>
  <c r="X535" i="45"/>
  <c r="Y535" i="45"/>
  <c r="Z535" i="45"/>
  <c r="AA535" i="45"/>
  <c r="AB535" i="45"/>
  <c r="AC535" i="45"/>
  <c r="AD535" i="45"/>
  <c r="AE535" i="45"/>
  <c r="AF535" i="45"/>
  <c r="AG535" i="45"/>
  <c r="AH535" i="45"/>
  <c r="AI535" i="45"/>
  <c r="AJ535" i="45"/>
  <c r="AK535" i="45"/>
  <c r="AL535" i="45"/>
  <c r="AM535" i="45"/>
  <c r="AN535" i="45"/>
  <c r="AO535" i="45"/>
  <c r="AP535" i="45"/>
  <c r="AQ535" i="45"/>
  <c r="AR535" i="45"/>
  <c r="AS535" i="45"/>
  <c r="AT535" i="45"/>
  <c r="AU535" i="45"/>
  <c r="AV535" i="45"/>
  <c r="AW535" i="45"/>
  <c r="B536" i="45"/>
  <c r="C536" i="45"/>
  <c r="D536" i="45"/>
  <c r="E536" i="45"/>
  <c r="F536" i="45"/>
  <c r="G536" i="45"/>
  <c r="H536" i="45"/>
  <c r="I536" i="45"/>
  <c r="J536" i="45"/>
  <c r="K536" i="45"/>
  <c r="L536" i="45"/>
  <c r="M536" i="45"/>
  <c r="N536" i="45"/>
  <c r="O536" i="45"/>
  <c r="P536" i="45"/>
  <c r="Q536" i="45"/>
  <c r="R536" i="45"/>
  <c r="S536" i="45"/>
  <c r="T536" i="45"/>
  <c r="U536" i="45"/>
  <c r="V536" i="45"/>
  <c r="W536" i="45"/>
  <c r="X536" i="45"/>
  <c r="Y536" i="45"/>
  <c r="Z536" i="45"/>
  <c r="AA536" i="45"/>
  <c r="AB536" i="45"/>
  <c r="AC536" i="45"/>
  <c r="AD536" i="45"/>
  <c r="AE536" i="45"/>
  <c r="AF536" i="45"/>
  <c r="AG536" i="45"/>
  <c r="AH536" i="45"/>
  <c r="AI536" i="45"/>
  <c r="AJ536" i="45"/>
  <c r="AK536" i="45"/>
  <c r="AL536" i="45"/>
  <c r="AM536" i="45"/>
  <c r="AN536" i="45"/>
  <c r="AO536" i="45"/>
  <c r="AP536" i="45"/>
  <c r="AQ536" i="45"/>
  <c r="AR536" i="45"/>
  <c r="AS536" i="45"/>
  <c r="AT536" i="45"/>
  <c r="AU536" i="45"/>
  <c r="AV536" i="45"/>
  <c r="AW536" i="45"/>
  <c r="B537" i="45"/>
  <c r="C537" i="45"/>
  <c r="D537" i="45"/>
  <c r="E537" i="45"/>
  <c r="F537" i="45"/>
  <c r="G537" i="45"/>
  <c r="H537" i="45"/>
  <c r="I537" i="45"/>
  <c r="J537" i="45"/>
  <c r="K537" i="45"/>
  <c r="L537" i="45"/>
  <c r="M537" i="45"/>
  <c r="N537" i="45"/>
  <c r="O537" i="45"/>
  <c r="P537" i="45"/>
  <c r="Q537" i="45"/>
  <c r="R537" i="45"/>
  <c r="S537" i="45"/>
  <c r="T537" i="45"/>
  <c r="U537" i="45"/>
  <c r="V537" i="45"/>
  <c r="W537" i="45"/>
  <c r="X537" i="45"/>
  <c r="Y537" i="45"/>
  <c r="Z537" i="45"/>
  <c r="AA537" i="45"/>
  <c r="AB537" i="45"/>
  <c r="AC537" i="45"/>
  <c r="AD537" i="45"/>
  <c r="AE537" i="45"/>
  <c r="AF537" i="45"/>
  <c r="AG537" i="45"/>
  <c r="AH537" i="45"/>
  <c r="AI537" i="45"/>
  <c r="AJ537" i="45"/>
  <c r="AK537" i="45"/>
  <c r="AL537" i="45"/>
  <c r="AM537" i="45"/>
  <c r="AN537" i="45"/>
  <c r="AO537" i="45"/>
  <c r="AP537" i="45"/>
  <c r="AQ537" i="45"/>
  <c r="AR537" i="45"/>
  <c r="AS537" i="45"/>
  <c r="AT537" i="45"/>
  <c r="AU537" i="45"/>
  <c r="AV537" i="45"/>
  <c r="AW537" i="45"/>
  <c r="B538" i="45"/>
  <c r="C538" i="45"/>
  <c r="D538" i="45"/>
  <c r="E538" i="45"/>
  <c r="F538" i="45"/>
  <c r="G538" i="45"/>
  <c r="H538" i="45"/>
  <c r="I538" i="45"/>
  <c r="J538" i="45"/>
  <c r="K538" i="45"/>
  <c r="L538" i="45"/>
  <c r="M538" i="45"/>
  <c r="N538" i="45"/>
  <c r="O538" i="45"/>
  <c r="P538" i="45"/>
  <c r="Q538" i="45"/>
  <c r="R538" i="45"/>
  <c r="S538" i="45"/>
  <c r="T538" i="45"/>
  <c r="U538" i="45"/>
  <c r="V538" i="45"/>
  <c r="W538" i="45"/>
  <c r="X538" i="45"/>
  <c r="Y538" i="45"/>
  <c r="Z538" i="45"/>
  <c r="AA538" i="45"/>
  <c r="AB538" i="45"/>
  <c r="AC538" i="45"/>
  <c r="AD538" i="45"/>
  <c r="AE538" i="45"/>
  <c r="AF538" i="45"/>
  <c r="AG538" i="45"/>
  <c r="AH538" i="45"/>
  <c r="AI538" i="45"/>
  <c r="AJ538" i="45"/>
  <c r="AK538" i="45"/>
  <c r="AL538" i="45"/>
  <c r="AM538" i="45"/>
  <c r="AN538" i="45"/>
  <c r="AO538" i="45"/>
  <c r="AP538" i="45"/>
  <c r="AQ538" i="45"/>
  <c r="AR538" i="45"/>
  <c r="AS538" i="45"/>
  <c r="AT538" i="45"/>
  <c r="AU538" i="45"/>
  <c r="AV538" i="45"/>
  <c r="AW538" i="45"/>
  <c r="B539" i="45"/>
  <c r="C539" i="45"/>
  <c r="D539" i="45"/>
  <c r="E539" i="45"/>
  <c r="F539" i="45"/>
  <c r="G539" i="45"/>
  <c r="H539" i="45"/>
  <c r="I539" i="45"/>
  <c r="J539" i="45"/>
  <c r="K539" i="45"/>
  <c r="L539" i="45"/>
  <c r="M539" i="45"/>
  <c r="N539" i="45"/>
  <c r="O539" i="45"/>
  <c r="P539" i="45"/>
  <c r="Q539" i="45"/>
  <c r="R539" i="45"/>
  <c r="S539" i="45"/>
  <c r="T539" i="45"/>
  <c r="U539" i="45"/>
  <c r="V539" i="45"/>
  <c r="W539" i="45"/>
  <c r="X539" i="45"/>
  <c r="Y539" i="45"/>
  <c r="Z539" i="45"/>
  <c r="AA539" i="45"/>
  <c r="AB539" i="45"/>
  <c r="AC539" i="45"/>
  <c r="AD539" i="45"/>
  <c r="AE539" i="45"/>
  <c r="AF539" i="45"/>
  <c r="AG539" i="45"/>
  <c r="AH539" i="45"/>
  <c r="AI539" i="45"/>
  <c r="AJ539" i="45"/>
  <c r="AK539" i="45"/>
  <c r="AL539" i="45"/>
  <c r="AM539" i="45"/>
  <c r="AN539" i="45"/>
  <c r="AO539" i="45"/>
  <c r="AP539" i="45"/>
  <c r="AQ539" i="45"/>
  <c r="AR539" i="45"/>
  <c r="AS539" i="45"/>
  <c r="AT539" i="45"/>
  <c r="AU539" i="45"/>
  <c r="AV539" i="45"/>
  <c r="AW539" i="45"/>
  <c r="B540" i="45"/>
  <c r="C540" i="45"/>
  <c r="D540" i="45"/>
  <c r="E540" i="45"/>
  <c r="F540" i="45"/>
  <c r="G540" i="45"/>
  <c r="H540" i="45"/>
  <c r="I540" i="45"/>
  <c r="J540" i="45"/>
  <c r="K540" i="45"/>
  <c r="L540" i="45"/>
  <c r="M540" i="45"/>
  <c r="N540" i="45"/>
  <c r="O540" i="45"/>
  <c r="P540" i="45"/>
  <c r="Q540" i="45"/>
  <c r="R540" i="45"/>
  <c r="S540" i="45"/>
  <c r="T540" i="45"/>
  <c r="U540" i="45"/>
  <c r="V540" i="45"/>
  <c r="W540" i="45"/>
  <c r="X540" i="45"/>
  <c r="Y540" i="45"/>
  <c r="Z540" i="45"/>
  <c r="AA540" i="45"/>
  <c r="AB540" i="45"/>
  <c r="AC540" i="45"/>
  <c r="AD540" i="45"/>
  <c r="AE540" i="45"/>
  <c r="AF540" i="45"/>
  <c r="AG540" i="45"/>
  <c r="AH540" i="45"/>
  <c r="AI540" i="45"/>
  <c r="AJ540" i="45"/>
  <c r="AK540" i="45"/>
  <c r="AL540" i="45"/>
  <c r="AM540" i="45"/>
  <c r="AN540" i="45"/>
  <c r="AO540" i="45"/>
  <c r="AP540" i="45"/>
  <c r="AQ540" i="45"/>
  <c r="AR540" i="45"/>
  <c r="AS540" i="45"/>
  <c r="AT540" i="45"/>
  <c r="AU540" i="45"/>
  <c r="AV540" i="45"/>
  <c r="AW540" i="45"/>
  <c r="B541" i="45"/>
  <c r="C541" i="45"/>
  <c r="D541" i="45"/>
  <c r="E541" i="45"/>
  <c r="F541" i="45"/>
  <c r="G541" i="45"/>
  <c r="H541" i="45"/>
  <c r="I541" i="45"/>
  <c r="J541" i="45"/>
  <c r="K541" i="45"/>
  <c r="L541" i="45"/>
  <c r="M541" i="45"/>
  <c r="N541" i="45"/>
  <c r="O541" i="45"/>
  <c r="P541" i="45"/>
  <c r="Q541" i="45"/>
  <c r="R541" i="45"/>
  <c r="S541" i="45"/>
  <c r="T541" i="45"/>
  <c r="U541" i="45"/>
  <c r="V541" i="45"/>
  <c r="W541" i="45"/>
  <c r="X541" i="45"/>
  <c r="Y541" i="45"/>
  <c r="Z541" i="45"/>
  <c r="AA541" i="45"/>
  <c r="AB541" i="45"/>
  <c r="AC541" i="45"/>
  <c r="AD541" i="45"/>
  <c r="AE541" i="45"/>
  <c r="AF541" i="45"/>
  <c r="AG541" i="45"/>
  <c r="AH541" i="45"/>
  <c r="AI541" i="45"/>
  <c r="AJ541" i="45"/>
  <c r="AK541" i="45"/>
  <c r="AL541" i="45"/>
  <c r="AM541" i="45"/>
  <c r="AN541" i="45"/>
  <c r="AO541" i="45"/>
  <c r="AP541" i="45"/>
  <c r="AQ541" i="45"/>
  <c r="AR541" i="45"/>
  <c r="AS541" i="45"/>
  <c r="AT541" i="45"/>
  <c r="AU541" i="45"/>
  <c r="AV541" i="45"/>
  <c r="AW541" i="45"/>
  <c r="B542" i="45"/>
  <c r="C542" i="45"/>
  <c r="D542" i="45"/>
  <c r="E542" i="45"/>
  <c r="F542" i="45"/>
  <c r="G542" i="45"/>
  <c r="H542" i="45"/>
  <c r="I542" i="45"/>
  <c r="J542" i="45"/>
  <c r="K542" i="45"/>
  <c r="L542" i="45"/>
  <c r="M542" i="45"/>
  <c r="N542" i="45"/>
  <c r="O542" i="45"/>
  <c r="P542" i="45"/>
  <c r="Q542" i="45"/>
  <c r="R542" i="45"/>
  <c r="S542" i="45"/>
  <c r="T542" i="45"/>
  <c r="U542" i="45"/>
  <c r="V542" i="45"/>
  <c r="W542" i="45"/>
  <c r="X542" i="45"/>
  <c r="Y542" i="45"/>
  <c r="Z542" i="45"/>
  <c r="AA542" i="45"/>
  <c r="AB542" i="45"/>
  <c r="AC542" i="45"/>
  <c r="AD542" i="45"/>
  <c r="AE542" i="45"/>
  <c r="AF542" i="45"/>
  <c r="AG542" i="45"/>
  <c r="AH542" i="45"/>
  <c r="AI542" i="45"/>
  <c r="AJ542" i="45"/>
  <c r="AK542" i="45"/>
  <c r="AL542" i="45"/>
  <c r="AM542" i="45"/>
  <c r="AN542" i="45"/>
  <c r="AO542" i="45"/>
  <c r="AP542" i="45"/>
  <c r="AQ542" i="45"/>
  <c r="AR542" i="45"/>
  <c r="AS542" i="45"/>
  <c r="AT542" i="45"/>
  <c r="AU542" i="45"/>
  <c r="AV542" i="45"/>
  <c r="AW542" i="45"/>
  <c r="B495" i="45"/>
  <c r="C495" i="45"/>
  <c r="D495" i="45"/>
  <c r="E495" i="45"/>
  <c r="F495" i="45"/>
  <c r="G495" i="45"/>
  <c r="H495" i="45"/>
  <c r="I495" i="45"/>
  <c r="J495" i="45"/>
  <c r="K495" i="45"/>
  <c r="L495" i="45"/>
  <c r="M495" i="45"/>
  <c r="N495" i="45"/>
  <c r="O495" i="45"/>
  <c r="P495" i="45"/>
  <c r="Q495" i="45"/>
  <c r="R495" i="45"/>
  <c r="S495" i="45"/>
  <c r="T495" i="45"/>
  <c r="U495" i="45"/>
  <c r="V495" i="45"/>
  <c r="W495" i="45"/>
  <c r="X495" i="45"/>
  <c r="Y495" i="45"/>
  <c r="Z495" i="45"/>
  <c r="AA495" i="45"/>
  <c r="AB495" i="45"/>
  <c r="AC495" i="45"/>
  <c r="AD495" i="45"/>
  <c r="AE495" i="45"/>
  <c r="AF495" i="45"/>
  <c r="AG495" i="45"/>
  <c r="AH495" i="45"/>
  <c r="AI495" i="45"/>
  <c r="AJ495" i="45"/>
  <c r="AK495" i="45"/>
  <c r="AL495" i="45"/>
  <c r="AM495" i="45"/>
  <c r="AN495" i="45"/>
  <c r="AO495" i="45"/>
  <c r="AP495" i="45"/>
  <c r="AQ495" i="45"/>
  <c r="AR495" i="45"/>
  <c r="AS495" i="45"/>
  <c r="AT495" i="45"/>
  <c r="AU495" i="45"/>
  <c r="AV495" i="45"/>
  <c r="AW495" i="45"/>
  <c r="B496" i="45"/>
  <c r="C496" i="45"/>
  <c r="D496" i="45"/>
  <c r="E496" i="45"/>
  <c r="F496" i="45"/>
  <c r="G496" i="45"/>
  <c r="H496" i="45"/>
  <c r="I496" i="45"/>
  <c r="J496" i="45"/>
  <c r="K496" i="45"/>
  <c r="L496" i="45"/>
  <c r="M496" i="45"/>
  <c r="N496" i="45"/>
  <c r="O496" i="45"/>
  <c r="P496" i="45"/>
  <c r="Q496" i="45"/>
  <c r="R496" i="45"/>
  <c r="S496" i="45"/>
  <c r="T496" i="45"/>
  <c r="U496" i="45"/>
  <c r="V496" i="45"/>
  <c r="W496" i="45"/>
  <c r="X496" i="45"/>
  <c r="Y496" i="45"/>
  <c r="Z496" i="45"/>
  <c r="AA496" i="45"/>
  <c r="AB496" i="45"/>
  <c r="AC496" i="45"/>
  <c r="AD496" i="45"/>
  <c r="AE496" i="45"/>
  <c r="AF496" i="45"/>
  <c r="AG496" i="45"/>
  <c r="AH496" i="45"/>
  <c r="AI496" i="45"/>
  <c r="AJ496" i="45"/>
  <c r="AK496" i="45"/>
  <c r="AL496" i="45"/>
  <c r="AM496" i="45"/>
  <c r="AN496" i="45"/>
  <c r="AO496" i="45"/>
  <c r="AP496" i="45"/>
  <c r="AQ496" i="45"/>
  <c r="AR496" i="45"/>
  <c r="AS496" i="45"/>
  <c r="AT496" i="45"/>
  <c r="AU496" i="45"/>
  <c r="AV496" i="45"/>
  <c r="AW496" i="45"/>
  <c r="B497" i="45"/>
  <c r="C497" i="45"/>
  <c r="D497" i="45"/>
  <c r="E497" i="45"/>
  <c r="F497" i="45"/>
  <c r="G497" i="45"/>
  <c r="H497" i="45"/>
  <c r="I497" i="45"/>
  <c r="J497" i="45"/>
  <c r="K497" i="45"/>
  <c r="L497" i="45"/>
  <c r="M497" i="45"/>
  <c r="N497" i="45"/>
  <c r="O497" i="45"/>
  <c r="P497" i="45"/>
  <c r="Q497" i="45"/>
  <c r="R497" i="45"/>
  <c r="S497" i="45"/>
  <c r="T497" i="45"/>
  <c r="U497" i="45"/>
  <c r="V497" i="45"/>
  <c r="W497" i="45"/>
  <c r="X497" i="45"/>
  <c r="Y497" i="45"/>
  <c r="Z497" i="45"/>
  <c r="AA497" i="45"/>
  <c r="AB497" i="45"/>
  <c r="AC497" i="45"/>
  <c r="AD497" i="45"/>
  <c r="AE497" i="45"/>
  <c r="AF497" i="45"/>
  <c r="AG497" i="45"/>
  <c r="AH497" i="45"/>
  <c r="AI497" i="45"/>
  <c r="AJ497" i="45"/>
  <c r="AK497" i="45"/>
  <c r="AL497" i="45"/>
  <c r="AM497" i="45"/>
  <c r="AN497" i="45"/>
  <c r="AO497" i="45"/>
  <c r="AP497" i="45"/>
  <c r="AQ497" i="45"/>
  <c r="AR497" i="45"/>
  <c r="AS497" i="45"/>
  <c r="AT497" i="45"/>
  <c r="AU497" i="45"/>
  <c r="AV497" i="45"/>
  <c r="AW497" i="45"/>
  <c r="B498" i="45"/>
  <c r="C498" i="45"/>
  <c r="D498" i="45"/>
  <c r="E498" i="45"/>
  <c r="F498" i="45"/>
  <c r="G498" i="45"/>
  <c r="H498" i="45"/>
  <c r="I498" i="45"/>
  <c r="J498" i="45"/>
  <c r="K498" i="45"/>
  <c r="L498" i="45"/>
  <c r="M498" i="45"/>
  <c r="N498" i="45"/>
  <c r="O498" i="45"/>
  <c r="P498" i="45"/>
  <c r="Q498" i="45"/>
  <c r="R498" i="45"/>
  <c r="S498" i="45"/>
  <c r="T498" i="45"/>
  <c r="U498" i="45"/>
  <c r="V498" i="45"/>
  <c r="W498" i="45"/>
  <c r="X498" i="45"/>
  <c r="Y498" i="45"/>
  <c r="Z498" i="45"/>
  <c r="AA498" i="45"/>
  <c r="AB498" i="45"/>
  <c r="AC498" i="45"/>
  <c r="AD498" i="45"/>
  <c r="AE498" i="45"/>
  <c r="AF498" i="45"/>
  <c r="AG498" i="45"/>
  <c r="AH498" i="45"/>
  <c r="AI498" i="45"/>
  <c r="AJ498" i="45"/>
  <c r="AK498" i="45"/>
  <c r="AL498" i="45"/>
  <c r="AM498" i="45"/>
  <c r="AN498" i="45"/>
  <c r="AO498" i="45"/>
  <c r="AP498" i="45"/>
  <c r="AQ498" i="45"/>
  <c r="AR498" i="45"/>
  <c r="AS498" i="45"/>
  <c r="AT498" i="45"/>
  <c r="AU498" i="45"/>
  <c r="AV498" i="45"/>
  <c r="AW498" i="45"/>
  <c r="B499" i="45"/>
  <c r="C499" i="45"/>
  <c r="D499" i="45"/>
  <c r="E499" i="45"/>
  <c r="F499" i="45"/>
  <c r="G499" i="45"/>
  <c r="H499" i="45"/>
  <c r="I499" i="45"/>
  <c r="J499" i="45"/>
  <c r="K499" i="45"/>
  <c r="L499" i="45"/>
  <c r="M499" i="45"/>
  <c r="N499" i="45"/>
  <c r="O499" i="45"/>
  <c r="P499" i="45"/>
  <c r="Q499" i="45"/>
  <c r="R499" i="45"/>
  <c r="S499" i="45"/>
  <c r="T499" i="45"/>
  <c r="U499" i="45"/>
  <c r="V499" i="45"/>
  <c r="W499" i="45"/>
  <c r="X499" i="45"/>
  <c r="Y499" i="45"/>
  <c r="Z499" i="45"/>
  <c r="AA499" i="45"/>
  <c r="AB499" i="45"/>
  <c r="AC499" i="45"/>
  <c r="AD499" i="45"/>
  <c r="AE499" i="45"/>
  <c r="AF499" i="45"/>
  <c r="AG499" i="45"/>
  <c r="AH499" i="45"/>
  <c r="AI499" i="45"/>
  <c r="AJ499" i="45"/>
  <c r="AK499" i="45"/>
  <c r="AL499" i="45"/>
  <c r="AM499" i="45"/>
  <c r="AN499" i="45"/>
  <c r="AO499" i="45"/>
  <c r="AP499" i="45"/>
  <c r="AQ499" i="45"/>
  <c r="AR499" i="45"/>
  <c r="AS499" i="45"/>
  <c r="AT499" i="45"/>
  <c r="AU499" i="45"/>
  <c r="AV499" i="45"/>
  <c r="AW499" i="45"/>
  <c r="B500" i="45"/>
  <c r="C500" i="45"/>
  <c r="D500" i="45"/>
  <c r="E500" i="45"/>
  <c r="F500" i="45"/>
  <c r="G500" i="45"/>
  <c r="H500" i="45"/>
  <c r="I500" i="45"/>
  <c r="J500" i="45"/>
  <c r="K500" i="45"/>
  <c r="L500" i="45"/>
  <c r="M500" i="45"/>
  <c r="N500" i="45"/>
  <c r="O500" i="45"/>
  <c r="P500" i="45"/>
  <c r="Q500" i="45"/>
  <c r="R500" i="45"/>
  <c r="S500" i="45"/>
  <c r="T500" i="45"/>
  <c r="U500" i="45"/>
  <c r="V500" i="45"/>
  <c r="W500" i="45"/>
  <c r="X500" i="45"/>
  <c r="Y500" i="45"/>
  <c r="Z500" i="45"/>
  <c r="AA500" i="45"/>
  <c r="AB500" i="45"/>
  <c r="AC500" i="45"/>
  <c r="AD500" i="45"/>
  <c r="AE500" i="45"/>
  <c r="AF500" i="45"/>
  <c r="AG500" i="45"/>
  <c r="AH500" i="45"/>
  <c r="AI500" i="45"/>
  <c r="AJ500" i="45"/>
  <c r="AK500" i="45"/>
  <c r="AL500" i="45"/>
  <c r="AM500" i="45"/>
  <c r="AN500" i="45"/>
  <c r="AO500" i="45"/>
  <c r="AP500" i="45"/>
  <c r="AQ500" i="45"/>
  <c r="AR500" i="45"/>
  <c r="AS500" i="45"/>
  <c r="AT500" i="45"/>
  <c r="AU500" i="45"/>
  <c r="AV500" i="45"/>
  <c r="AW500" i="45"/>
  <c r="B501" i="45"/>
  <c r="C501" i="45"/>
  <c r="D501" i="45"/>
  <c r="E501" i="45"/>
  <c r="F501" i="45"/>
  <c r="G501" i="45"/>
  <c r="H501" i="45"/>
  <c r="I501" i="45"/>
  <c r="J501" i="45"/>
  <c r="K501" i="45"/>
  <c r="L501" i="45"/>
  <c r="M501" i="45"/>
  <c r="N501" i="45"/>
  <c r="O501" i="45"/>
  <c r="P501" i="45"/>
  <c r="Q501" i="45"/>
  <c r="R501" i="45"/>
  <c r="S501" i="45"/>
  <c r="T501" i="45"/>
  <c r="U501" i="45"/>
  <c r="V501" i="45"/>
  <c r="W501" i="45"/>
  <c r="X501" i="45"/>
  <c r="Y501" i="45"/>
  <c r="Z501" i="45"/>
  <c r="AA501" i="45"/>
  <c r="AB501" i="45"/>
  <c r="AC501" i="45"/>
  <c r="AD501" i="45"/>
  <c r="AE501" i="45"/>
  <c r="AF501" i="45"/>
  <c r="AG501" i="45"/>
  <c r="AH501" i="45"/>
  <c r="AI501" i="45"/>
  <c r="AJ501" i="45"/>
  <c r="AK501" i="45"/>
  <c r="AL501" i="45"/>
  <c r="AM501" i="45"/>
  <c r="AN501" i="45"/>
  <c r="AO501" i="45"/>
  <c r="AP501" i="45"/>
  <c r="AQ501" i="45"/>
  <c r="AR501" i="45"/>
  <c r="AS501" i="45"/>
  <c r="AT501" i="45"/>
  <c r="AU501" i="45"/>
  <c r="AV501" i="45"/>
  <c r="AW501" i="45"/>
  <c r="B502" i="45"/>
  <c r="C502" i="45"/>
  <c r="D502" i="45"/>
  <c r="E502" i="45"/>
  <c r="F502" i="45"/>
  <c r="G502" i="45"/>
  <c r="H502" i="45"/>
  <c r="I502" i="45"/>
  <c r="J502" i="45"/>
  <c r="K502" i="45"/>
  <c r="L502" i="45"/>
  <c r="M502" i="45"/>
  <c r="N502" i="45"/>
  <c r="O502" i="45"/>
  <c r="P502" i="45"/>
  <c r="Q502" i="45"/>
  <c r="R502" i="45"/>
  <c r="S502" i="45"/>
  <c r="T502" i="45"/>
  <c r="U502" i="45"/>
  <c r="V502" i="45"/>
  <c r="W502" i="45"/>
  <c r="X502" i="45"/>
  <c r="Y502" i="45"/>
  <c r="Z502" i="45"/>
  <c r="AA502" i="45"/>
  <c r="AB502" i="45"/>
  <c r="AC502" i="45"/>
  <c r="AD502" i="45"/>
  <c r="AE502" i="45"/>
  <c r="AF502" i="45"/>
  <c r="AG502" i="45"/>
  <c r="AH502" i="45"/>
  <c r="AI502" i="45"/>
  <c r="AJ502" i="45"/>
  <c r="AK502" i="45"/>
  <c r="AL502" i="45"/>
  <c r="AM502" i="45"/>
  <c r="AN502" i="45"/>
  <c r="AO502" i="45"/>
  <c r="AP502" i="45"/>
  <c r="AQ502" i="45"/>
  <c r="AR502" i="45"/>
  <c r="AS502" i="45"/>
  <c r="AT502" i="45"/>
  <c r="AU502" i="45"/>
  <c r="AV502" i="45"/>
  <c r="AW502" i="45"/>
  <c r="B503" i="45"/>
  <c r="C503" i="45"/>
  <c r="D503" i="45"/>
  <c r="E503" i="45"/>
  <c r="F503" i="45"/>
  <c r="G503" i="45"/>
  <c r="H503" i="45"/>
  <c r="I503" i="45"/>
  <c r="J503" i="45"/>
  <c r="K503" i="45"/>
  <c r="L503" i="45"/>
  <c r="M503" i="45"/>
  <c r="N503" i="45"/>
  <c r="O503" i="45"/>
  <c r="P503" i="45"/>
  <c r="Q503" i="45"/>
  <c r="R503" i="45"/>
  <c r="S503" i="45"/>
  <c r="T503" i="45"/>
  <c r="U503" i="45"/>
  <c r="V503" i="45"/>
  <c r="W503" i="45"/>
  <c r="X503" i="45"/>
  <c r="Y503" i="45"/>
  <c r="Z503" i="45"/>
  <c r="AA503" i="45"/>
  <c r="AB503" i="45"/>
  <c r="AC503" i="45"/>
  <c r="AD503" i="45"/>
  <c r="AE503" i="45"/>
  <c r="AF503" i="45"/>
  <c r="AG503" i="45"/>
  <c r="AH503" i="45"/>
  <c r="AI503" i="45"/>
  <c r="AJ503" i="45"/>
  <c r="AK503" i="45"/>
  <c r="AL503" i="45"/>
  <c r="AM503" i="45"/>
  <c r="AN503" i="45"/>
  <c r="AO503" i="45"/>
  <c r="AP503" i="45"/>
  <c r="AQ503" i="45"/>
  <c r="AR503" i="45"/>
  <c r="AS503" i="45"/>
  <c r="AT503" i="45"/>
  <c r="AU503" i="45"/>
  <c r="AV503" i="45"/>
  <c r="AW503" i="45"/>
  <c r="B504" i="45"/>
  <c r="C504" i="45"/>
  <c r="D504" i="45"/>
  <c r="E504" i="45"/>
  <c r="F504" i="45"/>
  <c r="G504" i="45"/>
  <c r="H504" i="45"/>
  <c r="I504" i="45"/>
  <c r="J504" i="45"/>
  <c r="K504" i="45"/>
  <c r="L504" i="45"/>
  <c r="M504" i="45"/>
  <c r="N504" i="45"/>
  <c r="O504" i="45"/>
  <c r="P504" i="45"/>
  <c r="Q504" i="45"/>
  <c r="R504" i="45"/>
  <c r="S504" i="45"/>
  <c r="T504" i="45"/>
  <c r="U504" i="45"/>
  <c r="V504" i="45"/>
  <c r="W504" i="45"/>
  <c r="X504" i="45"/>
  <c r="Y504" i="45"/>
  <c r="Z504" i="45"/>
  <c r="AA504" i="45"/>
  <c r="AB504" i="45"/>
  <c r="AC504" i="45"/>
  <c r="AD504" i="45"/>
  <c r="AE504" i="45"/>
  <c r="AF504" i="45"/>
  <c r="AG504" i="45"/>
  <c r="AH504" i="45"/>
  <c r="AI504" i="45"/>
  <c r="AJ504" i="45"/>
  <c r="AK504" i="45"/>
  <c r="AL504" i="45"/>
  <c r="AM504" i="45"/>
  <c r="AN504" i="45"/>
  <c r="AO504" i="45"/>
  <c r="AP504" i="45"/>
  <c r="AQ504" i="45"/>
  <c r="AR504" i="45"/>
  <c r="AS504" i="45"/>
  <c r="AT504" i="45"/>
  <c r="AU504" i="45"/>
  <c r="AV504" i="45"/>
  <c r="AW504" i="45"/>
  <c r="B505" i="45"/>
  <c r="C505" i="45"/>
  <c r="D505" i="45"/>
  <c r="E505" i="45"/>
  <c r="F505" i="45"/>
  <c r="G505" i="45"/>
  <c r="H505" i="45"/>
  <c r="I505" i="45"/>
  <c r="J505" i="45"/>
  <c r="K505" i="45"/>
  <c r="L505" i="45"/>
  <c r="M505" i="45"/>
  <c r="N505" i="45"/>
  <c r="O505" i="45"/>
  <c r="P505" i="45"/>
  <c r="Q505" i="45"/>
  <c r="R505" i="45"/>
  <c r="S505" i="45"/>
  <c r="T505" i="45"/>
  <c r="U505" i="45"/>
  <c r="V505" i="45"/>
  <c r="W505" i="45"/>
  <c r="X505" i="45"/>
  <c r="Y505" i="45"/>
  <c r="Z505" i="45"/>
  <c r="AA505" i="45"/>
  <c r="AB505" i="45"/>
  <c r="AC505" i="45"/>
  <c r="AD505" i="45"/>
  <c r="AE505" i="45"/>
  <c r="AF505" i="45"/>
  <c r="AG505" i="45"/>
  <c r="AH505" i="45"/>
  <c r="AI505" i="45"/>
  <c r="AJ505" i="45"/>
  <c r="AK505" i="45"/>
  <c r="AL505" i="45"/>
  <c r="AM505" i="45"/>
  <c r="AN505" i="45"/>
  <c r="AO505" i="45"/>
  <c r="AP505" i="45"/>
  <c r="AQ505" i="45"/>
  <c r="AR505" i="45"/>
  <c r="AS505" i="45"/>
  <c r="AT505" i="45"/>
  <c r="AU505" i="45"/>
  <c r="AV505" i="45"/>
  <c r="AW505" i="45"/>
  <c r="B506" i="45"/>
  <c r="C506" i="45"/>
  <c r="D506" i="45"/>
  <c r="E506" i="45"/>
  <c r="F506" i="45"/>
  <c r="G506" i="45"/>
  <c r="H506" i="45"/>
  <c r="I506" i="45"/>
  <c r="J506" i="45"/>
  <c r="K506" i="45"/>
  <c r="L506" i="45"/>
  <c r="M506" i="45"/>
  <c r="N506" i="45"/>
  <c r="O506" i="45"/>
  <c r="P506" i="45"/>
  <c r="Q506" i="45"/>
  <c r="R506" i="45"/>
  <c r="S506" i="45"/>
  <c r="T506" i="45"/>
  <c r="U506" i="45"/>
  <c r="V506" i="45"/>
  <c r="W506" i="45"/>
  <c r="X506" i="45"/>
  <c r="Y506" i="45"/>
  <c r="Z506" i="45"/>
  <c r="AA506" i="45"/>
  <c r="AB506" i="45"/>
  <c r="AC506" i="45"/>
  <c r="AD506" i="45"/>
  <c r="AE506" i="45"/>
  <c r="AF506" i="45"/>
  <c r="AG506" i="45"/>
  <c r="AH506" i="45"/>
  <c r="AI506" i="45"/>
  <c r="AJ506" i="45"/>
  <c r="AK506" i="45"/>
  <c r="AL506" i="45"/>
  <c r="AM506" i="45"/>
  <c r="AN506" i="45"/>
  <c r="AO506" i="45"/>
  <c r="AP506" i="45"/>
  <c r="AQ506" i="45"/>
  <c r="AR506" i="45"/>
  <c r="AS506" i="45"/>
  <c r="AT506" i="45"/>
  <c r="AU506" i="45"/>
  <c r="AV506" i="45"/>
  <c r="AW506" i="45"/>
  <c r="B507" i="45"/>
  <c r="C507" i="45"/>
  <c r="D507" i="45"/>
  <c r="E507" i="45"/>
  <c r="F507" i="45"/>
  <c r="G507" i="45"/>
  <c r="H507" i="45"/>
  <c r="I507" i="45"/>
  <c r="J507" i="45"/>
  <c r="K507" i="45"/>
  <c r="L507" i="45"/>
  <c r="M507" i="45"/>
  <c r="N507" i="45"/>
  <c r="O507" i="45"/>
  <c r="P507" i="45"/>
  <c r="Q507" i="45"/>
  <c r="R507" i="45"/>
  <c r="S507" i="45"/>
  <c r="T507" i="45"/>
  <c r="U507" i="45"/>
  <c r="V507" i="45"/>
  <c r="W507" i="45"/>
  <c r="X507" i="45"/>
  <c r="Y507" i="45"/>
  <c r="Z507" i="45"/>
  <c r="AA507" i="45"/>
  <c r="AB507" i="45"/>
  <c r="AC507" i="45"/>
  <c r="AD507" i="45"/>
  <c r="AE507" i="45"/>
  <c r="AF507" i="45"/>
  <c r="AG507" i="45"/>
  <c r="AH507" i="45"/>
  <c r="AI507" i="45"/>
  <c r="AJ507" i="45"/>
  <c r="AK507" i="45"/>
  <c r="AL507" i="45"/>
  <c r="AM507" i="45"/>
  <c r="AN507" i="45"/>
  <c r="AO507" i="45"/>
  <c r="AP507" i="45"/>
  <c r="AQ507" i="45"/>
  <c r="AR507" i="45"/>
  <c r="AS507" i="45"/>
  <c r="AT507" i="45"/>
  <c r="AU507" i="45"/>
  <c r="AV507" i="45"/>
  <c r="AW507" i="45"/>
  <c r="B508" i="45"/>
  <c r="C508" i="45"/>
  <c r="D508" i="45"/>
  <c r="E508" i="45"/>
  <c r="F508" i="45"/>
  <c r="G508" i="45"/>
  <c r="H508" i="45"/>
  <c r="I508" i="45"/>
  <c r="J508" i="45"/>
  <c r="K508" i="45"/>
  <c r="L508" i="45"/>
  <c r="M508" i="45"/>
  <c r="N508" i="45"/>
  <c r="O508" i="45"/>
  <c r="P508" i="45"/>
  <c r="Q508" i="45"/>
  <c r="R508" i="45"/>
  <c r="S508" i="45"/>
  <c r="T508" i="45"/>
  <c r="U508" i="45"/>
  <c r="V508" i="45"/>
  <c r="W508" i="45"/>
  <c r="X508" i="45"/>
  <c r="Y508" i="45"/>
  <c r="Z508" i="45"/>
  <c r="AA508" i="45"/>
  <c r="AB508" i="45"/>
  <c r="AC508" i="45"/>
  <c r="AD508" i="45"/>
  <c r="AE508" i="45"/>
  <c r="AF508" i="45"/>
  <c r="AG508" i="45"/>
  <c r="AH508" i="45"/>
  <c r="AI508" i="45"/>
  <c r="AJ508" i="45"/>
  <c r="AK508" i="45"/>
  <c r="AL508" i="45"/>
  <c r="AM508" i="45"/>
  <c r="AN508" i="45"/>
  <c r="AO508" i="45"/>
  <c r="AP508" i="45"/>
  <c r="AQ508" i="45"/>
  <c r="AR508" i="45"/>
  <c r="AS508" i="45"/>
  <c r="AT508" i="45"/>
  <c r="AU508" i="45"/>
  <c r="AV508" i="45"/>
  <c r="AW508" i="45"/>
  <c r="B509" i="45"/>
  <c r="C509" i="45"/>
  <c r="D509" i="45"/>
  <c r="E509" i="45"/>
  <c r="F509" i="45"/>
  <c r="G509" i="45"/>
  <c r="H509" i="45"/>
  <c r="I509" i="45"/>
  <c r="J509" i="45"/>
  <c r="K509" i="45"/>
  <c r="L509" i="45"/>
  <c r="M509" i="45"/>
  <c r="N509" i="45"/>
  <c r="O509" i="45"/>
  <c r="P509" i="45"/>
  <c r="Q509" i="45"/>
  <c r="R509" i="45"/>
  <c r="S509" i="45"/>
  <c r="T509" i="45"/>
  <c r="U509" i="45"/>
  <c r="V509" i="45"/>
  <c r="W509" i="45"/>
  <c r="X509" i="45"/>
  <c r="Y509" i="45"/>
  <c r="Z509" i="45"/>
  <c r="AA509" i="45"/>
  <c r="AB509" i="45"/>
  <c r="AC509" i="45"/>
  <c r="AD509" i="45"/>
  <c r="AE509" i="45"/>
  <c r="AF509" i="45"/>
  <c r="AG509" i="45"/>
  <c r="AH509" i="45"/>
  <c r="AI509" i="45"/>
  <c r="AJ509" i="45"/>
  <c r="AK509" i="45"/>
  <c r="AL509" i="45"/>
  <c r="AM509" i="45"/>
  <c r="AN509" i="45"/>
  <c r="AO509" i="45"/>
  <c r="AP509" i="45"/>
  <c r="AQ509" i="45"/>
  <c r="AR509" i="45"/>
  <c r="AS509" i="45"/>
  <c r="AT509" i="45"/>
  <c r="AU509" i="45"/>
  <c r="AV509" i="45"/>
  <c r="AW509" i="45"/>
  <c r="B510" i="45"/>
  <c r="C510" i="45"/>
  <c r="D510" i="45"/>
  <c r="E510" i="45"/>
  <c r="F510" i="45"/>
  <c r="G510" i="45"/>
  <c r="H510" i="45"/>
  <c r="I510" i="45"/>
  <c r="J510" i="45"/>
  <c r="K510" i="45"/>
  <c r="L510" i="45"/>
  <c r="M510" i="45"/>
  <c r="N510" i="45"/>
  <c r="O510" i="45"/>
  <c r="P510" i="45"/>
  <c r="Q510" i="45"/>
  <c r="R510" i="45"/>
  <c r="S510" i="45"/>
  <c r="T510" i="45"/>
  <c r="U510" i="45"/>
  <c r="V510" i="45"/>
  <c r="W510" i="45"/>
  <c r="X510" i="45"/>
  <c r="Y510" i="45"/>
  <c r="Z510" i="45"/>
  <c r="AA510" i="45"/>
  <c r="AB510" i="45"/>
  <c r="AC510" i="45"/>
  <c r="AD510" i="45"/>
  <c r="AE510" i="45"/>
  <c r="AF510" i="45"/>
  <c r="AG510" i="45"/>
  <c r="AH510" i="45"/>
  <c r="AI510" i="45"/>
  <c r="AJ510" i="45"/>
  <c r="AK510" i="45"/>
  <c r="AL510" i="45"/>
  <c r="AM510" i="45"/>
  <c r="AN510" i="45"/>
  <c r="AO510" i="45"/>
  <c r="AP510" i="45"/>
  <c r="AQ510" i="45"/>
  <c r="AR510" i="45"/>
  <c r="AS510" i="45"/>
  <c r="AT510" i="45"/>
  <c r="AU510" i="45"/>
  <c r="AV510" i="45"/>
  <c r="AW510" i="45"/>
  <c r="B511" i="45"/>
  <c r="C511" i="45"/>
  <c r="D511" i="45"/>
  <c r="E511" i="45"/>
  <c r="F511" i="45"/>
  <c r="G511" i="45"/>
  <c r="H511" i="45"/>
  <c r="I511" i="45"/>
  <c r="J511" i="45"/>
  <c r="K511" i="45"/>
  <c r="L511" i="45"/>
  <c r="M511" i="45"/>
  <c r="N511" i="45"/>
  <c r="O511" i="45"/>
  <c r="P511" i="45"/>
  <c r="Q511" i="45"/>
  <c r="R511" i="45"/>
  <c r="S511" i="45"/>
  <c r="T511" i="45"/>
  <c r="U511" i="45"/>
  <c r="V511" i="45"/>
  <c r="W511" i="45"/>
  <c r="X511" i="45"/>
  <c r="Y511" i="45"/>
  <c r="Z511" i="45"/>
  <c r="AA511" i="45"/>
  <c r="AB511" i="45"/>
  <c r="AC511" i="45"/>
  <c r="AD511" i="45"/>
  <c r="AE511" i="45"/>
  <c r="AF511" i="45"/>
  <c r="AG511" i="45"/>
  <c r="AH511" i="45"/>
  <c r="AI511" i="45"/>
  <c r="AJ511" i="45"/>
  <c r="AK511" i="45"/>
  <c r="AL511" i="45"/>
  <c r="AM511" i="45"/>
  <c r="AN511" i="45"/>
  <c r="AO511" i="45"/>
  <c r="AP511" i="45"/>
  <c r="AQ511" i="45"/>
  <c r="AR511" i="45"/>
  <c r="AS511" i="45"/>
  <c r="AT511" i="45"/>
  <c r="AU511" i="45"/>
  <c r="AV511" i="45"/>
  <c r="AW511" i="45"/>
  <c r="B512" i="45"/>
  <c r="C512" i="45"/>
  <c r="D512" i="45"/>
  <c r="E512" i="45"/>
  <c r="F512" i="45"/>
  <c r="G512" i="45"/>
  <c r="H512" i="45"/>
  <c r="I512" i="45"/>
  <c r="J512" i="45"/>
  <c r="K512" i="45"/>
  <c r="L512" i="45"/>
  <c r="M512" i="45"/>
  <c r="N512" i="45"/>
  <c r="O512" i="45"/>
  <c r="P512" i="45"/>
  <c r="Q512" i="45"/>
  <c r="R512" i="45"/>
  <c r="S512" i="45"/>
  <c r="T512" i="45"/>
  <c r="U512" i="45"/>
  <c r="V512" i="45"/>
  <c r="W512" i="45"/>
  <c r="X512" i="45"/>
  <c r="Y512" i="45"/>
  <c r="Z512" i="45"/>
  <c r="AA512" i="45"/>
  <c r="AB512" i="45"/>
  <c r="AC512" i="45"/>
  <c r="AD512" i="45"/>
  <c r="AE512" i="45"/>
  <c r="AF512" i="45"/>
  <c r="AG512" i="45"/>
  <c r="AH512" i="45"/>
  <c r="AI512" i="45"/>
  <c r="AJ512" i="45"/>
  <c r="AK512" i="45"/>
  <c r="AL512" i="45"/>
  <c r="AM512" i="45"/>
  <c r="AN512" i="45"/>
  <c r="AO512" i="45"/>
  <c r="AP512" i="45"/>
  <c r="AQ512" i="45"/>
  <c r="AR512" i="45"/>
  <c r="AS512" i="45"/>
  <c r="AT512" i="45"/>
  <c r="AU512" i="45"/>
  <c r="AV512" i="45"/>
  <c r="AW512" i="45"/>
  <c r="B513" i="45"/>
  <c r="C513" i="45"/>
  <c r="D513" i="45"/>
  <c r="E513" i="45"/>
  <c r="F513" i="45"/>
  <c r="G513" i="45"/>
  <c r="H513" i="45"/>
  <c r="I513" i="45"/>
  <c r="J513" i="45"/>
  <c r="K513" i="45"/>
  <c r="L513" i="45"/>
  <c r="M513" i="45"/>
  <c r="N513" i="45"/>
  <c r="O513" i="45"/>
  <c r="P513" i="45"/>
  <c r="Q513" i="45"/>
  <c r="R513" i="45"/>
  <c r="S513" i="45"/>
  <c r="T513" i="45"/>
  <c r="U513" i="45"/>
  <c r="V513" i="45"/>
  <c r="W513" i="45"/>
  <c r="X513" i="45"/>
  <c r="Y513" i="45"/>
  <c r="Z513" i="45"/>
  <c r="AA513" i="45"/>
  <c r="AB513" i="45"/>
  <c r="AC513" i="45"/>
  <c r="AD513" i="45"/>
  <c r="AE513" i="45"/>
  <c r="AF513" i="45"/>
  <c r="AG513" i="45"/>
  <c r="AH513" i="45"/>
  <c r="AI513" i="45"/>
  <c r="AJ513" i="45"/>
  <c r="AK513" i="45"/>
  <c r="AL513" i="45"/>
  <c r="AM513" i="45"/>
  <c r="AN513" i="45"/>
  <c r="AO513" i="45"/>
  <c r="AP513" i="45"/>
  <c r="AQ513" i="45"/>
  <c r="AR513" i="45"/>
  <c r="AS513" i="45"/>
  <c r="AT513" i="45"/>
  <c r="AU513" i="45"/>
  <c r="AV513" i="45"/>
  <c r="AW513" i="45"/>
  <c r="B514" i="45"/>
  <c r="C514" i="45"/>
  <c r="D514" i="45"/>
  <c r="E514" i="45"/>
  <c r="F514" i="45"/>
  <c r="G514" i="45"/>
  <c r="H514" i="45"/>
  <c r="I514" i="45"/>
  <c r="J514" i="45"/>
  <c r="K514" i="45"/>
  <c r="L514" i="45"/>
  <c r="M514" i="45"/>
  <c r="N514" i="45"/>
  <c r="O514" i="45"/>
  <c r="P514" i="45"/>
  <c r="Q514" i="45"/>
  <c r="R514" i="45"/>
  <c r="S514" i="45"/>
  <c r="T514" i="45"/>
  <c r="U514" i="45"/>
  <c r="V514" i="45"/>
  <c r="W514" i="45"/>
  <c r="X514" i="45"/>
  <c r="Y514" i="45"/>
  <c r="Z514" i="45"/>
  <c r="AA514" i="45"/>
  <c r="AB514" i="45"/>
  <c r="AC514" i="45"/>
  <c r="AD514" i="45"/>
  <c r="AE514" i="45"/>
  <c r="AF514" i="45"/>
  <c r="AG514" i="45"/>
  <c r="AH514" i="45"/>
  <c r="AI514" i="45"/>
  <c r="AJ514" i="45"/>
  <c r="AK514" i="45"/>
  <c r="AL514" i="45"/>
  <c r="AM514" i="45"/>
  <c r="AN514" i="45"/>
  <c r="AO514" i="45"/>
  <c r="AP514" i="45"/>
  <c r="AQ514" i="45"/>
  <c r="AR514" i="45"/>
  <c r="AS514" i="45"/>
  <c r="AT514" i="45"/>
  <c r="AU514" i="45"/>
  <c r="AV514" i="45"/>
  <c r="AW514" i="45"/>
  <c r="B515" i="45"/>
  <c r="C515" i="45"/>
  <c r="D515" i="45"/>
  <c r="E515" i="45"/>
  <c r="F515" i="45"/>
  <c r="G515" i="45"/>
  <c r="H515" i="45"/>
  <c r="I515" i="45"/>
  <c r="J515" i="45"/>
  <c r="K515" i="45"/>
  <c r="L515" i="45"/>
  <c r="M515" i="45"/>
  <c r="N515" i="45"/>
  <c r="O515" i="45"/>
  <c r="P515" i="45"/>
  <c r="Q515" i="45"/>
  <c r="R515" i="45"/>
  <c r="S515" i="45"/>
  <c r="T515" i="45"/>
  <c r="U515" i="45"/>
  <c r="V515" i="45"/>
  <c r="W515" i="45"/>
  <c r="X515" i="45"/>
  <c r="Y515" i="45"/>
  <c r="Z515" i="45"/>
  <c r="AA515" i="45"/>
  <c r="AB515" i="45"/>
  <c r="AC515" i="45"/>
  <c r="AD515" i="45"/>
  <c r="AE515" i="45"/>
  <c r="AF515" i="45"/>
  <c r="AG515" i="45"/>
  <c r="AH515" i="45"/>
  <c r="AI515" i="45"/>
  <c r="AJ515" i="45"/>
  <c r="AK515" i="45"/>
  <c r="AL515" i="45"/>
  <c r="AM515" i="45"/>
  <c r="AN515" i="45"/>
  <c r="AO515" i="45"/>
  <c r="AP515" i="45"/>
  <c r="AQ515" i="45"/>
  <c r="AR515" i="45"/>
  <c r="AS515" i="45"/>
  <c r="AT515" i="45"/>
  <c r="AU515" i="45"/>
  <c r="AV515" i="45"/>
  <c r="AW515" i="45"/>
  <c r="B516" i="45"/>
  <c r="C516" i="45"/>
  <c r="D516" i="45"/>
  <c r="E516" i="45"/>
  <c r="F516" i="45"/>
  <c r="G516" i="45"/>
  <c r="H516" i="45"/>
  <c r="I516" i="45"/>
  <c r="J516" i="45"/>
  <c r="K516" i="45"/>
  <c r="L516" i="45"/>
  <c r="M516" i="45"/>
  <c r="N516" i="45"/>
  <c r="O516" i="45"/>
  <c r="P516" i="45"/>
  <c r="Q516" i="45"/>
  <c r="R516" i="45"/>
  <c r="S516" i="45"/>
  <c r="T516" i="45"/>
  <c r="U516" i="45"/>
  <c r="V516" i="45"/>
  <c r="W516" i="45"/>
  <c r="X516" i="45"/>
  <c r="Y516" i="45"/>
  <c r="Z516" i="45"/>
  <c r="AA516" i="45"/>
  <c r="AB516" i="45"/>
  <c r="AC516" i="45"/>
  <c r="AD516" i="45"/>
  <c r="AE516" i="45"/>
  <c r="AF516" i="45"/>
  <c r="AG516" i="45"/>
  <c r="AH516" i="45"/>
  <c r="AI516" i="45"/>
  <c r="AJ516" i="45"/>
  <c r="AK516" i="45"/>
  <c r="AL516" i="45"/>
  <c r="AM516" i="45"/>
  <c r="AN516" i="45"/>
  <c r="AO516" i="45"/>
  <c r="AP516" i="45"/>
  <c r="AQ516" i="45"/>
  <c r="AR516" i="45"/>
  <c r="AS516" i="45"/>
  <c r="AT516" i="45"/>
  <c r="AU516" i="45"/>
  <c r="AV516" i="45"/>
  <c r="AW516" i="45"/>
  <c r="B517" i="45"/>
  <c r="C517" i="45"/>
  <c r="D517" i="45"/>
  <c r="E517" i="45"/>
  <c r="F517" i="45"/>
  <c r="G517" i="45"/>
  <c r="H517" i="45"/>
  <c r="I517" i="45"/>
  <c r="J517" i="45"/>
  <c r="K517" i="45"/>
  <c r="L517" i="45"/>
  <c r="M517" i="45"/>
  <c r="N517" i="45"/>
  <c r="O517" i="45"/>
  <c r="P517" i="45"/>
  <c r="Q517" i="45"/>
  <c r="R517" i="45"/>
  <c r="S517" i="45"/>
  <c r="T517" i="45"/>
  <c r="U517" i="45"/>
  <c r="V517" i="45"/>
  <c r="W517" i="45"/>
  <c r="X517" i="45"/>
  <c r="Y517" i="45"/>
  <c r="Z517" i="45"/>
  <c r="AA517" i="45"/>
  <c r="AB517" i="45"/>
  <c r="AC517" i="45"/>
  <c r="AD517" i="45"/>
  <c r="AE517" i="45"/>
  <c r="AF517" i="45"/>
  <c r="AG517" i="45"/>
  <c r="AH517" i="45"/>
  <c r="AI517" i="45"/>
  <c r="AJ517" i="45"/>
  <c r="AK517" i="45"/>
  <c r="AL517" i="45"/>
  <c r="AM517" i="45"/>
  <c r="AN517" i="45"/>
  <c r="AO517" i="45"/>
  <c r="AP517" i="45"/>
  <c r="AQ517" i="45"/>
  <c r="AR517" i="45"/>
  <c r="AS517" i="45"/>
  <c r="AT517" i="45"/>
  <c r="AU517" i="45"/>
  <c r="AV517" i="45"/>
  <c r="AW517" i="45"/>
  <c r="B518" i="45"/>
  <c r="C518" i="45"/>
  <c r="D518" i="45"/>
  <c r="E518" i="45"/>
  <c r="F518" i="45"/>
  <c r="G518" i="45"/>
  <c r="H518" i="45"/>
  <c r="I518" i="45"/>
  <c r="J518" i="45"/>
  <c r="K518" i="45"/>
  <c r="L518" i="45"/>
  <c r="M518" i="45"/>
  <c r="N518" i="45"/>
  <c r="O518" i="45"/>
  <c r="P518" i="45"/>
  <c r="Q518" i="45"/>
  <c r="R518" i="45"/>
  <c r="S518" i="45"/>
  <c r="T518" i="45"/>
  <c r="U518" i="45"/>
  <c r="V518" i="45"/>
  <c r="W518" i="45"/>
  <c r="X518" i="45"/>
  <c r="Y518" i="45"/>
  <c r="Z518" i="45"/>
  <c r="AA518" i="45"/>
  <c r="AB518" i="45"/>
  <c r="AC518" i="45"/>
  <c r="AD518" i="45"/>
  <c r="AE518" i="45"/>
  <c r="AF518" i="45"/>
  <c r="AG518" i="45"/>
  <c r="AH518" i="45"/>
  <c r="AI518" i="45"/>
  <c r="AJ518" i="45"/>
  <c r="AK518" i="45"/>
  <c r="AL518" i="45"/>
  <c r="AM518" i="45"/>
  <c r="AN518" i="45"/>
  <c r="AO518" i="45"/>
  <c r="AP518" i="45"/>
  <c r="AQ518" i="45"/>
  <c r="AR518" i="45"/>
  <c r="AS518" i="45"/>
  <c r="AT518" i="45"/>
  <c r="AU518" i="45"/>
  <c r="AV518" i="45"/>
  <c r="AW518" i="45"/>
  <c r="B519" i="45"/>
  <c r="C519" i="45"/>
  <c r="D519" i="45"/>
  <c r="E519" i="45"/>
  <c r="F519" i="45"/>
  <c r="G519" i="45"/>
  <c r="H519" i="45"/>
  <c r="I519" i="45"/>
  <c r="J519" i="45"/>
  <c r="K519" i="45"/>
  <c r="L519" i="45"/>
  <c r="M519" i="45"/>
  <c r="N519" i="45"/>
  <c r="O519" i="45"/>
  <c r="P519" i="45"/>
  <c r="Q519" i="45"/>
  <c r="R519" i="45"/>
  <c r="S519" i="45"/>
  <c r="T519" i="45"/>
  <c r="U519" i="45"/>
  <c r="V519" i="45"/>
  <c r="W519" i="45"/>
  <c r="X519" i="45"/>
  <c r="Y519" i="45"/>
  <c r="Z519" i="45"/>
  <c r="AA519" i="45"/>
  <c r="AB519" i="45"/>
  <c r="AC519" i="45"/>
  <c r="AD519" i="45"/>
  <c r="AE519" i="45"/>
  <c r="AF519" i="45"/>
  <c r="AG519" i="45"/>
  <c r="AH519" i="45"/>
  <c r="AI519" i="45"/>
  <c r="AJ519" i="45"/>
  <c r="AK519" i="45"/>
  <c r="AL519" i="45"/>
  <c r="AM519" i="45"/>
  <c r="AN519" i="45"/>
  <c r="AO519" i="45"/>
  <c r="AP519" i="45"/>
  <c r="AQ519" i="45"/>
  <c r="AR519" i="45"/>
  <c r="AS519" i="45"/>
  <c r="AT519" i="45"/>
  <c r="AU519" i="45"/>
  <c r="AV519" i="45"/>
  <c r="AW519" i="45"/>
  <c r="B520" i="45"/>
  <c r="C520" i="45"/>
  <c r="D520" i="45"/>
  <c r="E520" i="45"/>
  <c r="F520" i="45"/>
  <c r="G520" i="45"/>
  <c r="H520" i="45"/>
  <c r="I520" i="45"/>
  <c r="J520" i="45"/>
  <c r="K520" i="45"/>
  <c r="L520" i="45"/>
  <c r="M520" i="45"/>
  <c r="N520" i="45"/>
  <c r="O520" i="45"/>
  <c r="P520" i="45"/>
  <c r="Q520" i="45"/>
  <c r="R520" i="45"/>
  <c r="S520" i="45"/>
  <c r="T520" i="45"/>
  <c r="U520" i="45"/>
  <c r="V520" i="45"/>
  <c r="W520" i="45"/>
  <c r="X520" i="45"/>
  <c r="Y520" i="45"/>
  <c r="Z520" i="45"/>
  <c r="AA520" i="45"/>
  <c r="AB520" i="45"/>
  <c r="AC520" i="45"/>
  <c r="AD520" i="45"/>
  <c r="AE520" i="45"/>
  <c r="AF520" i="45"/>
  <c r="AG520" i="45"/>
  <c r="AH520" i="45"/>
  <c r="AI520" i="45"/>
  <c r="AJ520" i="45"/>
  <c r="AK520" i="45"/>
  <c r="AL520" i="45"/>
  <c r="AM520" i="45"/>
  <c r="AN520" i="45"/>
  <c r="AO520" i="45"/>
  <c r="AP520" i="45"/>
  <c r="AQ520" i="45"/>
  <c r="AR520" i="45"/>
  <c r="AS520" i="45"/>
  <c r="AT520" i="45"/>
  <c r="AU520" i="45"/>
  <c r="AV520" i="45"/>
  <c r="AW520" i="45"/>
  <c r="B521" i="45"/>
  <c r="C521" i="45"/>
  <c r="D521" i="45"/>
  <c r="E521" i="45"/>
  <c r="F521" i="45"/>
  <c r="G521" i="45"/>
  <c r="H521" i="45"/>
  <c r="I521" i="45"/>
  <c r="J521" i="45"/>
  <c r="K521" i="45"/>
  <c r="L521" i="45"/>
  <c r="M521" i="45"/>
  <c r="N521" i="45"/>
  <c r="O521" i="45"/>
  <c r="P521" i="45"/>
  <c r="Q521" i="45"/>
  <c r="R521" i="45"/>
  <c r="S521" i="45"/>
  <c r="T521" i="45"/>
  <c r="U521" i="45"/>
  <c r="V521" i="45"/>
  <c r="W521" i="45"/>
  <c r="X521" i="45"/>
  <c r="Y521" i="45"/>
  <c r="Z521" i="45"/>
  <c r="AA521" i="45"/>
  <c r="AB521" i="45"/>
  <c r="AC521" i="45"/>
  <c r="AD521" i="45"/>
  <c r="AE521" i="45"/>
  <c r="AF521" i="45"/>
  <c r="AG521" i="45"/>
  <c r="AH521" i="45"/>
  <c r="AI521" i="45"/>
  <c r="AJ521" i="45"/>
  <c r="AK521" i="45"/>
  <c r="AL521" i="45"/>
  <c r="AM521" i="45"/>
  <c r="AN521" i="45"/>
  <c r="AO521" i="45"/>
  <c r="AP521" i="45"/>
  <c r="AQ521" i="45"/>
  <c r="AR521" i="45"/>
  <c r="AS521" i="45"/>
  <c r="AT521" i="45"/>
  <c r="AU521" i="45"/>
  <c r="AV521" i="45"/>
  <c r="AW521" i="45"/>
  <c r="B522" i="45"/>
  <c r="C522" i="45"/>
  <c r="D522" i="45"/>
  <c r="E522" i="45"/>
  <c r="F522" i="45"/>
  <c r="G522" i="45"/>
  <c r="H522" i="45"/>
  <c r="I522" i="45"/>
  <c r="J522" i="45"/>
  <c r="K522" i="45"/>
  <c r="L522" i="45"/>
  <c r="M522" i="45"/>
  <c r="N522" i="45"/>
  <c r="O522" i="45"/>
  <c r="P522" i="45"/>
  <c r="Q522" i="45"/>
  <c r="R522" i="45"/>
  <c r="S522" i="45"/>
  <c r="T522" i="45"/>
  <c r="U522" i="45"/>
  <c r="V522" i="45"/>
  <c r="W522" i="45"/>
  <c r="X522" i="45"/>
  <c r="Y522" i="45"/>
  <c r="Z522" i="45"/>
  <c r="AA522" i="45"/>
  <c r="AB522" i="45"/>
  <c r="AC522" i="45"/>
  <c r="AD522" i="45"/>
  <c r="AE522" i="45"/>
  <c r="AF522" i="45"/>
  <c r="AG522" i="45"/>
  <c r="AH522" i="45"/>
  <c r="AI522" i="45"/>
  <c r="AJ522" i="45"/>
  <c r="AK522" i="45"/>
  <c r="AL522" i="45"/>
  <c r="AM522" i="45"/>
  <c r="AN522" i="45"/>
  <c r="AO522" i="45"/>
  <c r="AP522" i="45"/>
  <c r="AQ522" i="45"/>
  <c r="AR522" i="45"/>
  <c r="AS522" i="45"/>
  <c r="AT522" i="45"/>
  <c r="AU522" i="45"/>
  <c r="AV522" i="45"/>
  <c r="AW522" i="45"/>
  <c r="B523" i="45"/>
  <c r="C523" i="45"/>
  <c r="D523" i="45"/>
  <c r="E523" i="45"/>
  <c r="F523" i="45"/>
  <c r="G523" i="45"/>
  <c r="H523" i="45"/>
  <c r="I523" i="45"/>
  <c r="J523" i="45"/>
  <c r="K523" i="45"/>
  <c r="L523" i="45"/>
  <c r="M523" i="45"/>
  <c r="N523" i="45"/>
  <c r="O523" i="45"/>
  <c r="P523" i="45"/>
  <c r="Q523" i="45"/>
  <c r="R523" i="45"/>
  <c r="S523" i="45"/>
  <c r="T523" i="45"/>
  <c r="U523" i="45"/>
  <c r="V523" i="45"/>
  <c r="W523" i="45"/>
  <c r="X523" i="45"/>
  <c r="Y523" i="45"/>
  <c r="Z523" i="45"/>
  <c r="AA523" i="45"/>
  <c r="AB523" i="45"/>
  <c r="AC523" i="45"/>
  <c r="AD523" i="45"/>
  <c r="AE523" i="45"/>
  <c r="AF523" i="45"/>
  <c r="AG523" i="45"/>
  <c r="AH523" i="45"/>
  <c r="AI523" i="45"/>
  <c r="AJ523" i="45"/>
  <c r="AK523" i="45"/>
  <c r="AL523" i="45"/>
  <c r="AM523" i="45"/>
  <c r="AN523" i="45"/>
  <c r="AO523" i="45"/>
  <c r="AP523" i="45"/>
  <c r="AQ523" i="45"/>
  <c r="AR523" i="45"/>
  <c r="AS523" i="45"/>
  <c r="AT523" i="45"/>
  <c r="AU523" i="45"/>
  <c r="AV523" i="45"/>
  <c r="AW523" i="45"/>
  <c r="B524" i="45"/>
  <c r="C524" i="45"/>
  <c r="D524" i="45"/>
  <c r="E524" i="45"/>
  <c r="F524" i="45"/>
  <c r="G524" i="45"/>
  <c r="H524" i="45"/>
  <c r="I524" i="45"/>
  <c r="J524" i="45"/>
  <c r="K524" i="45"/>
  <c r="L524" i="45"/>
  <c r="M524" i="45"/>
  <c r="N524" i="45"/>
  <c r="O524" i="45"/>
  <c r="P524" i="45"/>
  <c r="Q524" i="45"/>
  <c r="R524" i="45"/>
  <c r="S524" i="45"/>
  <c r="T524" i="45"/>
  <c r="U524" i="45"/>
  <c r="V524" i="45"/>
  <c r="W524" i="45"/>
  <c r="X524" i="45"/>
  <c r="Y524" i="45"/>
  <c r="Z524" i="45"/>
  <c r="AA524" i="45"/>
  <c r="AB524" i="45"/>
  <c r="AC524" i="45"/>
  <c r="AD524" i="45"/>
  <c r="AE524" i="45"/>
  <c r="AF524" i="45"/>
  <c r="AG524" i="45"/>
  <c r="AH524" i="45"/>
  <c r="AI524" i="45"/>
  <c r="AJ524" i="45"/>
  <c r="AK524" i="45"/>
  <c r="AL524" i="45"/>
  <c r="AM524" i="45"/>
  <c r="AN524" i="45"/>
  <c r="AO524" i="45"/>
  <c r="AP524" i="45"/>
  <c r="AQ524" i="45"/>
  <c r="AR524" i="45"/>
  <c r="AS524" i="45"/>
  <c r="AT524" i="45"/>
  <c r="AU524" i="45"/>
  <c r="AV524" i="45"/>
  <c r="AW524" i="45"/>
  <c r="B525" i="45"/>
  <c r="C525" i="45"/>
  <c r="D525" i="45"/>
  <c r="E525" i="45"/>
  <c r="F525" i="45"/>
  <c r="G525" i="45"/>
  <c r="H525" i="45"/>
  <c r="I525" i="45"/>
  <c r="J525" i="45"/>
  <c r="K525" i="45"/>
  <c r="L525" i="45"/>
  <c r="M525" i="45"/>
  <c r="N525" i="45"/>
  <c r="O525" i="45"/>
  <c r="P525" i="45"/>
  <c r="Q525" i="45"/>
  <c r="R525" i="45"/>
  <c r="S525" i="45"/>
  <c r="T525" i="45"/>
  <c r="U525" i="45"/>
  <c r="V525" i="45"/>
  <c r="W525" i="45"/>
  <c r="X525" i="45"/>
  <c r="Y525" i="45"/>
  <c r="Z525" i="45"/>
  <c r="AA525" i="45"/>
  <c r="AB525" i="45"/>
  <c r="AC525" i="45"/>
  <c r="AD525" i="45"/>
  <c r="AE525" i="45"/>
  <c r="AF525" i="45"/>
  <c r="AG525" i="45"/>
  <c r="AH525" i="45"/>
  <c r="AI525" i="45"/>
  <c r="AJ525" i="45"/>
  <c r="AK525" i="45"/>
  <c r="AL525" i="45"/>
  <c r="AM525" i="45"/>
  <c r="AN525" i="45"/>
  <c r="AO525" i="45"/>
  <c r="AP525" i="45"/>
  <c r="AQ525" i="45"/>
  <c r="AR525" i="45"/>
  <c r="AS525" i="45"/>
  <c r="AT525" i="45"/>
  <c r="AU525" i="45"/>
  <c r="AV525" i="45"/>
  <c r="AW525" i="45"/>
  <c r="B326" i="28"/>
  <c r="C326" i="28"/>
  <c r="D326" i="28"/>
  <c r="E326" i="28"/>
  <c r="F326" i="28"/>
  <c r="G326" i="28"/>
  <c r="H326" i="28"/>
  <c r="I326" i="28"/>
  <c r="J326" i="28"/>
  <c r="K326" i="28"/>
  <c r="L326" i="28"/>
  <c r="M326" i="28"/>
  <c r="N326" i="28"/>
  <c r="O326" i="28"/>
  <c r="P326" i="28"/>
  <c r="Q326" i="28"/>
  <c r="R326" i="28"/>
  <c r="S326" i="28"/>
  <c r="T326" i="28"/>
  <c r="U326" i="28"/>
  <c r="V326" i="28"/>
  <c r="W326" i="28"/>
  <c r="X326" i="28"/>
  <c r="Y326" i="28"/>
  <c r="Z326" i="28"/>
  <c r="AA326" i="28"/>
  <c r="AB326" i="28"/>
  <c r="AC326" i="28"/>
  <c r="AD326" i="28"/>
  <c r="AE326" i="28"/>
  <c r="AF326" i="28"/>
  <c r="B327" i="28"/>
  <c r="C327" i="28"/>
  <c r="D327" i="28"/>
  <c r="E327" i="28"/>
  <c r="F327" i="28"/>
  <c r="G327" i="28"/>
  <c r="H327" i="28"/>
  <c r="I327" i="28"/>
  <c r="J327" i="28"/>
  <c r="K327" i="28"/>
  <c r="L327" i="28"/>
  <c r="M327" i="28"/>
  <c r="N327" i="28"/>
  <c r="O327" i="28"/>
  <c r="P327" i="28"/>
  <c r="Q327" i="28"/>
  <c r="R327" i="28"/>
  <c r="S327" i="28"/>
  <c r="T327" i="28"/>
  <c r="U327" i="28"/>
  <c r="V327" i="28"/>
  <c r="W327" i="28"/>
  <c r="X327" i="28"/>
  <c r="Y327" i="28"/>
  <c r="Z327" i="28"/>
  <c r="AA327" i="28"/>
  <c r="AB327" i="28"/>
  <c r="AC327" i="28"/>
  <c r="AD327" i="28"/>
  <c r="AE327" i="28"/>
  <c r="AF327" i="28"/>
  <c r="B328" i="28"/>
  <c r="C328" i="28"/>
  <c r="D328" i="28"/>
  <c r="E328" i="28"/>
  <c r="F328" i="28"/>
  <c r="G328" i="28"/>
  <c r="H328" i="28"/>
  <c r="I328" i="28"/>
  <c r="J328" i="28"/>
  <c r="K328" i="28"/>
  <c r="L328" i="28"/>
  <c r="M328" i="28"/>
  <c r="N328" i="28"/>
  <c r="O328" i="28"/>
  <c r="P328" i="28"/>
  <c r="Q328" i="28"/>
  <c r="R328" i="28"/>
  <c r="S328" i="28"/>
  <c r="T328" i="28"/>
  <c r="U328" i="28"/>
  <c r="V328" i="28"/>
  <c r="W328" i="28"/>
  <c r="X328" i="28"/>
  <c r="Y328" i="28"/>
  <c r="Z328" i="28"/>
  <c r="AA328" i="28"/>
  <c r="AB328" i="28"/>
  <c r="AC328" i="28"/>
  <c r="AD328" i="28"/>
  <c r="AE328" i="28"/>
  <c r="AF328" i="28"/>
  <c r="B329" i="28"/>
  <c r="C329" i="28"/>
  <c r="D329" i="28"/>
  <c r="E329" i="28"/>
  <c r="F329" i="28"/>
  <c r="G329" i="28"/>
  <c r="H329" i="28"/>
  <c r="I329" i="28"/>
  <c r="J329" i="28"/>
  <c r="K329" i="28"/>
  <c r="L329" i="28"/>
  <c r="M329" i="28"/>
  <c r="N329" i="28"/>
  <c r="O329" i="28"/>
  <c r="P329" i="28"/>
  <c r="Q329" i="28"/>
  <c r="R329" i="28"/>
  <c r="S329" i="28"/>
  <c r="T329" i="28"/>
  <c r="U329" i="28"/>
  <c r="V329" i="28"/>
  <c r="W329" i="28"/>
  <c r="X329" i="28"/>
  <c r="Y329" i="28"/>
  <c r="Z329" i="28"/>
  <c r="AA329" i="28"/>
  <c r="AB329" i="28"/>
  <c r="AC329" i="28"/>
  <c r="AD329" i="28"/>
  <c r="AE329" i="28"/>
  <c r="AF329" i="28"/>
  <c r="B330" i="28"/>
  <c r="C330" i="28"/>
  <c r="D330" i="28"/>
  <c r="E330" i="28"/>
  <c r="F330" i="28"/>
  <c r="G330" i="28"/>
  <c r="H330" i="28"/>
  <c r="I330" i="28"/>
  <c r="J330" i="28"/>
  <c r="K330" i="28"/>
  <c r="L330" i="28"/>
  <c r="M330" i="28"/>
  <c r="N330" i="28"/>
  <c r="O330" i="28"/>
  <c r="P330" i="28"/>
  <c r="Q330" i="28"/>
  <c r="R330" i="28"/>
  <c r="S330" i="28"/>
  <c r="T330" i="28"/>
  <c r="U330" i="28"/>
  <c r="V330" i="28"/>
  <c r="W330" i="28"/>
  <c r="X330" i="28"/>
  <c r="Y330" i="28"/>
  <c r="Z330" i="28"/>
  <c r="AA330" i="28"/>
  <c r="AB330" i="28"/>
  <c r="AC330" i="28"/>
  <c r="AD330" i="28"/>
  <c r="AE330" i="28"/>
  <c r="AF330" i="28"/>
  <c r="B331" i="28"/>
  <c r="C331" i="28"/>
  <c r="D331" i="28"/>
  <c r="E331" i="28"/>
  <c r="F331" i="28"/>
  <c r="G331" i="28"/>
  <c r="H331" i="28"/>
  <c r="I331" i="28"/>
  <c r="J331" i="28"/>
  <c r="K331" i="28"/>
  <c r="L331" i="28"/>
  <c r="M331" i="28"/>
  <c r="N331" i="28"/>
  <c r="O331" i="28"/>
  <c r="P331" i="28"/>
  <c r="Q331" i="28"/>
  <c r="R331" i="28"/>
  <c r="S331" i="28"/>
  <c r="T331" i="28"/>
  <c r="U331" i="28"/>
  <c r="V331" i="28"/>
  <c r="W331" i="28"/>
  <c r="X331" i="28"/>
  <c r="Y331" i="28"/>
  <c r="Z331" i="28"/>
  <c r="AA331" i="28"/>
  <c r="AB331" i="28"/>
  <c r="AC331" i="28"/>
  <c r="AD331" i="28"/>
  <c r="AE331" i="28"/>
  <c r="AF331" i="28"/>
  <c r="B332" i="28"/>
  <c r="C332" i="28"/>
  <c r="D332" i="28"/>
  <c r="E332" i="28"/>
  <c r="F332" i="28"/>
  <c r="G332" i="28"/>
  <c r="H332" i="28"/>
  <c r="I332" i="28"/>
  <c r="J332" i="28"/>
  <c r="K332" i="28"/>
  <c r="L332" i="28"/>
  <c r="M332" i="28"/>
  <c r="N332" i="28"/>
  <c r="O332" i="28"/>
  <c r="P332" i="28"/>
  <c r="Q332" i="28"/>
  <c r="R332" i="28"/>
  <c r="S332" i="28"/>
  <c r="T332" i="28"/>
  <c r="U332" i="28"/>
  <c r="V332" i="28"/>
  <c r="W332" i="28"/>
  <c r="X332" i="28"/>
  <c r="Y332" i="28"/>
  <c r="Z332" i="28"/>
  <c r="AA332" i="28"/>
  <c r="AB332" i="28"/>
  <c r="AC332" i="28"/>
  <c r="AD332" i="28"/>
  <c r="AE332" i="28"/>
  <c r="AF332" i="28"/>
  <c r="B333" i="28"/>
  <c r="C333" i="28"/>
  <c r="D333" i="28"/>
  <c r="E333" i="28"/>
  <c r="F333" i="28"/>
  <c r="G333" i="28"/>
  <c r="H333" i="28"/>
  <c r="I333" i="28"/>
  <c r="J333" i="28"/>
  <c r="K333" i="28"/>
  <c r="L333" i="28"/>
  <c r="M333" i="28"/>
  <c r="N333" i="28"/>
  <c r="O333" i="28"/>
  <c r="P333" i="28"/>
  <c r="Q333" i="28"/>
  <c r="R333" i="28"/>
  <c r="S333" i="28"/>
  <c r="T333" i="28"/>
  <c r="U333" i="28"/>
  <c r="V333" i="28"/>
  <c r="W333" i="28"/>
  <c r="X333" i="28"/>
  <c r="Y333" i="28"/>
  <c r="Z333" i="28"/>
  <c r="AA333" i="28"/>
  <c r="AB333" i="28"/>
  <c r="AC333" i="28"/>
  <c r="AD333" i="28"/>
  <c r="AE333" i="28"/>
  <c r="AF333" i="28"/>
  <c r="B334" i="28"/>
  <c r="C334" i="28"/>
  <c r="D334" i="28"/>
  <c r="E334" i="28"/>
  <c r="F334" i="28"/>
  <c r="G334" i="28"/>
  <c r="H334" i="28"/>
  <c r="I334" i="28"/>
  <c r="J334" i="28"/>
  <c r="K334" i="28"/>
  <c r="L334" i="28"/>
  <c r="M334" i="28"/>
  <c r="N334" i="28"/>
  <c r="O334" i="28"/>
  <c r="P334" i="28"/>
  <c r="Q334" i="28"/>
  <c r="R334" i="28"/>
  <c r="S334" i="28"/>
  <c r="T334" i="28"/>
  <c r="U334" i="28"/>
  <c r="V334" i="28"/>
  <c r="W334" i="28"/>
  <c r="X334" i="28"/>
  <c r="Y334" i="28"/>
  <c r="Z334" i="28"/>
  <c r="AA334" i="28"/>
  <c r="AB334" i="28"/>
  <c r="AC334" i="28"/>
  <c r="AD334" i="28"/>
  <c r="AE334" i="28"/>
  <c r="AF334" i="28"/>
  <c r="B335" i="28"/>
  <c r="C335" i="28"/>
  <c r="D335" i="28"/>
  <c r="E335" i="28"/>
  <c r="F335" i="28"/>
  <c r="G335" i="28"/>
  <c r="H335" i="28"/>
  <c r="I335" i="28"/>
  <c r="J335" i="28"/>
  <c r="K335" i="28"/>
  <c r="L335" i="28"/>
  <c r="M335" i="28"/>
  <c r="N335" i="28"/>
  <c r="O335" i="28"/>
  <c r="P335" i="28"/>
  <c r="Q335" i="28"/>
  <c r="R335" i="28"/>
  <c r="S335" i="28"/>
  <c r="T335" i="28"/>
  <c r="U335" i="28"/>
  <c r="V335" i="28"/>
  <c r="W335" i="28"/>
  <c r="X335" i="28"/>
  <c r="Y335" i="28"/>
  <c r="Z335" i="28"/>
  <c r="AA335" i="28"/>
  <c r="AB335" i="28"/>
  <c r="AC335" i="28"/>
  <c r="AD335" i="28"/>
  <c r="AE335" i="28"/>
  <c r="AF335" i="28"/>
  <c r="B336" i="28"/>
  <c r="C336" i="28"/>
  <c r="D336" i="28"/>
  <c r="E336" i="28"/>
  <c r="F336" i="28"/>
  <c r="G336" i="28"/>
  <c r="H336" i="28"/>
  <c r="I336" i="28"/>
  <c r="J336" i="28"/>
  <c r="K336" i="28"/>
  <c r="L336" i="28"/>
  <c r="M336" i="28"/>
  <c r="N336" i="28"/>
  <c r="O336" i="28"/>
  <c r="P336" i="28"/>
  <c r="Q336" i="28"/>
  <c r="R336" i="28"/>
  <c r="S336" i="28"/>
  <c r="T336" i="28"/>
  <c r="U336" i="28"/>
  <c r="V336" i="28"/>
  <c r="W336" i="28"/>
  <c r="X336" i="28"/>
  <c r="Y336" i="28"/>
  <c r="Z336" i="28"/>
  <c r="AA336" i="28"/>
  <c r="AB336" i="28"/>
  <c r="AC336" i="28"/>
  <c r="AD336" i="28"/>
  <c r="AE336" i="28"/>
  <c r="AF336" i="28"/>
  <c r="B337" i="28"/>
  <c r="C337" i="28"/>
  <c r="D337" i="28"/>
  <c r="E337" i="28"/>
  <c r="F337" i="28"/>
  <c r="G337" i="28"/>
  <c r="H337" i="28"/>
  <c r="I337" i="28"/>
  <c r="J337" i="28"/>
  <c r="K337" i="28"/>
  <c r="L337" i="28"/>
  <c r="M337" i="28"/>
  <c r="N337" i="28"/>
  <c r="O337" i="28"/>
  <c r="P337" i="28"/>
  <c r="Q337" i="28"/>
  <c r="R337" i="28"/>
  <c r="S337" i="28"/>
  <c r="T337" i="28"/>
  <c r="U337" i="28"/>
  <c r="V337" i="28"/>
  <c r="W337" i="28"/>
  <c r="X337" i="28"/>
  <c r="Y337" i="28"/>
  <c r="Z337" i="28"/>
  <c r="AA337" i="28"/>
  <c r="AB337" i="28"/>
  <c r="AC337" i="28"/>
  <c r="AD337" i="28"/>
  <c r="AE337" i="28"/>
  <c r="AF337" i="28"/>
  <c r="B338" i="28"/>
  <c r="C338" i="28"/>
  <c r="D338" i="28"/>
  <c r="E338" i="28"/>
  <c r="F338" i="28"/>
  <c r="G338" i="28"/>
  <c r="H338" i="28"/>
  <c r="I338" i="28"/>
  <c r="J338" i="28"/>
  <c r="K338" i="28"/>
  <c r="L338" i="28"/>
  <c r="M338" i="28"/>
  <c r="N338" i="28"/>
  <c r="O338" i="28"/>
  <c r="P338" i="28"/>
  <c r="Q338" i="28"/>
  <c r="R338" i="28"/>
  <c r="S338" i="28"/>
  <c r="T338" i="28"/>
  <c r="U338" i="28"/>
  <c r="V338" i="28"/>
  <c r="W338" i="28"/>
  <c r="X338" i="28"/>
  <c r="Y338" i="28"/>
  <c r="Z338" i="28"/>
  <c r="AA338" i="28"/>
  <c r="AB338" i="28"/>
  <c r="AC338" i="28"/>
  <c r="AD338" i="28"/>
  <c r="AE338" i="28"/>
  <c r="AF338" i="28"/>
  <c r="B339" i="28"/>
  <c r="C339" i="28"/>
  <c r="D339" i="28"/>
  <c r="E339" i="28"/>
  <c r="F339" i="28"/>
  <c r="G339" i="28"/>
  <c r="H339" i="28"/>
  <c r="I339" i="28"/>
  <c r="J339" i="28"/>
  <c r="K339" i="28"/>
  <c r="L339" i="28"/>
  <c r="M339" i="28"/>
  <c r="N339" i="28"/>
  <c r="O339" i="28"/>
  <c r="P339" i="28"/>
  <c r="Q339" i="28"/>
  <c r="R339" i="28"/>
  <c r="S339" i="28"/>
  <c r="T339" i="28"/>
  <c r="U339" i="28"/>
  <c r="V339" i="28"/>
  <c r="W339" i="28"/>
  <c r="X339" i="28"/>
  <c r="Y339" i="28"/>
  <c r="Z339" i="28"/>
  <c r="AA339" i="28"/>
  <c r="AB339" i="28"/>
  <c r="AC339" i="28"/>
  <c r="AD339" i="28"/>
  <c r="AE339" i="28"/>
  <c r="AF339" i="28"/>
  <c r="B340" i="28"/>
  <c r="C340" i="28"/>
  <c r="D340" i="28"/>
  <c r="E340" i="28"/>
  <c r="F340" i="28"/>
  <c r="G340" i="28"/>
  <c r="H340" i="28"/>
  <c r="I340" i="28"/>
  <c r="J340" i="28"/>
  <c r="K340" i="28"/>
  <c r="L340" i="28"/>
  <c r="M340" i="28"/>
  <c r="N340" i="28"/>
  <c r="O340" i="28"/>
  <c r="P340" i="28"/>
  <c r="Q340" i="28"/>
  <c r="R340" i="28"/>
  <c r="S340" i="28"/>
  <c r="T340" i="28"/>
  <c r="U340" i="28"/>
  <c r="V340" i="28"/>
  <c r="W340" i="28"/>
  <c r="X340" i="28"/>
  <c r="Y340" i="28"/>
  <c r="Z340" i="28"/>
  <c r="AA340" i="28"/>
  <c r="AB340" i="28"/>
  <c r="AC340" i="28"/>
  <c r="AD340" i="28"/>
  <c r="AE340" i="28"/>
  <c r="AF340" i="28"/>
  <c r="B341" i="28"/>
  <c r="C341" i="28"/>
  <c r="D341" i="28"/>
  <c r="E341" i="28"/>
  <c r="F341" i="28"/>
  <c r="G341" i="28"/>
  <c r="H341" i="28"/>
  <c r="I341" i="28"/>
  <c r="J341" i="28"/>
  <c r="K341" i="28"/>
  <c r="L341" i="28"/>
  <c r="M341" i="28"/>
  <c r="N341" i="28"/>
  <c r="O341" i="28"/>
  <c r="P341" i="28"/>
  <c r="Q341" i="28"/>
  <c r="R341" i="28"/>
  <c r="S341" i="28"/>
  <c r="T341" i="28"/>
  <c r="U341" i="28"/>
  <c r="V341" i="28"/>
  <c r="W341" i="28"/>
  <c r="X341" i="28"/>
  <c r="Y341" i="28"/>
  <c r="Z341" i="28"/>
  <c r="AA341" i="28"/>
  <c r="AB341" i="28"/>
  <c r="AC341" i="28"/>
  <c r="AD341" i="28"/>
  <c r="AE341" i="28"/>
  <c r="AF341" i="28"/>
  <c r="B342" i="28"/>
  <c r="C342" i="28"/>
  <c r="D342" i="28"/>
  <c r="E342" i="28"/>
  <c r="F342" i="28"/>
  <c r="G342" i="28"/>
  <c r="H342" i="28"/>
  <c r="I342" i="28"/>
  <c r="J342" i="28"/>
  <c r="K342" i="28"/>
  <c r="L342" i="28"/>
  <c r="M342" i="28"/>
  <c r="N342" i="28"/>
  <c r="O342" i="28"/>
  <c r="P342" i="28"/>
  <c r="Q342" i="28"/>
  <c r="R342" i="28"/>
  <c r="S342" i="28"/>
  <c r="T342" i="28"/>
  <c r="U342" i="28"/>
  <c r="V342" i="28"/>
  <c r="W342" i="28"/>
  <c r="X342" i="28"/>
  <c r="Y342" i="28"/>
  <c r="Z342" i="28"/>
  <c r="AA342" i="28"/>
  <c r="AB342" i="28"/>
  <c r="AC342" i="28"/>
  <c r="AD342" i="28"/>
  <c r="AE342" i="28"/>
  <c r="AF342" i="28"/>
  <c r="B343" i="28"/>
  <c r="C343" i="28"/>
  <c r="D343" i="28"/>
  <c r="E343" i="28"/>
  <c r="F343" i="28"/>
  <c r="G343" i="28"/>
  <c r="H343" i="28"/>
  <c r="I343" i="28"/>
  <c r="J343" i="28"/>
  <c r="K343" i="28"/>
  <c r="L343" i="28"/>
  <c r="M343" i="28"/>
  <c r="N343" i="28"/>
  <c r="O343" i="28"/>
  <c r="P343" i="28"/>
  <c r="Q343" i="28"/>
  <c r="R343" i="28"/>
  <c r="S343" i="28"/>
  <c r="T343" i="28"/>
  <c r="U343" i="28"/>
  <c r="V343" i="28"/>
  <c r="W343" i="28"/>
  <c r="X343" i="28"/>
  <c r="Y343" i="28"/>
  <c r="Z343" i="28"/>
  <c r="AA343" i="28"/>
  <c r="AB343" i="28"/>
  <c r="AC343" i="28"/>
  <c r="AD343" i="28"/>
  <c r="AE343" i="28"/>
  <c r="AF343" i="28"/>
  <c r="B344" i="28"/>
  <c r="C344" i="28"/>
  <c r="D344" i="28"/>
  <c r="E344" i="28"/>
  <c r="F344" i="28"/>
  <c r="G344" i="28"/>
  <c r="H344" i="28"/>
  <c r="I344" i="28"/>
  <c r="J344" i="28"/>
  <c r="K344" i="28"/>
  <c r="L344" i="28"/>
  <c r="M344" i="28"/>
  <c r="N344" i="28"/>
  <c r="O344" i="28"/>
  <c r="P344" i="28"/>
  <c r="Q344" i="28"/>
  <c r="R344" i="28"/>
  <c r="S344" i="28"/>
  <c r="T344" i="28"/>
  <c r="U344" i="28"/>
  <c r="V344" i="28"/>
  <c r="W344" i="28"/>
  <c r="X344" i="28"/>
  <c r="Y344" i="28"/>
  <c r="Z344" i="28"/>
  <c r="AA344" i="28"/>
  <c r="AB344" i="28"/>
  <c r="AC344" i="28"/>
  <c r="AD344" i="28"/>
  <c r="AE344" i="28"/>
  <c r="AF344" i="28"/>
  <c r="B345" i="28"/>
  <c r="C345" i="28"/>
  <c r="D345" i="28"/>
  <c r="E345" i="28"/>
  <c r="F345" i="28"/>
  <c r="G345" i="28"/>
  <c r="H345" i="28"/>
  <c r="I345" i="28"/>
  <c r="J345" i="28"/>
  <c r="K345" i="28"/>
  <c r="L345" i="28"/>
  <c r="M345" i="28"/>
  <c r="N345" i="28"/>
  <c r="O345" i="28"/>
  <c r="P345" i="28"/>
  <c r="Q345" i="28"/>
  <c r="R345" i="28"/>
  <c r="S345" i="28"/>
  <c r="T345" i="28"/>
  <c r="U345" i="28"/>
  <c r="V345" i="28"/>
  <c r="W345" i="28"/>
  <c r="X345" i="28"/>
  <c r="Y345" i="28"/>
  <c r="Z345" i="28"/>
  <c r="AA345" i="28"/>
  <c r="AB345" i="28"/>
  <c r="AC345" i="28"/>
  <c r="AD345" i="28"/>
  <c r="AE345" i="28"/>
  <c r="AF345" i="28"/>
  <c r="B346" i="28"/>
  <c r="C346" i="28"/>
  <c r="D346" i="28"/>
  <c r="E346" i="28"/>
  <c r="F346" i="28"/>
  <c r="G346" i="28"/>
  <c r="H346" i="28"/>
  <c r="I346" i="28"/>
  <c r="J346" i="28"/>
  <c r="K346" i="28"/>
  <c r="L346" i="28"/>
  <c r="M346" i="28"/>
  <c r="N346" i="28"/>
  <c r="O346" i="28"/>
  <c r="P346" i="28"/>
  <c r="Q346" i="28"/>
  <c r="R346" i="28"/>
  <c r="S346" i="28"/>
  <c r="T346" i="28"/>
  <c r="U346" i="28"/>
  <c r="V346" i="28"/>
  <c r="W346" i="28"/>
  <c r="X346" i="28"/>
  <c r="Y346" i="28"/>
  <c r="Z346" i="28"/>
  <c r="AA346" i="28"/>
  <c r="AB346" i="28"/>
  <c r="AC346" i="28"/>
  <c r="AD346" i="28"/>
  <c r="AE346" i="28"/>
  <c r="AF346" i="28"/>
  <c r="B347" i="28"/>
  <c r="C347" i="28"/>
  <c r="D347" i="28"/>
  <c r="E347" i="28"/>
  <c r="F347" i="28"/>
  <c r="G347" i="28"/>
  <c r="H347" i="28"/>
  <c r="I347" i="28"/>
  <c r="J347" i="28"/>
  <c r="K347" i="28"/>
  <c r="L347" i="28"/>
  <c r="M347" i="28"/>
  <c r="N347" i="28"/>
  <c r="O347" i="28"/>
  <c r="P347" i="28"/>
  <c r="Q347" i="28"/>
  <c r="R347" i="28"/>
  <c r="S347" i="28"/>
  <c r="T347" i="28"/>
  <c r="U347" i="28"/>
  <c r="V347" i="28"/>
  <c r="W347" i="28"/>
  <c r="X347" i="28"/>
  <c r="Y347" i="28"/>
  <c r="Z347" i="28"/>
  <c r="AA347" i="28"/>
  <c r="AB347" i="28"/>
  <c r="AC347" i="28"/>
  <c r="AD347" i="28"/>
  <c r="AE347" i="28"/>
  <c r="AF347" i="28"/>
  <c r="B348" i="28"/>
  <c r="C348" i="28"/>
  <c r="D348" i="28"/>
  <c r="E348" i="28"/>
  <c r="F348" i="28"/>
  <c r="G348" i="28"/>
  <c r="H348" i="28"/>
  <c r="I348" i="28"/>
  <c r="J348" i="28"/>
  <c r="K348" i="28"/>
  <c r="L348" i="28"/>
  <c r="M348" i="28"/>
  <c r="N348" i="28"/>
  <c r="O348" i="28"/>
  <c r="P348" i="28"/>
  <c r="Q348" i="28"/>
  <c r="R348" i="28"/>
  <c r="S348" i="28"/>
  <c r="T348" i="28"/>
  <c r="U348" i="28"/>
  <c r="V348" i="28"/>
  <c r="W348" i="28"/>
  <c r="X348" i="28"/>
  <c r="Y348" i="28"/>
  <c r="Z348" i="28"/>
  <c r="AA348" i="28"/>
  <c r="AB348" i="28"/>
  <c r="AC348" i="28"/>
  <c r="AD348" i="28"/>
  <c r="AE348" i="28"/>
  <c r="AF348" i="28"/>
  <c r="B349" i="28"/>
  <c r="C349" i="28"/>
  <c r="D349" i="28"/>
  <c r="E349" i="28"/>
  <c r="F349" i="28"/>
  <c r="G349" i="28"/>
  <c r="H349" i="28"/>
  <c r="I349" i="28"/>
  <c r="J349" i="28"/>
  <c r="K349" i="28"/>
  <c r="L349" i="28"/>
  <c r="M349" i="28"/>
  <c r="N349" i="28"/>
  <c r="O349" i="28"/>
  <c r="P349" i="28"/>
  <c r="Q349" i="28"/>
  <c r="R349" i="28"/>
  <c r="S349" i="28"/>
  <c r="T349" i="28"/>
  <c r="U349" i="28"/>
  <c r="V349" i="28"/>
  <c r="W349" i="28"/>
  <c r="X349" i="28"/>
  <c r="Y349" i="28"/>
  <c r="Z349" i="28"/>
  <c r="AA349" i="28"/>
  <c r="AB349" i="28"/>
  <c r="AC349" i="28"/>
  <c r="AD349" i="28"/>
  <c r="AE349" i="28"/>
  <c r="AF349" i="28"/>
  <c r="B350" i="28"/>
  <c r="C350" i="28"/>
  <c r="D350" i="28"/>
  <c r="E350" i="28"/>
  <c r="F350" i="28"/>
  <c r="G350" i="28"/>
  <c r="H350" i="28"/>
  <c r="I350" i="28"/>
  <c r="J350" i="28"/>
  <c r="K350" i="28"/>
  <c r="L350" i="28"/>
  <c r="M350" i="28"/>
  <c r="N350" i="28"/>
  <c r="O350" i="28"/>
  <c r="P350" i="28"/>
  <c r="Q350" i="28"/>
  <c r="R350" i="28"/>
  <c r="S350" i="28"/>
  <c r="T350" i="28"/>
  <c r="U350" i="28"/>
  <c r="V350" i="28"/>
  <c r="W350" i="28"/>
  <c r="X350" i="28"/>
  <c r="Y350" i="28"/>
  <c r="Z350" i="28"/>
  <c r="AA350" i="28"/>
  <c r="AB350" i="28"/>
  <c r="AC350" i="28"/>
  <c r="AD350" i="28"/>
  <c r="AE350" i="28"/>
  <c r="AF350" i="28"/>
  <c r="B351" i="28"/>
  <c r="C351" i="28"/>
  <c r="D351" i="28"/>
  <c r="E351" i="28"/>
  <c r="F351" i="28"/>
  <c r="G351" i="28"/>
  <c r="H351" i="28"/>
  <c r="I351" i="28"/>
  <c r="J351" i="28"/>
  <c r="K351" i="28"/>
  <c r="L351" i="28"/>
  <c r="M351" i="28"/>
  <c r="N351" i="28"/>
  <c r="O351" i="28"/>
  <c r="P351" i="28"/>
  <c r="Q351" i="28"/>
  <c r="R351" i="28"/>
  <c r="S351" i="28"/>
  <c r="T351" i="28"/>
  <c r="U351" i="28"/>
  <c r="V351" i="28"/>
  <c r="W351" i="28"/>
  <c r="X351" i="28"/>
  <c r="Y351" i="28"/>
  <c r="Z351" i="28"/>
  <c r="AA351" i="28"/>
  <c r="AB351" i="28"/>
  <c r="AC351" i="28"/>
  <c r="AD351" i="28"/>
  <c r="AE351" i="28"/>
  <c r="AF351" i="28"/>
  <c r="B352" i="28"/>
  <c r="C352" i="28"/>
  <c r="D352" i="28"/>
  <c r="E352" i="28"/>
  <c r="F352" i="28"/>
  <c r="G352" i="28"/>
  <c r="H352" i="28"/>
  <c r="I352" i="28"/>
  <c r="J352" i="28"/>
  <c r="K352" i="28"/>
  <c r="L352" i="28"/>
  <c r="M352" i="28"/>
  <c r="N352" i="28"/>
  <c r="O352" i="28"/>
  <c r="P352" i="28"/>
  <c r="Q352" i="28"/>
  <c r="R352" i="28"/>
  <c r="S352" i="28"/>
  <c r="T352" i="28"/>
  <c r="U352" i="28"/>
  <c r="V352" i="28"/>
  <c r="W352" i="28"/>
  <c r="X352" i="28"/>
  <c r="Y352" i="28"/>
  <c r="Z352" i="28"/>
  <c r="AA352" i="28"/>
  <c r="AB352" i="28"/>
  <c r="AC352" i="28"/>
  <c r="AD352" i="28"/>
  <c r="AE352" i="28"/>
  <c r="AF352" i="28"/>
  <c r="B353" i="28"/>
  <c r="C353" i="28"/>
  <c r="D353" i="28"/>
  <c r="E353" i="28"/>
  <c r="F353" i="28"/>
  <c r="G353" i="28"/>
  <c r="H353" i="28"/>
  <c r="I353" i="28"/>
  <c r="J353" i="28"/>
  <c r="K353" i="28"/>
  <c r="L353" i="28"/>
  <c r="M353" i="28"/>
  <c r="N353" i="28"/>
  <c r="O353" i="28"/>
  <c r="P353" i="28"/>
  <c r="Q353" i="28"/>
  <c r="R353" i="28"/>
  <c r="S353" i="28"/>
  <c r="T353" i="28"/>
  <c r="U353" i="28"/>
  <c r="V353" i="28"/>
  <c r="W353" i="28"/>
  <c r="X353" i="28"/>
  <c r="Y353" i="28"/>
  <c r="Z353" i="28"/>
  <c r="AA353" i="28"/>
  <c r="AB353" i="28"/>
  <c r="AC353" i="28"/>
  <c r="AD353" i="28"/>
  <c r="AE353" i="28"/>
  <c r="AF353" i="28"/>
  <c r="B354" i="28"/>
  <c r="C354" i="28"/>
  <c r="D354" i="28"/>
  <c r="E354" i="28"/>
  <c r="F354" i="28"/>
  <c r="G354" i="28"/>
  <c r="H354" i="28"/>
  <c r="I354" i="28"/>
  <c r="J354" i="28"/>
  <c r="K354" i="28"/>
  <c r="L354" i="28"/>
  <c r="M354" i="28"/>
  <c r="N354" i="28"/>
  <c r="O354" i="28"/>
  <c r="P354" i="28"/>
  <c r="Q354" i="28"/>
  <c r="R354" i="28"/>
  <c r="S354" i="28"/>
  <c r="T354" i="28"/>
  <c r="U354" i="28"/>
  <c r="V354" i="28"/>
  <c r="W354" i="28"/>
  <c r="X354" i="28"/>
  <c r="Y354" i="28"/>
  <c r="Z354" i="28"/>
  <c r="AA354" i="28"/>
  <c r="AB354" i="28"/>
  <c r="AC354" i="28"/>
  <c r="AD354" i="28"/>
  <c r="AE354" i="28"/>
  <c r="AF354" i="28"/>
  <c r="B355" i="28"/>
  <c r="C355" i="28"/>
  <c r="D355" i="28"/>
  <c r="E355" i="28"/>
  <c r="F355" i="28"/>
  <c r="G355" i="28"/>
  <c r="H355" i="28"/>
  <c r="I355" i="28"/>
  <c r="J355" i="28"/>
  <c r="K355" i="28"/>
  <c r="L355" i="28"/>
  <c r="M355" i="28"/>
  <c r="N355" i="28"/>
  <c r="O355" i="28"/>
  <c r="P355" i="28"/>
  <c r="Q355" i="28"/>
  <c r="R355" i="28"/>
  <c r="S355" i="28"/>
  <c r="T355" i="28"/>
  <c r="U355" i="28"/>
  <c r="V355" i="28"/>
  <c r="W355" i="28"/>
  <c r="X355" i="28"/>
  <c r="Y355" i="28"/>
  <c r="Z355" i="28"/>
  <c r="AA355" i="28"/>
  <c r="AB355" i="28"/>
  <c r="AC355" i="28"/>
  <c r="AD355" i="28"/>
  <c r="AE355" i="28"/>
  <c r="AF355" i="28"/>
  <c r="B356" i="28"/>
  <c r="C356" i="28"/>
  <c r="D356" i="28"/>
  <c r="E356" i="28"/>
  <c r="F356" i="28"/>
  <c r="G356" i="28"/>
  <c r="H356" i="28"/>
  <c r="I356" i="28"/>
  <c r="J356" i="28"/>
  <c r="K356" i="28"/>
  <c r="L356" i="28"/>
  <c r="M356" i="28"/>
  <c r="N356" i="28"/>
  <c r="O356" i="28"/>
  <c r="P356" i="28"/>
  <c r="Q356" i="28"/>
  <c r="R356" i="28"/>
  <c r="S356" i="28"/>
  <c r="T356" i="28"/>
  <c r="U356" i="28"/>
  <c r="V356" i="28"/>
  <c r="W356" i="28"/>
  <c r="X356" i="28"/>
  <c r="Y356" i="28"/>
  <c r="Z356" i="28"/>
  <c r="AA356" i="28"/>
  <c r="AB356" i="28"/>
  <c r="AC356" i="28"/>
  <c r="AD356" i="28"/>
  <c r="AE356" i="28"/>
  <c r="AF356" i="28"/>
  <c r="B242" i="20"/>
  <c r="C242" i="20"/>
  <c r="D242" i="20"/>
  <c r="E242" i="20"/>
  <c r="F242" i="20"/>
  <c r="G242" i="20"/>
  <c r="H242" i="20"/>
  <c r="I242" i="20"/>
  <c r="J242" i="20"/>
  <c r="K242" i="20"/>
  <c r="L242" i="20"/>
  <c r="M242" i="20"/>
  <c r="N242" i="20"/>
  <c r="O242" i="20"/>
  <c r="P242" i="20"/>
  <c r="Q242" i="20"/>
  <c r="R242" i="20"/>
  <c r="S242" i="20"/>
  <c r="T242" i="20"/>
  <c r="U242" i="20"/>
  <c r="V242" i="20"/>
  <c r="W242" i="20"/>
  <c r="X242" i="20"/>
  <c r="B243" i="20"/>
  <c r="C243" i="20"/>
  <c r="D243" i="20"/>
  <c r="E243" i="20"/>
  <c r="F243" i="20"/>
  <c r="G243" i="20"/>
  <c r="H243" i="20"/>
  <c r="I243" i="20"/>
  <c r="J243" i="20"/>
  <c r="K243" i="20"/>
  <c r="L243" i="20"/>
  <c r="M243" i="20"/>
  <c r="N243" i="20"/>
  <c r="O243" i="20"/>
  <c r="P243" i="20"/>
  <c r="Q243" i="20"/>
  <c r="R243" i="20"/>
  <c r="S243" i="20"/>
  <c r="T243" i="20"/>
  <c r="U243" i="20"/>
  <c r="V243" i="20"/>
  <c r="W243" i="20"/>
  <c r="X243" i="20"/>
  <c r="B244" i="20"/>
  <c r="C244" i="20"/>
  <c r="D244" i="20"/>
  <c r="E244" i="20"/>
  <c r="F244" i="20"/>
  <c r="G244" i="20"/>
  <c r="H244" i="20"/>
  <c r="I244" i="20"/>
  <c r="J244" i="20"/>
  <c r="K244" i="20"/>
  <c r="L244" i="20"/>
  <c r="M244" i="20"/>
  <c r="N244" i="20"/>
  <c r="O244" i="20"/>
  <c r="P244" i="20"/>
  <c r="Q244" i="20"/>
  <c r="R244" i="20"/>
  <c r="S244" i="20"/>
  <c r="T244" i="20"/>
  <c r="U244" i="20"/>
  <c r="V244" i="20"/>
  <c r="W244" i="20"/>
  <c r="X244" i="20"/>
  <c r="B245" i="20"/>
  <c r="C245" i="20"/>
  <c r="D245" i="20"/>
  <c r="E245" i="20"/>
  <c r="F245" i="20"/>
  <c r="G245" i="20"/>
  <c r="H245" i="20"/>
  <c r="I245" i="20"/>
  <c r="J245" i="20"/>
  <c r="K245" i="20"/>
  <c r="L245" i="20"/>
  <c r="M245" i="20"/>
  <c r="N245" i="20"/>
  <c r="O245" i="20"/>
  <c r="P245" i="20"/>
  <c r="Q245" i="20"/>
  <c r="R245" i="20"/>
  <c r="S245" i="20"/>
  <c r="T245" i="20"/>
  <c r="U245" i="20"/>
  <c r="V245" i="20"/>
  <c r="W245" i="20"/>
  <c r="X245" i="20"/>
  <c r="B246" i="20"/>
  <c r="C246" i="20"/>
  <c r="D246" i="20"/>
  <c r="E246" i="20"/>
  <c r="F246" i="20"/>
  <c r="G246" i="20"/>
  <c r="H246" i="20"/>
  <c r="I246" i="20"/>
  <c r="J246" i="20"/>
  <c r="K246" i="20"/>
  <c r="L246" i="20"/>
  <c r="M246" i="20"/>
  <c r="N246" i="20"/>
  <c r="O246" i="20"/>
  <c r="P246" i="20"/>
  <c r="Q246" i="20"/>
  <c r="R246" i="20"/>
  <c r="S246" i="20"/>
  <c r="T246" i="20"/>
  <c r="U246" i="20"/>
  <c r="V246" i="20"/>
  <c r="W246" i="20"/>
  <c r="X246" i="20"/>
  <c r="B247" i="20"/>
  <c r="C247" i="20"/>
  <c r="D247" i="20"/>
  <c r="E247" i="20"/>
  <c r="F247" i="20"/>
  <c r="G247" i="20"/>
  <c r="H247" i="20"/>
  <c r="I247" i="20"/>
  <c r="J247" i="20"/>
  <c r="K247" i="20"/>
  <c r="L247" i="20"/>
  <c r="M247" i="20"/>
  <c r="N247" i="20"/>
  <c r="O247" i="20"/>
  <c r="P247" i="20"/>
  <c r="Q247" i="20"/>
  <c r="R247" i="20"/>
  <c r="S247" i="20"/>
  <c r="T247" i="20"/>
  <c r="U247" i="20"/>
  <c r="V247" i="20"/>
  <c r="W247" i="20"/>
  <c r="X247" i="20"/>
  <c r="B248" i="20"/>
  <c r="C248" i="20"/>
  <c r="D248" i="20"/>
  <c r="E248" i="20"/>
  <c r="F248" i="20"/>
  <c r="G248" i="20"/>
  <c r="H248" i="20"/>
  <c r="I248" i="20"/>
  <c r="J248" i="20"/>
  <c r="K248" i="20"/>
  <c r="L248" i="20"/>
  <c r="M248" i="20"/>
  <c r="N248" i="20"/>
  <c r="O248" i="20"/>
  <c r="P248" i="20"/>
  <c r="Q248" i="20"/>
  <c r="R248" i="20"/>
  <c r="S248" i="20"/>
  <c r="T248" i="20"/>
  <c r="U248" i="20"/>
  <c r="V248" i="20"/>
  <c r="W248" i="20"/>
  <c r="X248" i="20"/>
  <c r="B249" i="20"/>
  <c r="C249" i="20"/>
  <c r="D249" i="20"/>
  <c r="E249" i="20"/>
  <c r="F249" i="20"/>
  <c r="G249" i="20"/>
  <c r="H249" i="20"/>
  <c r="I249" i="20"/>
  <c r="J249" i="20"/>
  <c r="K249" i="20"/>
  <c r="L249" i="20"/>
  <c r="M249" i="20"/>
  <c r="N249" i="20"/>
  <c r="O249" i="20"/>
  <c r="P249" i="20"/>
  <c r="Q249" i="20"/>
  <c r="R249" i="20"/>
  <c r="S249" i="20"/>
  <c r="T249" i="20"/>
  <c r="U249" i="20"/>
  <c r="V249" i="20"/>
  <c r="W249" i="20"/>
  <c r="X249" i="20"/>
  <c r="B250" i="20"/>
  <c r="C250" i="20"/>
  <c r="D250" i="20"/>
  <c r="E250" i="20"/>
  <c r="F250" i="20"/>
  <c r="G250" i="20"/>
  <c r="H250" i="20"/>
  <c r="I250" i="20"/>
  <c r="J250" i="20"/>
  <c r="K250" i="20"/>
  <c r="L250" i="20"/>
  <c r="M250" i="20"/>
  <c r="N250" i="20"/>
  <c r="O250" i="20"/>
  <c r="P250" i="20"/>
  <c r="Q250" i="20"/>
  <c r="R250" i="20"/>
  <c r="S250" i="20"/>
  <c r="T250" i="20"/>
  <c r="U250" i="20"/>
  <c r="V250" i="20"/>
  <c r="W250" i="20"/>
  <c r="X250" i="20"/>
  <c r="B251" i="20"/>
  <c r="C251" i="20"/>
  <c r="D251" i="20"/>
  <c r="E251" i="20"/>
  <c r="F251" i="20"/>
  <c r="G251" i="20"/>
  <c r="H251" i="20"/>
  <c r="I251" i="20"/>
  <c r="J251" i="20"/>
  <c r="K251" i="20"/>
  <c r="L251" i="20"/>
  <c r="M251" i="20"/>
  <c r="N251" i="20"/>
  <c r="O251" i="20"/>
  <c r="P251" i="20"/>
  <c r="Q251" i="20"/>
  <c r="R251" i="20"/>
  <c r="S251" i="20"/>
  <c r="T251" i="20"/>
  <c r="U251" i="20"/>
  <c r="V251" i="20"/>
  <c r="W251" i="20"/>
  <c r="X251" i="20"/>
  <c r="B252" i="20"/>
  <c r="C252" i="20"/>
  <c r="D252" i="20"/>
  <c r="E252" i="20"/>
  <c r="F252" i="20"/>
  <c r="G252" i="20"/>
  <c r="H252" i="20"/>
  <c r="I252" i="20"/>
  <c r="J252" i="20"/>
  <c r="K252" i="20"/>
  <c r="L252" i="20"/>
  <c r="M252" i="20"/>
  <c r="N252" i="20"/>
  <c r="O252" i="20"/>
  <c r="P252" i="20"/>
  <c r="Q252" i="20"/>
  <c r="R252" i="20"/>
  <c r="S252" i="20"/>
  <c r="T252" i="20"/>
  <c r="U252" i="20"/>
  <c r="V252" i="20"/>
  <c r="W252" i="20"/>
  <c r="X252" i="20"/>
  <c r="B253" i="20"/>
  <c r="C253" i="20"/>
  <c r="D253" i="20"/>
  <c r="E253" i="20"/>
  <c r="F253" i="20"/>
  <c r="G253" i="20"/>
  <c r="H253" i="20"/>
  <c r="I253" i="20"/>
  <c r="J253" i="20"/>
  <c r="K253" i="20"/>
  <c r="L253" i="20"/>
  <c r="M253" i="20"/>
  <c r="N253" i="20"/>
  <c r="O253" i="20"/>
  <c r="P253" i="20"/>
  <c r="Q253" i="20"/>
  <c r="R253" i="20"/>
  <c r="S253" i="20"/>
  <c r="T253" i="20"/>
  <c r="U253" i="20"/>
  <c r="V253" i="20"/>
  <c r="W253" i="20"/>
  <c r="X253" i="20"/>
  <c r="B254" i="20"/>
  <c r="C254" i="20"/>
  <c r="D254" i="20"/>
  <c r="E254" i="20"/>
  <c r="F254" i="20"/>
  <c r="G254" i="20"/>
  <c r="H254" i="20"/>
  <c r="I254" i="20"/>
  <c r="J254" i="20"/>
  <c r="K254" i="20"/>
  <c r="L254" i="20"/>
  <c r="M254" i="20"/>
  <c r="N254" i="20"/>
  <c r="O254" i="20"/>
  <c r="P254" i="20"/>
  <c r="Q254" i="20"/>
  <c r="R254" i="20"/>
  <c r="S254" i="20"/>
  <c r="T254" i="20"/>
  <c r="U254" i="20"/>
  <c r="V254" i="20"/>
  <c r="W254" i="20"/>
  <c r="X254" i="20"/>
  <c r="B255" i="20"/>
  <c r="C255" i="20"/>
  <c r="D255" i="20"/>
  <c r="E255" i="20"/>
  <c r="F255" i="20"/>
  <c r="G255" i="20"/>
  <c r="H255" i="20"/>
  <c r="I255" i="20"/>
  <c r="J255" i="20"/>
  <c r="K255" i="20"/>
  <c r="L255" i="20"/>
  <c r="M255" i="20"/>
  <c r="N255" i="20"/>
  <c r="O255" i="20"/>
  <c r="P255" i="20"/>
  <c r="Q255" i="20"/>
  <c r="R255" i="20"/>
  <c r="S255" i="20"/>
  <c r="T255" i="20"/>
  <c r="U255" i="20"/>
  <c r="V255" i="20"/>
  <c r="W255" i="20"/>
  <c r="X255" i="20"/>
  <c r="B256" i="20"/>
  <c r="C256" i="20"/>
  <c r="D256" i="20"/>
  <c r="E256" i="20"/>
  <c r="F256" i="20"/>
  <c r="G256" i="20"/>
  <c r="H256" i="20"/>
  <c r="I256" i="20"/>
  <c r="J256" i="20"/>
  <c r="K256" i="20"/>
  <c r="L256" i="20"/>
  <c r="M256" i="20"/>
  <c r="N256" i="20"/>
  <c r="O256" i="20"/>
  <c r="P256" i="20"/>
  <c r="Q256" i="20"/>
  <c r="R256" i="20"/>
  <c r="S256" i="20"/>
  <c r="T256" i="20"/>
  <c r="U256" i="20"/>
  <c r="V256" i="20"/>
  <c r="W256" i="20"/>
  <c r="X256" i="20"/>
  <c r="B257" i="20"/>
  <c r="C257" i="20"/>
  <c r="D257" i="20"/>
  <c r="E257" i="20"/>
  <c r="F257" i="20"/>
  <c r="G257" i="20"/>
  <c r="H257" i="20"/>
  <c r="I257" i="20"/>
  <c r="J257" i="20"/>
  <c r="K257" i="20"/>
  <c r="L257" i="20"/>
  <c r="M257" i="20"/>
  <c r="N257" i="20"/>
  <c r="O257" i="20"/>
  <c r="P257" i="20"/>
  <c r="Q257" i="20"/>
  <c r="R257" i="20"/>
  <c r="S257" i="20"/>
  <c r="T257" i="20"/>
  <c r="U257" i="20"/>
  <c r="V257" i="20"/>
  <c r="W257" i="20"/>
  <c r="X257" i="20"/>
  <c r="B258" i="20"/>
  <c r="C258" i="20"/>
  <c r="D258" i="20"/>
  <c r="E258" i="20"/>
  <c r="F258" i="20"/>
  <c r="G258" i="20"/>
  <c r="H258" i="20"/>
  <c r="I258" i="20"/>
  <c r="J258" i="20"/>
  <c r="K258" i="20"/>
  <c r="L258" i="20"/>
  <c r="M258" i="20"/>
  <c r="N258" i="20"/>
  <c r="O258" i="20"/>
  <c r="P258" i="20"/>
  <c r="Q258" i="20"/>
  <c r="R258" i="20"/>
  <c r="S258" i="20"/>
  <c r="T258" i="20"/>
  <c r="U258" i="20"/>
  <c r="V258" i="20"/>
  <c r="W258" i="20"/>
  <c r="X258" i="20"/>
  <c r="B259" i="20"/>
  <c r="C259" i="20"/>
  <c r="D259" i="20"/>
  <c r="E259" i="20"/>
  <c r="F259" i="20"/>
  <c r="G259" i="20"/>
  <c r="H259" i="20"/>
  <c r="I259" i="20"/>
  <c r="J259" i="20"/>
  <c r="K259" i="20"/>
  <c r="L259" i="20"/>
  <c r="M259" i="20"/>
  <c r="N259" i="20"/>
  <c r="O259" i="20"/>
  <c r="P259" i="20"/>
  <c r="Q259" i="20"/>
  <c r="R259" i="20"/>
  <c r="S259" i="20"/>
  <c r="T259" i="20"/>
  <c r="U259" i="20"/>
  <c r="V259" i="20"/>
  <c r="W259" i="20"/>
  <c r="X259" i="20"/>
  <c r="B260" i="20"/>
  <c r="C260" i="20"/>
  <c r="D260" i="20"/>
  <c r="E260" i="20"/>
  <c r="F260" i="20"/>
  <c r="G260" i="20"/>
  <c r="H260" i="20"/>
  <c r="I260" i="20"/>
  <c r="J260" i="20"/>
  <c r="K260" i="20"/>
  <c r="L260" i="20"/>
  <c r="M260" i="20"/>
  <c r="N260" i="20"/>
  <c r="O260" i="20"/>
  <c r="P260" i="20"/>
  <c r="Q260" i="20"/>
  <c r="R260" i="20"/>
  <c r="S260" i="20"/>
  <c r="T260" i="20"/>
  <c r="U260" i="20"/>
  <c r="V260" i="20"/>
  <c r="W260" i="20"/>
  <c r="X260" i="20"/>
  <c r="B261" i="20"/>
  <c r="C261" i="20"/>
  <c r="D261" i="20"/>
  <c r="E261" i="20"/>
  <c r="F261" i="20"/>
  <c r="G261" i="20"/>
  <c r="H261" i="20"/>
  <c r="I261" i="20"/>
  <c r="J261" i="20"/>
  <c r="K261" i="20"/>
  <c r="L261" i="20"/>
  <c r="M261" i="20"/>
  <c r="N261" i="20"/>
  <c r="O261" i="20"/>
  <c r="P261" i="20"/>
  <c r="Q261" i="20"/>
  <c r="R261" i="20"/>
  <c r="S261" i="20"/>
  <c r="T261" i="20"/>
  <c r="U261" i="20"/>
  <c r="V261" i="20"/>
  <c r="W261" i="20"/>
  <c r="X261" i="20"/>
  <c r="B262" i="20"/>
  <c r="C262" i="20"/>
  <c r="D262" i="20"/>
  <c r="E262" i="20"/>
  <c r="F262" i="20"/>
  <c r="G262" i="20"/>
  <c r="H262" i="20"/>
  <c r="I262" i="20"/>
  <c r="J262" i="20"/>
  <c r="K262" i="20"/>
  <c r="L262" i="20"/>
  <c r="M262" i="20"/>
  <c r="N262" i="20"/>
  <c r="O262" i="20"/>
  <c r="P262" i="20"/>
  <c r="Q262" i="20"/>
  <c r="R262" i="20"/>
  <c r="S262" i="20"/>
  <c r="T262" i="20"/>
  <c r="U262" i="20"/>
  <c r="V262" i="20"/>
  <c r="W262" i="20"/>
  <c r="X262" i="20"/>
  <c r="B263" i="20"/>
  <c r="C263" i="20"/>
  <c r="D263" i="20"/>
  <c r="E263" i="20"/>
  <c r="F263" i="20"/>
  <c r="G263" i="20"/>
  <c r="H263" i="20"/>
  <c r="I263" i="20"/>
  <c r="J263" i="20"/>
  <c r="K263" i="20"/>
  <c r="L263" i="20"/>
  <c r="M263" i="20"/>
  <c r="N263" i="20"/>
  <c r="O263" i="20"/>
  <c r="P263" i="20"/>
  <c r="Q263" i="20"/>
  <c r="R263" i="20"/>
  <c r="S263" i="20"/>
  <c r="T263" i="20"/>
  <c r="U263" i="20"/>
  <c r="V263" i="20"/>
  <c r="W263" i="20"/>
  <c r="X263" i="20"/>
  <c r="B264" i="20"/>
  <c r="C264" i="20"/>
  <c r="D264" i="20"/>
  <c r="E264" i="20"/>
  <c r="F264" i="20"/>
  <c r="G264" i="20"/>
  <c r="H264" i="20"/>
  <c r="I264" i="20"/>
  <c r="J264" i="20"/>
  <c r="K264" i="20"/>
  <c r="L264" i="20"/>
  <c r="M264" i="20"/>
  <c r="N264" i="20"/>
  <c r="O264" i="20"/>
  <c r="P264" i="20"/>
  <c r="Q264" i="20"/>
  <c r="R264" i="20"/>
  <c r="S264" i="20"/>
  <c r="T264" i="20"/>
  <c r="U264" i="20"/>
  <c r="V264" i="20"/>
  <c r="W264" i="20"/>
  <c r="X264" i="20"/>
  <c r="B239" i="19"/>
  <c r="C239" i="19"/>
  <c r="D239" i="19"/>
  <c r="E239" i="19"/>
  <c r="F239" i="19"/>
  <c r="G239" i="19"/>
  <c r="H239" i="19"/>
  <c r="I239" i="19"/>
  <c r="J239" i="19"/>
  <c r="K239" i="19"/>
  <c r="L239" i="19"/>
  <c r="M239" i="19"/>
  <c r="N239" i="19"/>
  <c r="O239" i="19"/>
  <c r="P239" i="19"/>
  <c r="Q239" i="19"/>
  <c r="R239" i="19"/>
  <c r="S239" i="19"/>
  <c r="T239" i="19"/>
  <c r="U239" i="19"/>
  <c r="V239" i="19"/>
  <c r="W239" i="19"/>
  <c r="B240" i="19"/>
  <c r="C240" i="19"/>
  <c r="D240" i="19"/>
  <c r="E240" i="19"/>
  <c r="F240" i="19"/>
  <c r="G240" i="19"/>
  <c r="H240" i="19"/>
  <c r="I240" i="19"/>
  <c r="J240" i="19"/>
  <c r="K240" i="19"/>
  <c r="L240" i="19"/>
  <c r="M240" i="19"/>
  <c r="N240" i="19"/>
  <c r="O240" i="19"/>
  <c r="P240" i="19"/>
  <c r="Q240" i="19"/>
  <c r="R240" i="19"/>
  <c r="S240" i="19"/>
  <c r="T240" i="19"/>
  <c r="U240" i="19"/>
  <c r="V240" i="19"/>
  <c r="W240" i="19"/>
  <c r="B241" i="19"/>
  <c r="C241" i="19"/>
  <c r="D241" i="19"/>
  <c r="E241" i="19"/>
  <c r="F241" i="19"/>
  <c r="G241" i="19"/>
  <c r="H241" i="19"/>
  <c r="I241" i="19"/>
  <c r="J241" i="19"/>
  <c r="K241" i="19"/>
  <c r="L241" i="19"/>
  <c r="M241" i="19"/>
  <c r="N241" i="19"/>
  <c r="O241" i="19"/>
  <c r="P241" i="19"/>
  <c r="Q241" i="19"/>
  <c r="R241" i="19"/>
  <c r="S241" i="19"/>
  <c r="T241" i="19"/>
  <c r="U241" i="19"/>
  <c r="V241" i="19"/>
  <c r="W241" i="19"/>
  <c r="B242" i="19"/>
  <c r="C242" i="19"/>
  <c r="D242" i="19"/>
  <c r="E242" i="19"/>
  <c r="F242" i="19"/>
  <c r="G242" i="19"/>
  <c r="H242" i="19"/>
  <c r="I242" i="19"/>
  <c r="J242" i="19"/>
  <c r="K242" i="19"/>
  <c r="L242" i="19"/>
  <c r="M242" i="19"/>
  <c r="N242" i="19"/>
  <c r="O242" i="19"/>
  <c r="P242" i="19"/>
  <c r="Q242" i="19"/>
  <c r="R242" i="19"/>
  <c r="S242" i="19"/>
  <c r="T242" i="19"/>
  <c r="U242" i="19"/>
  <c r="V242" i="19"/>
  <c r="W242" i="19"/>
  <c r="B243" i="19"/>
  <c r="C243" i="19"/>
  <c r="D243" i="19"/>
  <c r="E243" i="19"/>
  <c r="F243" i="19"/>
  <c r="G243" i="19"/>
  <c r="H243" i="19"/>
  <c r="I243" i="19"/>
  <c r="J243" i="19"/>
  <c r="K243" i="19"/>
  <c r="L243" i="19"/>
  <c r="M243" i="19"/>
  <c r="N243" i="19"/>
  <c r="O243" i="19"/>
  <c r="P243" i="19"/>
  <c r="Q243" i="19"/>
  <c r="R243" i="19"/>
  <c r="S243" i="19"/>
  <c r="T243" i="19"/>
  <c r="U243" i="19"/>
  <c r="V243" i="19"/>
  <c r="W243" i="19"/>
  <c r="B244" i="19"/>
  <c r="C244" i="19"/>
  <c r="D244" i="19"/>
  <c r="E244" i="19"/>
  <c r="F244" i="19"/>
  <c r="G244" i="19"/>
  <c r="H244" i="19"/>
  <c r="I244" i="19"/>
  <c r="J244" i="19"/>
  <c r="K244" i="19"/>
  <c r="L244" i="19"/>
  <c r="M244" i="19"/>
  <c r="N244" i="19"/>
  <c r="O244" i="19"/>
  <c r="P244" i="19"/>
  <c r="Q244" i="19"/>
  <c r="R244" i="19"/>
  <c r="S244" i="19"/>
  <c r="T244" i="19"/>
  <c r="U244" i="19"/>
  <c r="V244" i="19"/>
  <c r="W244" i="19"/>
  <c r="B245" i="19"/>
  <c r="C245" i="19"/>
  <c r="D245" i="19"/>
  <c r="E245" i="19"/>
  <c r="F245" i="19"/>
  <c r="G245" i="19"/>
  <c r="H245" i="19"/>
  <c r="I245" i="19"/>
  <c r="J245" i="19"/>
  <c r="K245" i="19"/>
  <c r="L245" i="19"/>
  <c r="M245" i="19"/>
  <c r="N245" i="19"/>
  <c r="O245" i="19"/>
  <c r="P245" i="19"/>
  <c r="Q245" i="19"/>
  <c r="R245" i="19"/>
  <c r="S245" i="19"/>
  <c r="T245" i="19"/>
  <c r="U245" i="19"/>
  <c r="V245" i="19"/>
  <c r="W245" i="19"/>
  <c r="B246" i="19"/>
  <c r="C246" i="19"/>
  <c r="D246" i="19"/>
  <c r="E246" i="19"/>
  <c r="F246" i="19"/>
  <c r="G246" i="19"/>
  <c r="H246" i="19"/>
  <c r="I246" i="19"/>
  <c r="J246" i="19"/>
  <c r="K246" i="19"/>
  <c r="L246" i="19"/>
  <c r="M246" i="19"/>
  <c r="N246" i="19"/>
  <c r="O246" i="19"/>
  <c r="P246" i="19"/>
  <c r="Q246" i="19"/>
  <c r="R246" i="19"/>
  <c r="S246" i="19"/>
  <c r="T246" i="19"/>
  <c r="U246" i="19"/>
  <c r="V246" i="19"/>
  <c r="W246" i="19"/>
  <c r="B247" i="19"/>
  <c r="C247" i="19"/>
  <c r="D247" i="19"/>
  <c r="E247" i="19"/>
  <c r="F247" i="19"/>
  <c r="G247" i="19"/>
  <c r="H247" i="19"/>
  <c r="I247" i="19"/>
  <c r="J247" i="19"/>
  <c r="K247" i="19"/>
  <c r="L247" i="19"/>
  <c r="M247" i="19"/>
  <c r="N247" i="19"/>
  <c r="O247" i="19"/>
  <c r="P247" i="19"/>
  <c r="Q247" i="19"/>
  <c r="R247" i="19"/>
  <c r="S247" i="19"/>
  <c r="T247" i="19"/>
  <c r="U247" i="19"/>
  <c r="V247" i="19"/>
  <c r="W247" i="19"/>
  <c r="B248" i="19"/>
  <c r="C248" i="19"/>
  <c r="D248" i="19"/>
  <c r="E248" i="19"/>
  <c r="F248" i="19"/>
  <c r="G248" i="19"/>
  <c r="H248" i="19"/>
  <c r="I248" i="19"/>
  <c r="J248" i="19"/>
  <c r="K248" i="19"/>
  <c r="L248" i="19"/>
  <c r="M248" i="19"/>
  <c r="N248" i="19"/>
  <c r="O248" i="19"/>
  <c r="P248" i="19"/>
  <c r="Q248" i="19"/>
  <c r="R248" i="19"/>
  <c r="S248" i="19"/>
  <c r="T248" i="19"/>
  <c r="U248" i="19"/>
  <c r="V248" i="19"/>
  <c r="W248" i="19"/>
  <c r="B249" i="19"/>
  <c r="C249" i="19"/>
  <c r="D249" i="19"/>
  <c r="E249" i="19"/>
  <c r="F249" i="19"/>
  <c r="G249" i="19"/>
  <c r="H249" i="19"/>
  <c r="I249" i="19"/>
  <c r="J249" i="19"/>
  <c r="K249" i="19"/>
  <c r="L249" i="19"/>
  <c r="M249" i="19"/>
  <c r="N249" i="19"/>
  <c r="O249" i="19"/>
  <c r="P249" i="19"/>
  <c r="Q249" i="19"/>
  <c r="R249" i="19"/>
  <c r="S249" i="19"/>
  <c r="T249" i="19"/>
  <c r="U249" i="19"/>
  <c r="V249" i="19"/>
  <c r="W249" i="19"/>
  <c r="B250" i="19"/>
  <c r="C250" i="19"/>
  <c r="D250" i="19"/>
  <c r="E250" i="19"/>
  <c r="F250" i="19"/>
  <c r="G250" i="19"/>
  <c r="H250" i="19"/>
  <c r="I250" i="19"/>
  <c r="J250" i="19"/>
  <c r="K250" i="19"/>
  <c r="L250" i="19"/>
  <c r="M250" i="19"/>
  <c r="N250" i="19"/>
  <c r="O250" i="19"/>
  <c r="P250" i="19"/>
  <c r="Q250" i="19"/>
  <c r="R250" i="19"/>
  <c r="S250" i="19"/>
  <c r="T250" i="19"/>
  <c r="U250" i="19"/>
  <c r="V250" i="19"/>
  <c r="W250" i="19"/>
  <c r="B251" i="19"/>
  <c r="C251" i="19"/>
  <c r="D251" i="19"/>
  <c r="E251" i="19"/>
  <c r="F251" i="19"/>
  <c r="G251" i="19"/>
  <c r="H251" i="19"/>
  <c r="I251" i="19"/>
  <c r="J251" i="19"/>
  <c r="K251" i="19"/>
  <c r="L251" i="19"/>
  <c r="M251" i="19"/>
  <c r="N251" i="19"/>
  <c r="O251" i="19"/>
  <c r="P251" i="19"/>
  <c r="Q251" i="19"/>
  <c r="R251" i="19"/>
  <c r="S251" i="19"/>
  <c r="T251" i="19"/>
  <c r="U251" i="19"/>
  <c r="V251" i="19"/>
  <c r="W251" i="19"/>
  <c r="B252" i="19"/>
  <c r="C252" i="19"/>
  <c r="D252" i="19"/>
  <c r="E252" i="19"/>
  <c r="F252" i="19"/>
  <c r="G252" i="19"/>
  <c r="H252" i="19"/>
  <c r="I252" i="19"/>
  <c r="J252" i="19"/>
  <c r="K252" i="19"/>
  <c r="L252" i="19"/>
  <c r="M252" i="19"/>
  <c r="N252" i="19"/>
  <c r="O252" i="19"/>
  <c r="P252" i="19"/>
  <c r="Q252" i="19"/>
  <c r="R252" i="19"/>
  <c r="S252" i="19"/>
  <c r="T252" i="19"/>
  <c r="U252" i="19"/>
  <c r="V252" i="19"/>
  <c r="W252" i="19"/>
  <c r="B253" i="19"/>
  <c r="C253" i="19"/>
  <c r="D253" i="19"/>
  <c r="E253" i="19"/>
  <c r="F253" i="19"/>
  <c r="G253" i="19"/>
  <c r="H253" i="19"/>
  <c r="I253" i="19"/>
  <c r="J253" i="19"/>
  <c r="K253" i="19"/>
  <c r="L253" i="19"/>
  <c r="M253" i="19"/>
  <c r="N253" i="19"/>
  <c r="O253" i="19"/>
  <c r="P253" i="19"/>
  <c r="Q253" i="19"/>
  <c r="R253" i="19"/>
  <c r="S253" i="19"/>
  <c r="T253" i="19"/>
  <c r="U253" i="19"/>
  <c r="V253" i="19"/>
  <c r="W253" i="19"/>
  <c r="B254" i="19"/>
  <c r="C254" i="19"/>
  <c r="D254" i="19"/>
  <c r="E254" i="19"/>
  <c r="F254" i="19"/>
  <c r="G254" i="19"/>
  <c r="H254" i="19"/>
  <c r="I254" i="19"/>
  <c r="J254" i="19"/>
  <c r="K254" i="19"/>
  <c r="L254" i="19"/>
  <c r="M254" i="19"/>
  <c r="N254" i="19"/>
  <c r="O254" i="19"/>
  <c r="P254" i="19"/>
  <c r="Q254" i="19"/>
  <c r="R254" i="19"/>
  <c r="S254" i="19"/>
  <c r="T254" i="19"/>
  <c r="U254" i="19"/>
  <c r="V254" i="19"/>
  <c r="W254" i="19"/>
  <c r="B255" i="19"/>
  <c r="C255" i="19"/>
  <c r="D255" i="19"/>
  <c r="E255" i="19"/>
  <c r="F255" i="19"/>
  <c r="G255" i="19"/>
  <c r="H255" i="19"/>
  <c r="I255" i="19"/>
  <c r="J255" i="19"/>
  <c r="K255" i="19"/>
  <c r="L255" i="19"/>
  <c r="M255" i="19"/>
  <c r="N255" i="19"/>
  <c r="O255" i="19"/>
  <c r="P255" i="19"/>
  <c r="Q255" i="19"/>
  <c r="R255" i="19"/>
  <c r="S255" i="19"/>
  <c r="T255" i="19"/>
  <c r="U255" i="19"/>
  <c r="V255" i="19"/>
  <c r="W255" i="19"/>
  <c r="B256" i="19"/>
  <c r="C256" i="19"/>
  <c r="D256" i="19"/>
  <c r="E256" i="19"/>
  <c r="F256" i="19"/>
  <c r="G256" i="19"/>
  <c r="H256" i="19"/>
  <c r="I256" i="19"/>
  <c r="J256" i="19"/>
  <c r="K256" i="19"/>
  <c r="L256" i="19"/>
  <c r="M256" i="19"/>
  <c r="N256" i="19"/>
  <c r="O256" i="19"/>
  <c r="P256" i="19"/>
  <c r="Q256" i="19"/>
  <c r="R256" i="19"/>
  <c r="S256" i="19"/>
  <c r="T256" i="19"/>
  <c r="U256" i="19"/>
  <c r="V256" i="19"/>
  <c r="W256" i="19"/>
  <c r="B257" i="19"/>
  <c r="C257" i="19"/>
  <c r="D257" i="19"/>
  <c r="E257" i="19"/>
  <c r="F257" i="19"/>
  <c r="G257" i="19"/>
  <c r="H257" i="19"/>
  <c r="I257" i="19"/>
  <c r="J257" i="19"/>
  <c r="K257" i="19"/>
  <c r="L257" i="19"/>
  <c r="M257" i="19"/>
  <c r="N257" i="19"/>
  <c r="O257" i="19"/>
  <c r="P257" i="19"/>
  <c r="Q257" i="19"/>
  <c r="R257" i="19"/>
  <c r="S257" i="19"/>
  <c r="T257" i="19"/>
  <c r="U257" i="19"/>
  <c r="V257" i="19"/>
  <c r="W257" i="19"/>
  <c r="B258" i="19"/>
  <c r="C258" i="19"/>
  <c r="D258" i="19"/>
  <c r="E258" i="19"/>
  <c r="F258" i="19"/>
  <c r="G258" i="19"/>
  <c r="H258" i="19"/>
  <c r="I258" i="19"/>
  <c r="J258" i="19"/>
  <c r="K258" i="19"/>
  <c r="L258" i="19"/>
  <c r="M258" i="19"/>
  <c r="N258" i="19"/>
  <c r="O258" i="19"/>
  <c r="P258" i="19"/>
  <c r="Q258" i="19"/>
  <c r="R258" i="19"/>
  <c r="S258" i="19"/>
  <c r="T258" i="19"/>
  <c r="U258" i="19"/>
  <c r="V258" i="19"/>
  <c r="W258" i="19"/>
  <c r="B259" i="19"/>
  <c r="C259" i="19"/>
  <c r="D259" i="19"/>
  <c r="E259" i="19"/>
  <c r="F259" i="19"/>
  <c r="G259" i="19"/>
  <c r="H259" i="19"/>
  <c r="I259" i="19"/>
  <c r="J259" i="19"/>
  <c r="K259" i="19"/>
  <c r="L259" i="19"/>
  <c r="M259" i="19"/>
  <c r="N259" i="19"/>
  <c r="O259" i="19"/>
  <c r="P259" i="19"/>
  <c r="Q259" i="19"/>
  <c r="R259" i="19"/>
  <c r="S259" i="19"/>
  <c r="T259" i="19"/>
  <c r="U259" i="19"/>
  <c r="V259" i="19"/>
  <c r="W259" i="19"/>
  <c r="B260" i="19"/>
  <c r="C260" i="19"/>
  <c r="D260" i="19"/>
  <c r="E260" i="19"/>
  <c r="F260" i="19"/>
  <c r="G260" i="19"/>
  <c r="H260" i="19"/>
  <c r="I260" i="19"/>
  <c r="J260" i="19"/>
  <c r="K260" i="19"/>
  <c r="L260" i="19"/>
  <c r="M260" i="19"/>
  <c r="N260" i="19"/>
  <c r="O260" i="19"/>
  <c r="P260" i="19"/>
  <c r="Q260" i="19"/>
  <c r="R260" i="19"/>
  <c r="S260" i="19"/>
  <c r="T260" i="19"/>
  <c r="U260" i="19"/>
  <c r="V260" i="19"/>
  <c r="W260" i="19"/>
  <c r="B218" i="18"/>
  <c r="C218" i="18"/>
  <c r="D218" i="18"/>
  <c r="E218" i="18"/>
  <c r="F218" i="18"/>
  <c r="G218" i="18"/>
  <c r="H218" i="18"/>
  <c r="I218" i="18"/>
  <c r="J218" i="18"/>
  <c r="K218" i="18"/>
  <c r="L218" i="18"/>
  <c r="M218" i="18"/>
  <c r="N218" i="18"/>
  <c r="O218" i="18"/>
  <c r="P218" i="18"/>
  <c r="Q218" i="18"/>
  <c r="R218" i="18"/>
  <c r="S218" i="18"/>
  <c r="T218" i="18"/>
  <c r="U218" i="18"/>
  <c r="V218" i="18"/>
  <c r="B219" i="18"/>
  <c r="C219" i="18"/>
  <c r="D219" i="18"/>
  <c r="E219" i="18"/>
  <c r="F219" i="18"/>
  <c r="G219" i="18"/>
  <c r="H219" i="18"/>
  <c r="I219" i="18"/>
  <c r="J219" i="18"/>
  <c r="K219" i="18"/>
  <c r="L219" i="18"/>
  <c r="M219" i="18"/>
  <c r="N219" i="18"/>
  <c r="O219" i="18"/>
  <c r="P219" i="18"/>
  <c r="Q219" i="18"/>
  <c r="R219" i="18"/>
  <c r="S219" i="18"/>
  <c r="T219" i="18"/>
  <c r="U219" i="18"/>
  <c r="V219" i="18"/>
  <c r="B220" i="18"/>
  <c r="C220" i="18"/>
  <c r="D220" i="18"/>
  <c r="E220" i="18"/>
  <c r="F220" i="18"/>
  <c r="G220" i="18"/>
  <c r="H220" i="18"/>
  <c r="I220" i="18"/>
  <c r="J220" i="18"/>
  <c r="K220" i="18"/>
  <c r="L220" i="18"/>
  <c r="M220" i="18"/>
  <c r="N220" i="18"/>
  <c r="O220" i="18"/>
  <c r="P220" i="18"/>
  <c r="Q220" i="18"/>
  <c r="R220" i="18"/>
  <c r="S220" i="18"/>
  <c r="T220" i="18"/>
  <c r="U220" i="18"/>
  <c r="V220" i="18"/>
  <c r="B221" i="18"/>
  <c r="C221" i="18"/>
  <c r="D221" i="18"/>
  <c r="E221" i="18"/>
  <c r="F221" i="18"/>
  <c r="G221" i="18"/>
  <c r="H221" i="18"/>
  <c r="I221" i="18"/>
  <c r="J221" i="18"/>
  <c r="K221" i="18"/>
  <c r="L221" i="18"/>
  <c r="M221" i="18"/>
  <c r="N221" i="18"/>
  <c r="O221" i="18"/>
  <c r="P221" i="18"/>
  <c r="Q221" i="18"/>
  <c r="R221" i="18"/>
  <c r="S221" i="18"/>
  <c r="T221" i="18"/>
  <c r="U221" i="18"/>
  <c r="V221" i="18"/>
  <c r="B222" i="18"/>
  <c r="C222" i="18"/>
  <c r="D222" i="18"/>
  <c r="E222" i="18"/>
  <c r="F222" i="18"/>
  <c r="G222" i="18"/>
  <c r="H222" i="18"/>
  <c r="I222" i="18"/>
  <c r="J222" i="18"/>
  <c r="K222" i="18"/>
  <c r="L222" i="18"/>
  <c r="M222" i="18"/>
  <c r="N222" i="18"/>
  <c r="O222" i="18"/>
  <c r="P222" i="18"/>
  <c r="Q222" i="18"/>
  <c r="R222" i="18"/>
  <c r="S222" i="18"/>
  <c r="T222" i="18"/>
  <c r="U222" i="18"/>
  <c r="V222" i="18"/>
  <c r="B223" i="18"/>
  <c r="C223" i="18"/>
  <c r="D223" i="18"/>
  <c r="E223" i="18"/>
  <c r="F223" i="18"/>
  <c r="G223" i="18"/>
  <c r="H223" i="18"/>
  <c r="I223" i="18"/>
  <c r="J223" i="18"/>
  <c r="K223" i="18"/>
  <c r="L223" i="18"/>
  <c r="M223" i="18"/>
  <c r="N223" i="18"/>
  <c r="O223" i="18"/>
  <c r="P223" i="18"/>
  <c r="Q223" i="18"/>
  <c r="R223" i="18"/>
  <c r="S223" i="18"/>
  <c r="T223" i="18"/>
  <c r="U223" i="18"/>
  <c r="V223" i="18"/>
  <c r="B224" i="18"/>
  <c r="C224" i="18"/>
  <c r="D224" i="18"/>
  <c r="E224" i="18"/>
  <c r="F224" i="18"/>
  <c r="G224" i="18"/>
  <c r="H224" i="18"/>
  <c r="I224" i="18"/>
  <c r="J224" i="18"/>
  <c r="K224" i="18"/>
  <c r="L224" i="18"/>
  <c r="M224" i="18"/>
  <c r="N224" i="18"/>
  <c r="O224" i="18"/>
  <c r="P224" i="18"/>
  <c r="Q224" i="18"/>
  <c r="R224" i="18"/>
  <c r="S224" i="18"/>
  <c r="T224" i="18"/>
  <c r="U224" i="18"/>
  <c r="V224" i="18"/>
  <c r="B225" i="18"/>
  <c r="C225" i="18"/>
  <c r="D225" i="18"/>
  <c r="E225" i="18"/>
  <c r="F225" i="18"/>
  <c r="G225" i="18"/>
  <c r="H225" i="18"/>
  <c r="I225" i="18"/>
  <c r="J225" i="18"/>
  <c r="K225" i="18"/>
  <c r="L225" i="18"/>
  <c r="M225" i="18"/>
  <c r="N225" i="18"/>
  <c r="O225" i="18"/>
  <c r="P225" i="18"/>
  <c r="Q225" i="18"/>
  <c r="R225" i="18"/>
  <c r="S225" i="18"/>
  <c r="T225" i="18"/>
  <c r="U225" i="18"/>
  <c r="V225" i="18"/>
  <c r="B226" i="18"/>
  <c r="C226" i="18"/>
  <c r="D226" i="18"/>
  <c r="E226" i="18"/>
  <c r="F226" i="18"/>
  <c r="G226" i="18"/>
  <c r="H226" i="18"/>
  <c r="I226" i="18"/>
  <c r="J226" i="18"/>
  <c r="K226" i="18"/>
  <c r="L226" i="18"/>
  <c r="M226" i="18"/>
  <c r="N226" i="18"/>
  <c r="O226" i="18"/>
  <c r="P226" i="18"/>
  <c r="Q226" i="18"/>
  <c r="R226" i="18"/>
  <c r="S226" i="18"/>
  <c r="T226" i="18"/>
  <c r="U226" i="18"/>
  <c r="V226" i="18"/>
  <c r="B227" i="18"/>
  <c r="C227" i="18"/>
  <c r="D227" i="18"/>
  <c r="E227" i="18"/>
  <c r="F227" i="18"/>
  <c r="G227" i="18"/>
  <c r="H227" i="18"/>
  <c r="I227" i="18"/>
  <c r="J227" i="18"/>
  <c r="K227" i="18"/>
  <c r="L227" i="18"/>
  <c r="M227" i="18"/>
  <c r="N227" i="18"/>
  <c r="O227" i="18"/>
  <c r="P227" i="18"/>
  <c r="Q227" i="18"/>
  <c r="R227" i="18"/>
  <c r="S227" i="18"/>
  <c r="T227" i="18"/>
  <c r="U227" i="18"/>
  <c r="V227" i="18"/>
  <c r="B228" i="18"/>
  <c r="C228" i="18"/>
  <c r="D228" i="18"/>
  <c r="E228" i="18"/>
  <c r="F228" i="18"/>
  <c r="G228" i="18"/>
  <c r="H228" i="18"/>
  <c r="I228" i="18"/>
  <c r="J228" i="18"/>
  <c r="K228" i="18"/>
  <c r="L228" i="18"/>
  <c r="M228" i="18"/>
  <c r="N228" i="18"/>
  <c r="O228" i="18"/>
  <c r="P228" i="18"/>
  <c r="Q228" i="18"/>
  <c r="R228" i="18"/>
  <c r="S228" i="18"/>
  <c r="T228" i="18"/>
  <c r="U228" i="18"/>
  <c r="V228" i="18"/>
  <c r="B229" i="18"/>
  <c r="C229" i="18"/>
  <c r="D229" i="18"/>
  <c r="E229" i="18"/>
  <c r="F229" i="18"/>
  <c r="G229" i="18"/>
  <c r="H229" i="18"/>
  <c r="I229" i="18"/>
  <c r="J229" i="18"/>
  <c r="K229" i="18"/>
  <c r="L229" i="18"/>
  <c r="M229" i="18"/>
  <c r="N229" i="18"/>
  <c r="O229" i="18"/>
  <c r="P229" i="18"/>
  <c r="Q229" i="18"/>
  <c r="R229" i="18"/>
  <c r="S229" i="18"/>
  <c r="T229" i="18"/>
  <c r="U229" i="18"/>
  <c r="V229" i="18"/>
  <c r="B230" i="18"/>
  <c r="C230" i="18"/>
  <c r="D230" i="18"/>
  <c r="E230" i="18"/>
  <c r="F230" i="18"/>
  <c r="G230" i="18"/>
  <c r="H230" i="18"/>
  <c r="I230" i="18"/>
  <c r="J230" i="18"/>
  <c r="K230" i="18"/>
  <c r="L230" i="18"/>
  <c r="M230" i="18"/>
  <c r="N230" i="18"/>
  <c r="O230" i="18"/>
  <c r="P230" i="18"/>
  <c r="Q230" i="18"/>
  <c r="R230" i="18"/>
  <c r="S230" i="18"/>
  <c r="T230" i="18"/>
  <c r="U230" i="18"/>
  <c r="V230" i="18"/>
  <c r="B231" i="18"/>
  <c r="C231" i="18"/>
  <c r="D231" i="18"/>
  <c r="E231" i="18"/>
  <c r="F231" i="18"/>
  <c r="G231" i="18"/>
  <c r="H231" i="18"/>
  <c r="I231" i="18"/>
  <c r="J231" i="18"/>
  <c r="K231" i="18"/>
  <c r="L231" i="18"/>
  <c r="M231" i="18"/>
  <c r="N231" i="18"/>
  <c r="O231" i="18"/>
  <c r="P231" i="18"/>
  <c r="Q231" i="18"/>
  <c r="R231" i="18"/>
  <c r="S231" i="18"/>
  <c r="T231" i="18"/>
  <c r="U231" i="18"/>
  <c r="V231" i="18"/>
  <c r="B232" i="18"/>
  <c r="C232" i="18"/>
  <c r="D232" i="18"/>
  <c r="E232" i="18"/>
  <c r="F232" i="18"/>
  <c r="G232" i="18"/>
  <c r="H232" i="18"/>
  <c r="I232" i="18"/>
  <c r="J232" i="18"/>
  <c r="K232" i="18"/>
  <c r="L232" i="18"/>
  <c r="M232" i="18"/>
  <c r="N232" i="18"/>
  <c r="O232" i="18"/>
  <c r="P232" i="18"/>
  <c r="Q232" i="18"/>
  <c r="R232" i="18"/>
  <c r="S232" i="18"/>
  <c r="T232" i="18"/>
  <c r="U232" i="18"/>
  <c r="V232" i="18"/>
  <c r="B233" i="18"/>
  <c r="C233" i="18"/>
  <c r="D233" i="18"/>
  <c r="E233" i="18"/>
  <c r="F233" i="18"/>
  <c r="G233" i="18"/>
  <c r="H233" i="18"/>
  <c r="I233" i="18"/>
  <c r="J233" i="18"/>
  <c r="K233" i="18"/>
  <c r="L233" i="18"/>
  <c r="M233" i="18"/>
  <c r="N233" i="18"/>
  <c r="O233" i="18"/>
  <c r="P233" i="18"/>
  <c r="Q233" i="18"/>
  <c r="R233" i="18"/>
  <c r="S233" i="18"/>
  <c r="T233" i="18"/>
  <c r="U233" i="18"/>
  <c r="V233" i="18"/>
  <c r="B234" i="18"/>
  <c r="C234" i="18"/>
  <c r="D234" i="18"/>
  <c r="E234" i="18"/>
  <c r="F234" i="18"/>
  <c r="G234" i="18"/>
  <c r="H234" i="18"/>
  <c r="I234" i="18"/>
  <c r="J234" i="18"/>
  <c r="K234" i="18"/>
  <c r="L234" i="18"/>
  <c r="M234" i="18"/>
  <c r="N234" i="18"/>
  <c r="O234" i="18"/>
  <c r="P234" i="18"/>
  <c r="Q234" i="18"/>
  <c r="R234" i="18"/>
  <c r="S234" i="18"/>
  <c r="T234" i="18"/>
  <c r="U234" i="18"/>
  <c r="V234" i="18"/>
  <c r="B235" i="18"/>
  <c r="C235" i="18"/>
  <c r="D235" i="18"/>
  <c r="E235" i="18"/>
  <c r="F235" i="18"/>
  <c r="G235" i="18"/>
  <c r="H235" i="18"/>
  <c r="I235" i="18"/>
  <c r="J235" i="18"/>
  <c r="K235" i="18"/>
  <c r="L235" i="18"/>
  <c r="M235" i="18"/>
  <c r="N235" i="18"/>
  <c r="O235" i="18"/>
  <c r="P235" i="18"/>
  <c r="Q235" i="18"/>
  <c r="R235" i="18"/>
  <c r="S235" i="18"/>
  <c r="T235" i="18"/>
  <c r="U235" i="18"/>
  <c r="V235" i="18"/>
  <c r="B236" i="18"/>
  <c r="C236" i="18"/>
  <c r="D236" i="18"/>
  <c r="E236" i="18"/>
  <c r="F236" i="18"/>
  <c r="G236" i="18"/>
  <c r="H236" i="18"/>
  <c r="I236" i="18"/>
  <c r="J236" i="18"/>
  <c r="K236" i="18"/>
  <c r="L236" i="18"/>
  <c r="M236" i="18"/>
  <c r="N236" i="18"/>
  <c r="O236" i="18"/>
  <c r="P236" i="18"/>
  <c r="Q236" i="18"/>
  <c r="R236" i="18"/>
  <c r="S236" i="18"/>
  <c r="T236" i="18"/>
  <c r="U236" i="18"/>
  <c r="V236" i="18"/>
  <c r="B237" i="18"/>
  <c r="C237" i="18"/>
  <c r="D237" i="18"/>
  <c r="E237" i="18"/>
  <c r="F237" i="18"/>
  <c r="G237" i="18"/>
  <c r="H237" i="18"/>
  <c r="I237" i="18"/>
  <c r="J237" i="18"/>
  <c r="K237" i="18"/>
  <c r="L237" i="18"/>
  <c r="M237" i="18"/>
  <c r="N237" i="18"/>
  <c r="O237" i="18"/>
  <c r="P237" i="18"/>
  <c r="Q237" i="18"/>
  <c r="R237" i="18"/>
  <c r="S237" i="18"/>
  <c r="T237" i="18"/>
  <c r="U237" i="18"/>
  <c r="V237" i="18"/>
  <c r="B238" i="18"/>
  <c r="C238" i="18"/>
  <c r="D238" i="18"/>
  <c r="E238" i="18"/>
  <c r="F238" i="18"/>
  <c r="G238" i="18"/>
  <c r="H238" i="18"/>
  <c r="I238" i="18"/>
  <c r="J238" i="18"/>
  <c r="K238" i="18"/>
  <c r="L238" i="18"/>
  <c r="M238" i="18"/>
  <c r="N238" i="18"/>
  <c r="O238" i="18"/>
  <c r="P238" i="18"/>
  <c r="Q238" i="18"/>
  <c r="R238" i="18"/>
  <c r="S238" i="18"/>
  <c r="T238" i="18"/>
  <c r="U238" i="18"/>
  <c r="V238" i="18"/>
  <c r="B198" i="17"/>
  <c r="C198" i="17"/>
  <c r="D198" i="17"/>
  <c r="E198" i="17"/>
  <c r="F198" i="17"/>
  <c r="G198" i="17"/>
  <c r="H198" i="17"/>
  <c r="I198" i="17"/>
  <c r="J198" i="17"/>
  <c r="K198" i="17"/>
  <c r="L198" i="17"/>
  <c r="M198" i="17"/>
  <c r="N198" i="17"/>
  <c r="O198" i="17"/>
  <c r="P198" i="17"/>
  <c r="Q198" i="17"/>
  <c r="R198" i="17"/>
  <c r="S198" i="17"/>
  <c r="T198" i="17"/>
  <c r="U198" i="17"/>
  <c r="B199" i="17"/>
  <c r="C199" i="17"/>
  <c r="D199" i="17"/>
  <c r="E199" i="17"/>
  <c r="F199" i="17"/>
  <c r="G199" i="17"/>
  <c r="H199" i="17"/>
  <c r="I199" i="17"/>
  <c r="J199" i="17"/>
  <c r="K199" i="17"/>
  <c r="L199" i="17"/>
  <c r="M199" i="17"/>
  <c r="N199" i="17"/>
  <c r="O199" i="17"/>
  <c r="P199" i="17"/>
  <c r="Q199" i="17"/>
  <c r="R199" i="17"/>
  <c r="S199" i="17"/>
  <c r="T199" i="17"/>
  <c r="U199" i="17"/>
  <c r="B200" i="17"/>
  <c r="C200" i="17"/>
  <c r="D200" i="17"/>
  <c r="E200" i="17"/>
  <c r="F200" i="17"/>
  <c r="G200" i="17"/>
  <c r="H200" i="17"/>
  <c r="I200" i="17"/>
  <c r="J200" i="17"/>
  <c r="K200" i="17"/>
  <c r="L200" i="17"/>
  <c r="M200" i="17"/>
  <c r="N200" i="17"/>
  <c r="O200" i="17"/>
  <c r="P200" i="17"/>
  <c r="Q200" i="17"/>
  <c r="R200" i="17"/>
  <c r="S200" i="17"/>
  <c r="T200" i="17"/>
  <c r="U200" i="17"/>
  <c r="B201" i="17"/>
  <c r="C201" i="17"/>
  <c r="D201" i="17"/>
  <c r="E201" i="17"/>
  <c r="F201" i="17"/>
  <c r="G201" i="17"/>
  <c r="H201" i="17"/>
  <c r="I201" i="17"/>
  <c r="J201" i="17"/>
  <c r="K201" i="17"/>
  <c r="L201" i="17"/>
  <c r="M201" i="17"/>
  <c r="N201" i="17"/>
  <c r="O201" i="17"/>
  <c r="P201" i="17"/>
  <c r="Q201" i="17"/>
  <c r="R201" i="17"/>
  <c r="S201" i="17"/>
  <c r="T201" i="17"/>
  <c r="U201" i="17"/>
  <c r="B202" i="17"/>
  <c r="C202" i="17"/>
  <c r="D202" i="17"/>
  <c r="E202" i="17"/>
  <c r="F202" i="17"/>
  <c r="G202" i="17"/>
  <c r="H202" i="17"/>
  <c r="I202" i="17"/>
  <c r="J202" i="17"/>
  <c r="K202" i="17"/>
  <c r="L202" i="17"/>
  <c r="M202" i="17"/>
  <c r="N202" i="17"/>
  <c r="O202" i="17"/>
  <c r="P202" i="17"/>
  <c r="Q202" i="17"/>
  <c r="R202" i="17"/>
  <c r="S202" i="17"/>
  <c r="T202" i="17"/>
  <c r="U202" i="17"/>
  <c r="B203" i="17"/>
  <c r="C203" i="17"/>
  <c r="D203" i="17"/>
  <c r="E203" i="17"/>
  <c r="F203" i="17"/>
  <c r="G203" i="17"/>
  <c r="H203" i="17"/>
  <c r="I203" i="17"/>
  <c r="J203" i="17"/>
  <c r="K203" i="17"/>
  <c r="L203" i="17"/>
  <c r="M203" i="17"/>
  <c r="N203" i="17"/>
  <c r="O203" i="17"/>
  <c r="P203" i="17"/>
  <c r="Q203" i="17"/>
  <c r="R203" i="17"/>
  <c r="S203" i="17"/>
  <c r="T203" i="17"/>
  <c r="U203" i="17"/>
  <c r="B204" i="17"/>
  <c r="C204" i="17"/>
  <c r="D204" i="17"/>
  <c r="E204" i="17"/>
  <c r="F204" i="17"/>
  <c r="G204" i="17"/>
  <c r="H204" i="17"/>
  <c r="I204" i="17"/>
  <c r="J204" i="17"/>
  <c r="K204" i="17"/>
  <c r="L204" i="17"/>
  <c r="M204" i="17"/>
  <c r="N204" i="17"/>
  <c r="O204" i="17"/>
  <c r="P204" i="17"/>
  <c r="Q204" i="17"/>
  <c r="R204" i="17"/>
  <c r="S204" i="17"/>
  <c r="T204" i="17"/>
  <c r="U204" i="17"/>
  <c r="B205" i="17"/>
  <c r="C205" i="17"/>
  <c r="D205" i="17"/>
  <c r="E205" i="17"/>
  <c r="F205" i="17"/>
  <c r="G205" i="17"/>
  <c r="H205" i="17"/>
  <c r="I205" i="17"/>
  <c r="J205" i="17"/>
  <c r="K205" i="17"/>
  <c r="L205" i="17"/>
  <c r="M205" i="17"/>
  <c r="N205" i="17"/>
  <c r="O205" i="17"/>
  <c r="P205" i="17"/>
  <c r="Q205" i="17"/>
  <c r="R205" i="17"/>
  <c r="S205" i="17"/>
  <c r="T205" i="17"/>
  <c r="U205" i="17"/>
  <c r="B206" i="17"/>
  <c r="C206" i="17"/>
  <c r="D206" i="17"/>
  <c r="E206" i="17"/>
  <c r="F206" i="17"/>
  <c r="G206" i="17"/>
  <c r="H206" i="17"/>
  <c r="I206" i="17"/>
  <c r="J206" i="17"/>
  <c r="K206" i="17"/>
  <c r="L206" i="17"/>
  <c r="M206" i="17"/>
  <c r="N206" i="17"/>
  <c r="O206" i="17"/>
  <c r="P206" i="17"/>
  <c r="Q206" i="17"/>
  <c r="R206" i="17"/>
  <c r="S206" i="17"/>
  <c r="T206" i="17"/>
  <c r="U206" i="17"/>
  <c r="B207" i="17"/>
  <c r="C207" i="17"/>
  <c r="D207" i="17"/>
  <c r="E207" i="17"/>
  <c r="F207" i="17"/>
  <c r="G207" i="17"/>
  <c r="H207" i="17"/>
  <c r="I207" i="17"/>
  <c r="J207" i="17"/>
  <c r="K207" i="17"/>
  <c r="L207" i="17"/>
  <c r="M207" i="17"/>
  <c r="N207" i="17"/>
  <c r="O207" i="17"/>
  <c r="P207" i="17"/>
  <c r="Q207" i="17"/>
  <c r="R207" i="17"/>
  <c r="S207" i="17"/>
  <c r="T207" i="17"/>
  <c r="U207" i="17"/>
  <c r="B208" i="17"/>
  <c r="C208" i="17"/>
  <c r="D208" i="17"/>
  <c r="E208" i="17"/>
  <c r="F208" i="17"/>
  <c r="G208" i="17"/>
  <c r="H208" i="17"/>
  <c r="I208" i="17"/>
  <c r="J208" i="17"/>
  <c r="K208" i="17"/>
  <c r="L208" i="17"/>
  <c r="M208" i="17"/>
  <c r="N208" i="17"/>
  <c r="O208" i="17"/>
  <c r="P208" i="17"/>
  <c r="Q208" i="17"/>
  <c r="R208" i="17"/>
  <c r="S208" i="17"/>
  <c r="T208" i="17"/>
  <c r="U208" i="17"/>
  <c r="B209" i="17"/>
  <c r="C209" i="17"/>
  <c r="D209" i="17"/>
  <c r="E209" i="17"/>
  <c r="F209" i="17"/>
  <c r="G209" i="17"/>
  <c r="H209" i="17"/>
  <c r="I209" i="17"/>
  <c r="J209" i="17"/>
  <c r="K209" i="17"/>
  <c r="L209" i="17"/>
  <c r="M209" i="17"/>
  <c r="N209" i="17"/>
  <c r="O209" i="17"/>
  <c r="P209" i="17"/>
  <c r="Q209" i="17"/>
  <c r="R209" i="17"/>
  <c r="S209" i="17"/>
  <c r="T209" i="17"/>
  <c r="U209" i="17"/>
  <c r="B210" i="17"/>
  <c r="C210" i="17"/>
  <c r="D210" i="17"/>
  <c r="E210" i="17"/>
  <c r="F210" i="17"/>
  <c r="G210" i="17"/>
  <c r="H210" i="17"/>
  <c r="I210" i="17"/>
  <c r="J210" i="17"/>
  <c r="K210" i="17"/>
  <c r="L210" i="17"/>
  <c r="M210" i="17"/>
  <c r="N210" i="17"/>
  <c r="O210" i="17"/>
  <c r="P210" i="17"/>
  <c r="Q210" i="17"/>
  <c r="R210" i="17"/>
  <c r="S210" i="17"/>
  <c r="T210" i="17"/>
  <c r="U210" i="17"/>
  <c r="B211" i="17"/>
  <c r="C211" i="17"/>
  <c r="D211" i="17"/>
  <c r="E211" i="17"/>
  <c r="F211" i="17"/>
  <c r="G211" i="17"/>
  <c r="H211" i="17"/>
  <c r="I211" i="17"/>
  <c r="J211" i="17"/>
  <c r="K211" i="17"/>
  <c r="L211" i="17"/>
  <c r="M211" i="17"/>
  <c r="N211" i="17"/>
  <c r="O211" i="17"/>
  <c r="P211" i="17"/>
  <c r="Q211" i="17"/>
  <c r="R211" i="17"/>
  <c r="S211" i="17"/>
  <c r="T211" i="17"/>
  <c r="U211" i="17"/>
  <c r="B212" i="17"/>
  <c r="C212" i="17"/>
  <c r="D212" i="17"/>
  <c r="E212" i="17"/>
  <c r="F212" i="17"/>
  <c r="G212" i="17"/>
  <c r="H212" i="17"/>
  <c r="I212" i="17"/>
  <c r="J212" i="17"/>
  <c r="K212" i="17"/>
  <c r="L212" i="17"/>
  <c r="M212" i="17"/>
  <c r="N212" i="17"/>
  <c r="O212" i="17"/>
  <c r="P212" i="17"/>
  <c r="Q212" i="17"/>
  <c r="R212" i="17"/>
  <c r="S212" i="17"/>
  <c r="T212" i="17"/>
  <c r="U212" i="17"/>
  <c r="B213" i="17"/>
  <c r="C213" i="17"/>
  <c r="D213" i="17"/>
  <c r="E213" i="17"/>
  <c r="F213" i="17"/>
  <c r="G213" i="17"/>
  <c r="H213" i="17"/>
  <c r="I213" i="17"/>
  <c r="J213" i="17"/>
  <c r="K213" i="17"/>
  <c r="L213" i="17"/>
  <c r="M213" i="17"/>
  <c r="N213" i="17"/>
  <c r="O213" i="17"/>
  <c r="P213" i="17"/>
  <c r="Q213" i="17"/>
  <c r="R213" i="17"/>
  <c r="S213" i="17"/>
  <c r="T213" i="17"/>
  <c r="U213" i="17"/>
  <c r="B214" i="17"/>
  <c r="C214" i="17"/>
  <c r="D214" i="17"/>
  <c r="E214" i="17"/>
  <c r="F214" i="17"/>
  <c r="G214" i="17"/>
  <c r="H214" i="17"/>
  <c r="I214" i="17"/>
  <c r="J214" i="17"/>
  <c r="K214" i="17"/>
  <c r="L214" i="17"/>
  <c r="M214" i="17"/>
  <c r="N214" i="17"/>
  <c r="O214" i="17"/>
  <c r="P214" i="17"/>
  <c r="Q214" i="17"/>
  <c r="R214" i="17"/>
  <c r="S214" i="17"/>
  <c r="T214" i="17"/>
  <c r="U214" i="17"/>
  <c r="B215" i="17"/>
  <c r="C215" i="17"/>
  <c r="D215" i="17"/>
  <c r="E215" i="17"/>
  <c r="F215" i="17"/>
  <c r="G215" i="17"/>
  <c r="H215" i="17"/>
  <c r="I215" i="17"/>
  <c r="J215" i="17"/>
  <c r="K215" i="17"/>
  <c r="L215" i="17"/>
  <c r="M215" i="17"/>
  <c r="N215" i="17"/>
  <c r="O215" i="17"/>
  <c r="P215" i="17"/>
  <c r="Q215" i="17"/>
  <c r="R215" i="17"/>
  <c r="S215" i="17"/>
  <c r="T215" i="17"/>
  <c r="U215" i="17"/>
  <c r="B216" i="17"/>
  <c r="C216" i="17"/>
  <c r="D216" i="17"/>
  <c r="E216" i="17"/>
  <c r="F216" i="17"/>
  <c r="G216" i="17"/>
  <c r="H216" i="17"/>
  <c r="I216" i="17"/>
  <c r="J216" i="17"/>
  <c r="K216" i="17"/>
  <c r="L216" i="17"/>
  <c r="M216" i="17"/>
  <c r="N216" i="17"/>
  <c r="O216" i="17"/>
  <c r="P216" i="17"/>
  <c r="Q216" i="17"/>
  <c r="R216" i="17"/>
  <c r="S216" i="17"/>
  <c r="T216" i="17"/>
  <c r="U216" i="17"/>
  <c r="B217" i="17"/>
  <c r="C217" i="17"/>
  <c r="D217" i="17"/>
  <c r="E217" i="17"/>
  <c r="F217" i="17"/>
  <c r="G217" i="17"/>
  <c r="H217" i="17"/>
  <c r="I217" i="17"/>
  <c r="J217" i="17"/>
  <c r="K217" i="17"/>
  <c r="L217" i="17"/>
  <c r="M217" i="17"/>
  <c r="N217" i="17"/>
  <c r="O217" i="17"/>
  <c r="P217" i="17"/>
  <c r="Q217" i="17"/>
  <c r="R217" i="17"/>
  <c r="S217" i="17"/>
  <c r="T217" i="17"/>
  <c r="U217" i="17"/>
  <c r="B179" i="16"/>
  <c r="C179" i="16"/>
  <c r="D179" i="16"/>
  <c r="E179" i="16"/>
  <c r="F179" i="16"/>
  <c r="G179" i="16"/>
  <c r="H179" i="16"/>
  <c r="I179" i="16"/>
  <c r="J179" i="16"/>
  <c r="K179" i="16"/>
  <c r="L179" i="16"/>
  <c r="M179" i="16"/>
  <c r="N179" i="16"/>
  <c r="O179" i="16"/>
  <c r="P179" i="16"/>
  <c r="Q179" i="16"/>
  <c r="R179" i="16"/>
  <c r="S179" i="16"/>
  <c r="T179" i="16"/>
  <c r="B180" i="16"/>
  <c r="C180" i="16"/>
  <c r="D180" i="16"/>
  <c r="E180" i="16"/>
  <c r="F180" i="16"/>
  <c r="G180" i="16"/>
  <c r="H180" i="16"/>
  <c r="I180" i="16"/>
  <c r="J180" i="16"/>
  <c r="K180" i="16"/>
  <c r="L180" i="16"/>
  <c r="M180" i="16"/>
  <c r="N180" i="16"/>
  <c r="O180" i="16"/>
  <c r="P180" i="16"/>
  <c r="Q180" i="16"/>
  <c r="R180" i="16"/>
  <c r="S180" i="16"/>
  <c r="T180" i="16"/>
  <c r="B181" i="16"/>
  <c r="C181" i="16"/>
  <c r="D181" i="16"/>
  <c r="E181" i="16"/>
  <c r="F181" i="16"/>
  <c r="G181" i="16"/>
  <c r="H181" i="16"/>
  <c r="I181" i="16"/>
  <c r="J181" i="16"/>
  <c r="K181" i="16"/>
  <c r="L181" i="16"/>
  <c r="M181" i="16"/>
  <c r="N181" i="16"/>
  <c r="O181" i="16"/>
  <c r="P181" i="16"/>
  <c r="Q181" i="16"/>
  <c r="R181" i="16"/>
  <c r="S181" i="16"/>
  <c r="T181" i="16"/>
  <c r="B182" i="16"/>
  <c r="C182" i="16"/>
  <c r="D182" i="16"/>
  <c r="E182" i="16"/>
  <c r="F182" i="16"/>
  <c r="G182" i="16"/>
  <c r="H182" i="16"/>
  <c r="I182" i="16"/>
  <c r="J182" i="16"/>
  <c r="K182" i="16"/>
  <c r="L182" i="16"/>
  <c r="M182" i="16"/>
  <c r="N182" i="16"/>
  <c r="O182" i="16"/>
  <c r="P182" i="16"/>
  <c r="Q182" i="16"/>
  <c r="R182" i="16"/>
  <c r="S182" i="16"/>
  <c r="T182" i="16"/>
  <c r="B183" i="16"/>
  <c r="C183" i="16"/>
  <c r="D183" i="16"/>
  <c r="E183" i="16"/>
  <c r="F183" i="16"/>
  <c r="G183" i="16"/>
  <c r="H183" i="16"/>
  <c r="I183" i="16"/>
  <c r="J183" i="16"/>
  <c r="K183" i="16"/>
  <c r="L183" i="16"/>
  <c r="M183" i="16"/>
  <c r="N183" i="16"/>
  <c r="O183" i="16"/>
  <c r="P183" i="16"/>
  <c r="Q183" i="16"/>
  <c r="R183" i="16"/>
  <c r="S183" i="16"/>
  <c r="T183" i="16"/>
  <c r="B184" i="16"/>
  <c r="C184" i="16"/>
  <c r="D184" i="16"/>
  <c r="E184" i="16"/>
  <c r="F184" i="16"/>
  <c r="G184" i="16"/>
  <c r="H184" i="16"/>
  <c r="I184" i="16"/>
  <c r="J184" i="16"/>
  <c r="K184" i="16"/>
  <c r="L184" i="16"/>
  <c r="M184" i="16"/>
  <c r="N184" i="16"/>
  <c r="O184" i="16"/>
  <c r="P184" i="16"/>
  <c r="Q184" i="16"/>
  <c r="R184" i="16"/>
  <c r="S184" i="16"/>
  <c r="T184" i="16"/>
  <c r="B185" i="16"/>
  <c r="C185" i="16"/>
  <c r="D185" i="16"/>
  <c r="E185" i="16"/>
  <c r="F185" i="16"/>
  <c r="G185" i="16"/>
  <c r="H185" i="16"/>
  <c r="I185" i="16"/>
  <c r="J185" i="16"/>
  <c r="K185" i="16"/>
  <c r="L185" i="16"/>
  <c r="M185" i="16"/>
  <c r="N185" i="16"/>
  <c r="O185" i="16"/>
  <c r="P185" i="16"/>
  <c r="Q185" i="16"/>
  <c r="R185" i="16"/>
  <c r="S185" i="16"/>
  <c r="T185" i="16"/>
  <c r="B186" i="16"/>
  <c r="C186" i="16"/>
  <c r="D186" i="16"/>
  <c r="E186" i="16"/>
  <c r="F186" i="16"/>
  <c r="G186" i="16"/>
  <c r="H186" i="16"/>
  <c r="I186" i="16"/>
  <c r="J186" i="16"/>
  <c r="K186" i="16"/>
  <c r="L186" i="16"/>
  <c r="M186" i="16"/>
  <c r="N186" i="16"/>
  <c r="O186" i="16"/>
  <c r="P186" i="16"/>
  <c r="Q186" i="16"/>
  <c r="R186" i="16"/>
  <c r="S186" i="16"/>
  <c r="T186" i="16"/>
  <c r="B187" i="16"/>
  <c r="C187" i="16"/>
  <c r="D187" i="16"/>
  <c r="E187" i="16"/>
  <c r="F187" i="16"/>
  <c r="G187" i="16"/>
  <c r="H187" i="16"/>
  <c r="I187" i="16"/>
  <c r="J187" i="16"/>
  <c r="K187" i="16"/>
  <c r="L187" i="16"/>
  <c r="M187" i="16"/>
  <c r="N187" i="16"/>
  <c r="O187" i="16"/>
  <c r="P187" i="16"/>
  <c r="Q187" i="16"/>
  <c r="R187" i="16"/>
  <c r="S187" i="16"/>
  <c r="T187" i="16"/>
  <c r="B188" i="16"/>
  <c r="C188" i="16"/>
  <c r="D188" i="16"/>
  <c r="E188" i="16"/>
  <c r="F188" i="16"/>
  <c r="G188" i="16"/>
  <c r="H188" i="16"/>
  <c r="I188" i="16"/>
  <c r="J188" i="16"/>
  <c r="K188" i="16"/>
  <c r="L188" i="16"/>
  <c r="M188" i="16"/>
  <c r="N188" i="16"/>
  <c r="O188" i="16"/>
  <c r="P188" i="16"/>
  <c r="Q188" i="16"/>
  <c r="R188" i="16"/>
  <c r="S188" i="16"/>
  <c r="T188" i="16"/>
  <c r="B189" i="16"/>
  <c r="C189" i="16"/>
  <c r="D189" i="16"/>
  <c r="E189" i="16"/>
  <c r="F189" i="16"/>
  <c r="G189" i="16"/>
  <c r="H189" i="16"/>
  <c r="I189" i="16"/>
  <c r="J189" i="16"/>
  <c r="K189" i="16"/>
  <c r="L189" i="16"/>
  <c r="M189" i="16"/>
  <c r="N189" i="16"/>
  <c r="O189" i="16"/>
  <c r="P189" i="16"/>
  <c r="Q189" i="16"/>
  <c r="R189" i="16"/>
  <c r="S189" i="16"/>
  <c r="T189" i="16"/>
  <c r="B190" i="16"/>
  <c r="C190" i="16"/>
  <c r="D190" i="16"/>
  <c r="E190" i="16"/>
  <c r="F190" i="16"/>
  <c r="G190" i="16"/>
  <c r="H190" i="16"/>
  <c r="I190" i="16"/>
  <c r="J190" i="16"/>
  <c r="K190" i="16"/>
  <c r="L190" i="16"/>
  <c r="M190" i="16"/>
  <c r="N190" i="16"/>
  <c r="O190" i="16"/>
  <c r="P190" i="16"/>
  <c r="Q190" i="16"/>
  <c r="R190" i="16"/>
  <c r="S190" i="16"/>
  <c r="T190" i="16"/>
  <c r="B191" i="16"/>
  <c r="C191" i="16"/>
  <c r="D191" i="16"/>
  <c r="E191" i="16"/>
  <c r="F191" i="16"/>
  <c r="G191" i="16"/>
  <c r="H191" i="16"/>
  <c r="I191" i="16"/>
  <c r="J191" i="16"/>
  <c r="K191" i="16"/>
  <c r="L191" i="16"/>
  <c r="M191" i="16"/>
  <c r="N191" i="16"/>
  <c r="O191" i="16"/>
  <c r="P191" i="16"/>
  <c r="Q191" i="16"/>
  <c r="R191" i="16"/>
  <c r="S191" i="16"/>
  <c r="T191" i="16"/>
  <c r="B192" i="16"/>
  <c r="C192" i="16"/>
  <c r="D192" i="16"/>
  <c r="E192" i="16"/>
  <c r="F192" i="16"/>
  <c r="G192" i="16"/>
  <c r="H192" i="16"/>
  <c r="I192" i="16"/>
  <c r="J192" i="16"/>
  <c r="K192" i="16"/>
  <c r="L192" i="16"/>
  <c r="M192" i="16"/>
  <c r="N192" i="16"/>
  <c r="O192" i="16"/>
  <c r="P192" i="16"/>
  <c r="Q192" i="16"/>
  <c r="R192" i="16"/>
  <c r="S192" i="16"/>
  <c r="T192" i="16"/>
  <c r="B193" i="16"/>
  <c r="C193" i="16"/>
  <c r="D193" i="16"/>
  <c r="E193" i="16"/>
  <c r="F193" i="16"/>
  <c r="G193" i="16"/>
  <c r="H193" i="16"/>
  <c r="I193" i="16"/>
  <c r="J193" i="16"/>
  <c r="K193" i="16"/>
  <c r="L193" i="16"/>
  <c r="M193" i="16"/>
  <c r="N193" i="16"/>
  <c r="O193" i="16"/>
  <c r="P193" i="16"/>
  <c r="Q193" i="16"/>
  <c r="R193" i="16"/>
  <c r="S193" i="16"/>
  <c r="T193" i="16"/>
  <c r="B194" i="16"/>
  <c r="C194" i="16"/>
  <c r="D194" i="16"/>
  <c r="E194" i="16"/>
  <c r="F194" i="16"/>
  <c r="G194" i="16"/>
  <c r="H194" i="16"/>
  <c r="I194" i="16"/>
  <c r="J194" i="16"/>
  <c r="K194" i="16"/>
  <c r="L194" i="16"/>
  <c r="M194" i="16"/>
  <c r="N194" i="16"/>
  <c r="O194" i="16"/>
  <c r="P194" i="16"/>
  <c r="Q194" i="16"/>
  <c r="R194" i="16"/>
  <c r="S194" i="16"/>
  <c r="T194" i="16"/>
  <c r="B195" i="16"/>
  <c r="C195" i="16"/>
  <c r="D195" i="16"/>
  <c r="E195" i="16"/>
  <c r="F195" i="16"/>
  <c r="G195" i="16"/>
  <c r="H195" i="16"/>
  <c r="I195" i="16"/>
  <c r="J195" i="16"/>
  <c r="K195" i="16"/>
  <c r="L195" i="16"/>
  <c r="M195" i="16"/>
  <c r="N195" i="16"/>
  <c r="O195" i="16"/>
  <c r="P195" i="16"/>
  <c r="Q195" i="16"/>
  <c r="R195" i="16"/>
  <c r="S195" i="16"/>
  <c r="T195" i="16"/>
  <c r="B196" i="16"/>
  <c r="C196" i="16"/>
  <c r="D196" i="16"/>
  <c r="E196" i="16"/>
  <c r="F196" i="16"/>
  <c r="G196" i="16"/>
  <c r="H196" i="16"/>
  <c r="I196" i="16"/>
  <c r="J196" i="16"/>
  <c r="K196" i="16"/>
  <c r="L196" i="16"/>
  <c r="M196" i="16"/>
  <c r="N196" i="16"/>
  <c r="O196" i="16"/>
  <c r="P196" i="16"/>
  <c r="Q196" i="16"/>
  <c r="R196" i="16"/>
  <c r="S196" i="16"/>
  <c r="T196" i="16"/>
  <c r="B197" i="16"/>
  <c r="C197" i="16"/>
  <c r="D197" i="16"/>
  <c r="E197" i="16"/>
  <c r="F197" i="16"/>
  <c r="G197" i="16"/>
  <c r="H197" i="16"/>
  <c r="I197" i="16"/>
  <c r="J197" i="16"/>
  <c r="K197" i="16"/>
  <c r="L197" i="16"/>
  <c r="M197" i="16"/>
  <c r="N197" i="16"/>
  <c r="O197" i="16"/>
  <c r="P197" i="16"/>
  <c r="Q197" i="16"/>
  <c r="R197" i="16"/>
  <c r="S197" i="16"/>
  <c r="T197" i="16"/>
  <c r="B191" i="15"/>
  <c r="C191" i="15"/>
  <c r="D191" i="15"/>
  <c r="E191" i="15"/>
  <c r="F191" i="15"/>
  <c r="G191" i="15"/>
  <c r="H191" i="15"/>
  <c r="I191" i="15"/>
  <c r="J191" i="15"/>
  <c r="K191" i="15"/>
  <c r="L191" i="15"/>
  <c r="M191" i="15"/>
  <c r="N191" i="15"/>
  <c r="O191" i="15"/>
  <c r="P191" i="15"/>
  <c r="Q191" i="15"/>
  <c r="R191" i="15"/>
  <c r="S191" i="15"/>
  <c r="B192" i="15"/>
  <c r="C192" i="15"/>
  <c r="D192" i="15"/>
  <c r="E192" i="15"/>
  <c r="F192" i="15"/>
  <c r="G192" i="15"/>
  <c r="H192" i="15"/>
  <c r="I192" i="15"/>
  <c r="J192" i="15"/>
  <c r="K192" i="15"/>
  <c r="L192" i="15"/>
  <c r="M192" i="15"/>
  <c r="N192" i="15"/>
  <c r="O192" i="15"/>
  <c r="P192" i="15"/>
  <c r="Q192" i="15"/>
  <c r="R192" i="15"/>
  <c r="S192" i="15"/>
  <c r="B193" i="15"/>
  <c r="C193" i="15"/>
  <c r="D193" i="15"/>
  <c r="E193" i="15"/>
  <c r="F193" i="15"/>
  <c r="G193" i="15"/>
  <c r="H193" i="15"/>
  <c r="I193" i="15"/>
  <c r="J193" i="15"/>
  <c r="K193" i="15"/>
  <c r="L193" i="15"/>
  <c r="M193" i="15"/>
  <c r="N193" i="15"/>
  <c r="O193" i="15"/>
  <c r="P193" i="15"/>
  <c r="Q193" i="15"/>
  <c r="R193" i="15"/>
  <c r="S193" i="15"/>
  <c r="B194" i="15"/>
  <c r="C194" i="15"/>
  <c r="D194" i="15"/>
  <c r="E194" i="15"/>
  <c r="F194" i="15"/>
  <c r="G194" i="15"/>
  <c r="H194" i="15"/>
  <c r="I194" i="15"/>
  <c r="J194" i="15"/>
  <c r="K194" i="15"/>
  <c r="L194" i="15"/>
  <c r="M194" i="15"/>
  <c r="N194" i="15"/>
  <c r="O194" i="15"/>
  <c r="P194" i="15"/>
  <c r="Q194" i="15"/>
  <c r="R194" i="15"/>
  <c r="S194" i="15"/>
  <c r="B195" i="15"/>
  <c r="C195" i="15"/>
  <c r="D195" i="15"/>
  <c r="E195" i="15"/>
  <c r="F195" i="15"/>
  <c r="G195" i="15"/>
  <c r="H195" i="15"/>
  <c r="I195" i="15"/>
  <c r="J195" i="15"/>
  <c r="K195" i="15"/>
  <c r="L195" i="15"/>
  <c r="M195" i="15"/>
  <c r="N195" i="15"/>
  <c r="O195" i="15"/>
  <c r="P195" i="15"/>
  <c r="Q195" i="15"/>
  <c r="R195" i="15"/>
  <c r="S195" i="15"/>
  <c r="B196" i="15"/>
  <c r="C196" i="15"/>
  <c r="D196" i="15"/>
  <c r="E196" i="15"/>
  <c r="F196" i="15"/>
  <c r="G196" i="15"/>
  <c r="H196" i="15"/>
  <c r="I196" i="15"/>
  <c r="J196" i="15"/>
  <c r="K196" i="15"/>
  <c r="L196" i="15"/>
  <c r="M196" i="15"/>
  <c r="N196" i="15"/>
  <c r="O196" i="15"/>
  <c r="P196" i="15"/>
  <c r="Q196" i="15"/>
  <c r="R196" i="15"/>
  <c r="S196" i="15"/>
  <c r="B197" i="15"/>
  <c r="C197" i="15"/>
  <c r="D197" i="15"/>
  <c r="E197" i="15"/>
  <c r="F197" i="15"/>
  <c r="G197" i="15"/>
  <c r="H197" i="15"/>
  <c r="I197" i="15"/>
  <c r="J197" i="15"/>
  <c r="K197" i="15"/>
  <c r="L197" i="15"/>
  <c r="M197" i="15"/>
  <c r="N197" i="15"/>
  <c r="O197" i="15"/>
  <c r="P197" i="15"/>
  <c r="Q197" i="15"/>
  <c r="R197" i="15"/>
  <c r="S197" i="15"/>
  <c r="B198" i="15"/>
  <c r="C198" i="15"/>
  <c r="D198" i="15"/>
  <c r="E198" i="15"/>
  <c r="F198" i="15"/>
  <c r="G198" i="15"/>
  <c r="H198" i="15"/>
  <c r="I198" i="15"/>
  <c r="J198" i="15"/>
  <c r="K198" i="15"/>
  <c r="L198" i="15"/>
  <c r="M198" i="15"/>
  <c r="N198" i="15"/>
  <c r="O198" i="15"/>
  <c r="P198" i="15"/>
  <c r="Q198" i="15"/>
  <c r="R198" i="15"/>
  <c r="S198" i="15"/>
  <c r="B199" i="15"/>
  <c r="C199" i="15"/>
  <c r="D199" i="15"/>
  <c r="E199" i="15"/>
  <c r="F199" i="15"/>
  <c r="G199" i="15"/>
  <c r="H199" i="15"/>
  <c r="I199" i="15"/>
  <c r="J199" i="15"/>
  <c r="K199" i="15"/>
  <c r="L199" i="15"/>
  <c r="M199" i="15"/>
  <c r="N199" i="15"/>
  <c r="O199" i="15"/>
  <c r="P199" i="15"/>
  <c r="Q199" i="15"/>
  <c r="R199" i="15"/>
  <c r="S199" i="15"/>
  <c r="B200" i="15"/>
  <c r="C200" i="15"/>
  <c r="D200" i="15"/>
  <c r="E200" i="15"/>
  <c r="F200" i="15"/>
  <c r="G200" i="15"/>
  <c r="H200" i="15"/>
  <c r="I200" i="15"/>
  <c r="J200" i="15"/>
  <c r="K200" i="15"/>
  <c r="L200" i="15"/>
  <c r="M200" i="15"/>
  <c r="N200" i="15"/>
  <c r="O200" i="15"/>
  <c r="P200" i="15"/>
  <c r="Q200" i="15"/>
  <c r="R200" i="15"/>
  <c r="S200" i="15"/>
  <c r="B201" i="15"/>
  <c r="C201" i="15"/>
  <c r="D201" i="15"/>
  <c r="E201" i="15"/>
  <c r="F201" i="15"/>
  <c r="G201" i="15"/>
  <c r="H201" i="15"/>
  <c r="I201" i="15"/>
  <c r="J201" i="15"/>
  <c r="K201" i="15"/>
  <c r="L201" i="15"/>
  <c r="M201" i="15"/>
  <c r="N201" i="15"/>
  <c r="O201" i="15"/>
  <c r="P201" i="15"/>
  <c r="Q201" i="15"/>
  <c r="R201" i="15"/>
  <c r="S201" i="15"/>
  <c r="B202" i="15"/>
  <c r="C202" i="15"/>
  <c r="D202" i="15"/>
  <c r="E202" i="15"/>
  <c r="F202" i="15"/>
  <c r="G202" i="15"/>
  <c r="H202" i="15"/>
  <c r="I202" i="15"/>
  <c r="J202" i="15"/>
  <c r="K202" i="15"/>
  <c r="L202" i="15"/>
  <c r="M202" i="15"/>
  <c r="N202" i="15"/>
  <c r="O202" i="15"/>
  <c r="P202" i="15"/>
  <c r="Q202" i="15"/>
  <c r="R202" i="15"/>
  <c r="S202" i="15"/>
  <c r="B203" i="15"/>
  <c r="C203" i="15"/>
  <c r="D203" i="15"/>
  <c r="E203" i="15"/>
  <c r="F203" i="15"/>
  <c r="G203" i="15"/>
  <c r="H203" i="15"/>
  <c r="I203" i="15"/>
  <c r="J203" i="15"/>
  <c r="K203" i="15"/>
  <c r="L203" i="15"/>
  <c r="M203" i="15"/>
  <c r="N203" i="15"/>
  <c r="O203" i="15"/>
  <c r="P203" i="15"/>
  <c r="Q203" i="15"/>
  <c r="R203" i="15"/>
  <c r="S203" i="15"/>
  <c r="B204" i="15"/>
  <c r="C204" i="15"/>
  <c r="D204" i="15"/>
  <c r="E204" i="15"/>
  <c r="F204" i="15"/>
  <c r="G204" i="15"/>
  <c r="H204" i="15"/>
  <c r="I204" i="15"/>
  <c r="J204" i="15"/>
  <c r="K204" i="15"/>
  <c r="L204" i="15"/>
  <c r="M204" i="15"/>
  <c r="N204" i="15"/>
  <c r="O204" i="15"/>
  <c r="P204" i="15"/>
  <c r="Q204" i="15"/>
  <c r="R204" i="15"/>
  <c r="S204" i="15"/>
  <c r="B205" i="15"/>
  <c r="C205" i="15"/>
  <c r="D205" i="15"/>
  <c r="E205" i="15"/>
  <c r="F205" i="15"/>
  <c r="G205" i="15"/>
  <c r="H205" i="15"/>
  <c r="I205" i="15"/>
  <c r="J205" i="15"/>
  <c r="K205" i="15"/>
  <c r="L205" i="15"/>
  <c r="M205" i="15"/>
  <c r="N205" i="15"/>
  <c r="O205" i="15"/>
  <c r="P205" i="15"/>
  <c r="Q205" i="15"/>
  <c r="R205" i="15"/>
  <c r="S205" i="15"/>
  <c r="B206" i="15"/>
  <c r="C206" i="15"/>
  <c r="D206" i="15"/>
  <c r="E206" i="15"/>
  <c r="F206" i="15"/>
  <c r="G206" i="15"/>
  <c r="H206" i="15"/>
  <c r="I206" i="15"/>
  <c r="J206" i="15"/>
  <c r="K206" i="15"/>
  <c r="L206" i="15"/>
  <c r="M206" i="15"/>
  <c r="N206" i="15"/>
  <c r="O206" i="15"/>
  <c r="P206" i="15"/>
  <c r="Q206" i="15"/>
  <c r="R206" i="15"/>
  <c r="S206" i="15"/>
  <c r="B207" i="15"/>
  <c r="C207" i="15"/>
  <c r="D207" i="15"/>
  <c r="E207" i="15"/>
  <c r="F207" i="15"/>
  <c r="G207" i="15"/>
  <c r="H207" i="15"/>
  <c r="I207" i="15"/>
  <c r="J207" i="15"/>
  <c r="K207" i="15"/>
  <c r="L207" i="15"/>
  <c r="M207" i="15"/>
  <c r="N207" i="15"/>
  <c r="O207" i="15"/>
  <c r="P207" i="15"/>
  <c r="Q207" i="15"/>
  <c r="R207" i="15"/>
  <c r="S207" i="15"/>
  <c r="B208" i="15"/>
  <c r="C208" i="15"/>
  <c r="D208" i="15"/>
  <c r="E208" i="15"/>
  <c r="F208" i="15"/>
  <c r="G208" i="15"/>
  <c r="H208" i="15"/>
  <c r="I208" i="15"/>
  <c r="J208" i="15"/>
  <c r="K208" i="15"/>
  <c r="L208" i="15"/>
  <c r="M208" i="15"/>
  <c r="N208" i="15"/>
  <c r="O208" i="15"/>
  <c r="P208" i="15"/>
  <c r="Q208" i="15"/>
  <c r="R208" i="15"/>
  <c r="S208" i="15"/>
  <c r="B177" i="13"/>
  <c r="C177" i="13"/>
  <c r="D177" i="13"/>
  <c r="E177" i="13"/>
  <c r="F177" i="13"/>
  <c r="G177" i="13"/>
  <c r="H177" i="13"/>
  <c r="I177" i="13"/>
  <c r="J177" i="13"/>
  <c r="K177" i="13"/>
  <c r="L177" i="13"/>
  <c r="M177" i="13"/>
  <c r="N177" i="13"/>
  <c r="O177" i="13"/>
  <c r="P177" i="13"/>
  <c r="Q177" i="13"/>
  <c r="B178" i="13"/>
  <c r="C178" i="13"/>
  <c r="D178" i="13"/>
  <c r="E178" i="13"/>
  <c r="F178" i="13"/>
  <c r="G178" i="13"/>
  <c r="H178" i="13"/>
  <c r="I178" i="13"/>
  <c r="J178" i="13"/>
  <c r="K178" i="13"/>
  <c r="L178" i="13"/>
  <c r="M178" i="13"/>
  <c r="N178" i="13"/>
  <c r="O178" i="13"/>
  <c r="P178" i="13"/>
  <c r="Q178" i="13"/>
  <c r="B179" i="13"/>
  <c r="C179" i="13"/>
  <c r="D179" i="13"/>
  <c r="E179" i="13"/>
  <c r="F179" i="13"/>
  <c r="G179" i="13"/>
  <c r="H179" i="13"/>
  <c r="I179" i="13"/>
  <c r="J179" i="13"/>
  <c r="K179" i="13"/>
  <c r="L179" i="13"/>
  <c r="M179" i="13"/>
  <c r="N179" i="13"/>
  <c r="O179" i="13"/>
  <c r="P179" i="13"/>
  <c r="Q179" i="13"/>
  <c r="B180" i="13"/>
  <c r="C180" i="13"/>
  <c r="D180" i="13"/>
  <c r="E180" i="13"/>
  <c r="F180" i="13"/>
  <c r="G180" i="13"/>
  <c r="H180" i="13"/>
  <c r="I180" i="13"/>
  <c r="J180" i="13"/>
  <c r="K180" i="13"/>
  <c r="L180" i="13"/>
  <c r="M180" i="13"/>
  <c r="N180" i="13"/>
  <c r="O180" i="13"/>
  <c r="P180" i="13"/>
  <c r="Q180" i="13"/>
  <c r="B181" i="13"/>
  <c r="C181" i="13"/>
  <c r="D181" i="13"/>
  <c r="E181" i="13"/>
  <c r="F181" i="13"/>
  <c r="G181" i="13"/>
  <c r="H181" i="13"/>
  <c r="I181" i="13"/>
  <c r="J181" i="13"/>
  <c r="K181" i="13"/>
  <c r="L181" i="13"/>
  <c r="M181" i="13"/>
  <c r="N181" i="13"/>
  <c r="O181" i="13"/>
  <c r="P181" i="13"/>
  <c r="Q181" i="13"/>
  <c r="B182" i="13"/>
  <c r="C182" i="13"/>
  <c r="D182" i="13"/>
  <c r="E182" i="13"/>
  <c r="F182" i="13"/>
  <c r="G182" i="13"/>
  <c r="H182" i="13"/>
  <c r="I182" i="13"/>
  <c r="J182" i="13"/>
  <c r="K182" i="13"/>
  <c r="L182" i="13"/>
  <c r="M182" i="13"/>
  <c r="N182" i="13"/>
  <c r="O182" i="13"/>
  <c r="P182" i="13"/>
  <c r="Q182" i="13"/>
  <c r="B183" i="13"/>
  <c r="C183" i="13"/>
  <c r="D183" i="13"/>
  <c r="E183" i="13"/>
  <c r="F183" i="13"/>
  <c r="G183" i="13"/>
  <c r="H183" i="13"/>
  <c r="I183" i="13"/>
  <c r="J183" i="13"/>
  <c r="K183" i="13"/>
  <c r="L183" i="13"/>
  <c r="M183" i="13"/>
  <c r="N183" i="13"/>
  <c r="O183" i="13"/>
  <c r="P183" i="13"/>
  <c r="Q183" i="13"/>
  <c r="B184" i="13"/>
  <c r="C184" i="13"/>
  <c r="D184" i="13"/>
  <c r="E184" i="13"/>
  <c r="F184" i="13"/>
  <c r="G184" i="13"/>
  <c r="H184" i="13"/>
  <c r="I184" i="13"/>
  <c r="J184" i="13"/>
  <c r="K184" i="13"/>
  <c r="L184" i="13"/>
  <c r="M184" i="13"/>
  <c r="N184" i="13"/>
  <c r="O184" i="13"/>
  <c r="P184" i="13"/>
  <c r="Q184" i="13"/>
  <c r="B185" i="13"/>
  <c r="C185" i="13"/>
  <c r="D185" i="13"/>
  <c r="E185" i="13"/>
  <c r="F185" i="13"/>
  <c r="G185" i="13"/>
  <c r="H185" i="13"/>
  <c r="I185" i="13"/>
  <c r="J185" i="13"/>
  <c r="K185" i="13"/>
  <c r="L185" i="13"/>
  <c r="M185" i="13"/>
  <c r="N185" i="13"/>
  <c r="O185" i="13"/>
  <c r="P185" i="13"/>
  <c r="Q185" i="13"/>
  <c r="B186" i="13"/>
  <c r="C186" i="13"/>
  <c r="D186" i="13"/>
  <c r="E186" i="13"/>
  <c r="F186" i="13"/>
  <c r="G186" i="13"/>
  <c r="H186" i="13"/>
  <c r="I186" i="13"/>
  <c r="J186" i="13"/>
  <c r="K186" i="13"/>
  <c r="L186" i="13"/>
  <c r="M186" i="13"/>
  <c r="N186" i="13"/>
  <c r="O186" i="13"/>
  <c r="P186" i="13"/>
  <c r="Q186" i="13"/>
  <c r="B187" i="13"/>
  <c r="C187" i="13"/>
  <c r="D187" i="13"/>
  <c r="E187" i="13"/>
  <c r="F187" i="13"/>
  <c r="G187" i="13"/>
  <c r="H187" i="13"/>
  <c r="I187" i="13"/>
  <c r="J187" i="13"/>
  <c r="K187" i="13"/>
  <c r="L187" i="13"/>
  <c r="M187" i="13"/>
  <c r="N187" i="13"/>
  <c r="O187" i="13"/>
  <c r="P187" i="13"/>
  <c r="Q187" i="13"/>
  <c r="B188" i="13"/>
  <c r="C188" i="13"/>
  <c r="D188" i="13"/>
  <c r="E188" i="13"/>
  <c r="F188" i="13"/>
  <c r="G188" i="13"/>
  <c r="H188" i="13"/>
  <c r="I188" i="13"/>
  <c r="J188" i="13"/>
  <c r="K188" i="13"/>
  <c r="L188" i="13"/>
  <c r="M188" i="13"/>
  <c r="N188" i="13"/>
  <c r="O188" i="13"/>
  <c r="P188" i="13"/>
  <c r="Q188" i="13"/>
  <c r="B189" i="13"/>
  <c r="C189" i="13"/>
  <c r="D189" i="13"/>
  <c r="E189" i="13"/>
  <c r="F189" i="13"/>
  <c r="G189" i="13"/>
  <c r="H189" i="13"/>
  <c r="I189" i="13"/>
  <c r="J189" i="13"/>
  <c r="K189" i="13"/>
  <c r="L189" i="13"/>
  <c r="M189" i="13"/>
  <c r="N189" i="13"/>
  <c r="O189" i="13"/>
  <c r="P189" i="13"/>
  <c r="Q189" i="13"/>
  <c r="B190" i="13"/>
  <c r="C190" i="13"/>
  <c r="D190" i="13"/>
  <c r="E190" i="13"/>
  <c r="F190" i="13"/>
  <c r="G190" i="13"/>
  <c r="H190" i="13"/>
  <c r="I190" i="13"/>
  <c r="J190" i="13"/>
  <c r="K190" i="13"/>
  <c r="L190" i="13"/>
  <c r="M190" i="13"/>
  <c r="N190" i="13"/>
  <c r="O190" i="13"/>
  <c r="P190" i="13"/>
  <c r="Q190" i="13"/>
  <c r="B191" i="13"/>
  <c r="C191" i="13"/>
  <c r="D191" i="13"/>
  <c r="E191" i="13"/>
  <c r="F191" i="13"/>
  <c r="G191" i="13"/>
  <c r="H191" i="13"/>
  <c r="I191" i="13"/>
  <c r="J191" i="13"/>
  <c r="K191" i="13"/>
  <c r="L191" i="13"/>
  <c r="M191" i="13"/>
  <c r="N191" i="13"/>
  <c r="O191" i="13"/>
  <c r="P191" i="13"/>
  <c r="Q191" i="13"/>
  <c r="B192" i="13"/>
  <c r="C192" i="13"/>
  <c r="D192" i="13"/>
  <c r="E192" i="13"/>
  <c r="F192" i="13"/>
  <c r="G192" i="13"/>
  <c r="H192" i="13"/>
  <c r="I192" i="13"/>
  <c r="J192" i="13"/>
  <c r="K192" i="13"/>
  <c r="L192" i="13"/>
  <c r="M192" i="13"/>
  <c r="N192" i="13"/>
  <c r="O192" i="13"/>
  <c r="P192" i="13"/>
  <c r="Q192" i="13"/>
  <c r="B156" i="12"/>
  <c r="C156" i="12"/>
  <c r="D156" i="12"/>
  <c r="E156" i="12"/>
  <c r="F156" i="12"/>
  <c r="G156" i="12"/>
  <c r="H156" i="12"/>
  <c r="I156" i="12"/>
  <c r="J156" i="12"/>
  <c r="K156" i="12"/>
  <c r="L156" i="12"/>
  <c r="M156" i="12"/>
  <c r="N156" i="12"/>
  <c r="O156" i="12"/>
  <c r="P156" i="12"/>
  <c r="B157" i="12"/>
  <c r="C157" i="12"/>
  <c r="D157" i="12"/>
  <c r="E157" i="12"/>
  <c r="F157" i="12"/>
  <c r="G157" i="12"/>
  <c r="H157" i="12"/>
  <c r="I157" i="12"/>
  <c r="J157" i="12"/>
  <c r="K157" i="12"/>
  <c r="L157" i="12"/>
  <c r="M157" i="12"/>
  <c r="N157" i="12"/>
  <c r="O157" i="12"/>
  <c r="P157" i="12"/>
  <c r="B158" i="12"/>
  <c r="C158" i="12"/>
  <c r="D158" i="12"/>
  <c r="E158" i="12"/>
  <c r="F158" i="12"/>
  <c r="G158" i="12"/>
  <c r="H158" i="12"/>
  <c r="I158" i="12"/>
  <c r="J158" i="12"/>
  <c r="K158" i="12"/>
  <c r="L158" i="12"/>
  <c r="M158" i="12"/>
  <c r="N158" i="12"/>
  <c r="O158" i="12"/>
  <c r="P158" i="12"/>
  <c r="B159" i="12"/>
  <c r="C159" i="12"/>
  <c r="D159" i="12"/>
  <c r="E159" i="12"/>
  <c r="F159" i="12"/>
  <c r="G159" i="12"/>
  <c r="H159" i="12"/>
  <c r="I159" i="12"/>
  <c r="J159" i="12"/>
  <c r="K159" i="12"/>
  <c r="L159" i="12"/>
  <c r="M159" i="12"/>
  <c r="N159" i="12"/>
  <c r="O159" i="12"/>
  <c r="P159" i="12"/>
  <c r="B160" i="12"/>
  <c r="C160" i="12"/>
  <c r="D160" i="12"/>
  <c r="E160" i="12"/>
  <c r="F160" i="12"/>
  <c r="G160" i="12"/>
  <c r="H160" i="12"/>
  <c r="I160" i="12"/>
  <c r="J160" i="12"/>
  <c r="K160" i="12"/>
  <c r="L160" i="12"/>
  <c r="M160" i="12"/>
  <c r="N160" i="12"/>
  <c r="O160" i="12"/>
  <c r="P160" i="12"/>
  <c r="B161" i="12"/>
  <c r="C161" i="12"/>
  <c r="D161" i="12"/>
  <c r="E161" i="12"/>
  <c r="F161" i="12"/>
  <c r="G161" i="12"/>
  <c r="H161" i="12"/>
  <c r="I161" i="12"/>
  <c r="J161" i="12"/>
  <c r="K161" i="12"/>
  <c r="L161" i="12"/>
  <c r="M161" i="12"/>
  <c r="N161" i="12"/>
  <c r="O161" i="12"/>
  <c r="P161" i="12"/>
  <c r="B162" i="12"/>
  <c r="C162" i="12"/>
  <c r="D162" i="12"/>
  <c r="E162" i="12"/>
  <c r="F162" i="12"/>
  <c r="G162" i="12"/>
  <c r="H162" i="12"/>
  <c r="I162" i="12"/>
  <c r="J162" i="12"/>
  <c r="K162" i="12"/>
  <c r="L162" i="12"/>
  <c r="M162" i="12"/>
  <c r="N162" i="12"/>
  <c r="O162" i="12"/>
  <c r="P162" i="12"/>
  <c r="B163" i="12"/>
  <c r="C163" i="12"/>
  <c r="D163" i="12"/>
  <c r="E163" i="12"/>
  <c r="F163" i="12"/>
  <c r="G163" i="12"/>
  <c r="H163" i="12"/>
  <c r="I163" i="12"/>
  <c r="J163" i="12"/>
  <c r="K163" i="12"/>
  <c r="L163" i="12"/>
  <c r="M163" i="12"/>
  <c r="N163" i="12"/>
  <c r="O163" i="12"/>
  <c r="P163" i="12"/>
  <c r="B164" i="12"/>
  <c r="C164" i="12"/>
  <c r="D164" i="12"/>
  <c r="E164" i="12"/>
  <c r="F164" i="12"/>
  <c r="G164" i="12"/>
  <c r="H164" i="12"/>
  <c r="I164" i="12"/>
  <c r="J164" i="12"/>
  <c r="K164" i="12"/>
  <c r="L164" i="12"/>
  <c r="M164" i="12"/>
  <c r="N164" i="12"/>
  <c r="O164" i="12"/>
  <c r="P164" i="12"/>
  <c r="B165" i="12"/>
  <c r="C165" i="12"/>
  <c r="D165" i="12"/>
  <c r="E165" i="12"/>
  <c r="F165" i="12"/>
  <c r="G165" i="12"/>
  <c r="H165" i="12"/>
  <c r="I165" i="12"/>
  <c r="J165" i="12"/>
  <c r="K165" i="12"/>
  <c r="L165" i="12"/>
  <c r="M165" i="12"/>
  <c r="N165" i="12"/>
  <c r="O165" i="12"/>
  <c r="P165" i="12"/>
  <c r="B166" i="12"/>
  <c r="C166" i="12"/>
  <c r="D166" i="12"/>
  <c r="E166" i="12"/>
  <c r="F166" i="12"/>
  <c r="G166" i="12"/>
  <c r="H166" i="12"/>
  <c r="I166" i="12"/>
  <c r="J166" i="12"/>
  <c r="K166" i="12"/>
  <c r="L166" i="12"/>
  <c r="M166" i="12"/>
  <c r="N166" i="12"/>
  <c r="O166" i="12"/>
  <c r="P166" i="12"/>
  <c r="B167" i="12"/>
  <c r="C167" i="12"/>
  <c r="D167" i="12"/>
  <c r="E167" i="12"/>
  <c r="F167" i="12"/>
  <c r="G167" i="12"/>
  <c r="H167" i="12"/>
  <c r="I167" i="12"/>
  <c r="J167" i="12"/>
  <c r="K167" i="12"/>
  <c r="L167" i="12"/>
  <c r="M167" i="12"/>
  <c r="N167" i="12"/>
  <c r="O167" i="12"/>
  <c r="P167" i="12"/>
  <c r="B168" i="12"/>
  <c r="C168" i="12"/>
  <c r="D168" i="12"/>
  <c r="E168" i="12"/>
  <c r="F168" i="12"/>
  <c r="G168" i="12"/>
  <c r="H168" i="12"/>
  <c r="I168" i="12"/>
  <c r="J168" i="12"/>
  <c r="K168" i="12"/>
  <c r="L168" i="12"/>
  <c r="M168" i="12"/>
  <c r="N168" i="12"/>
  <c r="O168" i="12"/>
  <c r="P168" i="12"/>
  <c r="B169" i="12"/>
  <c r="C169" i="12"/>
  <c r="D169" i="12"/>
  <c r="E169" i="12"/>
  <c r="F169" i="12"/>
  <c r="G169" i="12"/>
  <c r="H169" i="12"/>
  <c r="I169" i="12"/>
  <c r="J169" i="12"/>
  <c r="K169" i="12"/>
  <c r="L169" i="12"/>
  <c r="M169" i="12"/>
  <c r="N169" i="12"/>
  <c r="O169" i="12"/>
  <c r="P169" i="12"/>
  <c r="B170" i="12"/>
  <c r="C170" i="12"/>
  <c r="D170" i="12"/>
  <c r="E170" i="12"/>
  <c r="F170" i="12"/>
  <c r="G170" i="12"/>
  <c r="H170" i="12"/>
  <c r="I170" i="12"/>
  <c r="J170" i="12"/>
  <c r="K170" i="12"/>
  <c r="L170" i="12"/>
  <c r="M170" i="12"/>
  <c r="N170" i="12"/>
  <c r="O170" i="12"/>
  <c r="P170" i="12"/>
  <c r="B135" i="11"/>
  <c r="C135" i="11"/>
  <c r="D135" i="11"/>
  <c r="E135" i="11"/>
  <c r="F135" i="11"/>
  <c r="G135" i="11"/>
  <c r="H135" i="11"/>
  <c r="I135" i="11"/>
  <c r="J135" i="11"/>
  <c r="K135" i="11"/>
  <c r="L135" i="11"/>
  <c r="M135" i="11"/>
  <c r="N135" i="11"/>
  <c r="O135" i="11"/>
  <c r="B136" i="11"/>
  <c r="C136" i="11"/>
  <c r="D136" i="11"/>
  <c r="E136" i="11"/>
  <c r="F136" i="11"/>
  <c r="G136" i="11"/>
  <c r="H136" i="11"/>
  <c r="I136" i="11"/>
  <c r="J136" i="11"/>
  <c r="K136" i="11"/>
  <c r="L136" i="11"/>
  <c r="M136" i="11"/>
  <c r="N136" i="11"/>
  <c r="O136" i="11"/>
  <c r="B137" i="11"/>
  <c r="C137" i="11"/>
  <c r="D137" i="11"/>
  <c r="E137" i="11"/>
  <c r="F137" i="11"/>
  <c r="G137" i="11"/>
  <c r="H137" i="11"/>
  <c r="I137" i="11"/>
  <c r="J137" i="11"/>
  <c r="K137" i="11"/>
  <c r="L137" i="11"/>
  <c r="M137" i="11"/>
  <c r="N137" i="11"/>
  <c r="O137" i="11"/>
  <c r="B138" i="11"/>
  <c r="C138" i="11"/>
  <c r="D138" i="11"/>
  <c r="E138" i="11"/>
  <c r="F138" i="11"/>
  <c r="G138" i="11"/>
  <c r="H138" i="11"/>
  <c r="I138" i="11"/>
  <c r="J138" i="11"/>
  <c r="K138" i="11"/>
  <c r="L138" i="11"/>
  <c r="M138" i="11"/>
  <c r="N138" i="11"/>
  <c r="O138" i="11"/>
  <c r="B139" i="11"/>
  <c r="C139" i="11"/>
  <c r="D139" i="11"/>
  <c r="E139" i="11"/>
  <c r="F139" i="11"/>
  <c r="G139" i="11"/>
  <c r="H139" i="11"/>
  <c r="I139" i="11"/>
  <c r="J139" i="11"/>
  <c r="K139" i="11"/>
  <c r="L139" i="11"/>
  <c r="M139" i="11"/>
  <c r="N139" i="11"/>
  <c r="O139" i="11"/>
  <c r="B140" i="11"/>
  <c r="C140" i="11"/>
  <c r="D140" i="11"/>
  <c r="E140" i="11"/>
  <c r="F140" i="11"/>
  <c r="G140" i="11"/>
  <c r="H140" i="11"/>
  <c r="I140" i="11"/>
  <c r="J140" i="11"/>
  <c r="K140" i="11"/>
  <c r="L140" i="11"/>
  <c r="M140" i="11"/>
  <c r="N140" i="11"/>
  <c r="O140" i="11"/>
  <c r="B141" i="11"/>
  <c r="C141" i="11"/>
  <c r="D141" i="11"/>
  <c r="E141" i="11"/>
  <c r="F141" i="11"/>
  <c r="G141" i="11"/>
  <c r="H141" i="11"/>
  <c r="I141" i="11"/>
  <c r="J141" i="11"/>
  <c r="K141" i="11"/>
  <c r="L141" i="11"/>
  <c r="M141" i="11"/>
  <c r="N141" i="11"/>
  <c r="O141" i="11"/>
  <c r="B142" i="11"/>
  <c r="C142" i="11"/>
  <c r="D142" i="11"/>
  <c r="E142" i="11"/>
  <c r="F142" i="11"/>
  <c r="G142" i="11"/>
  <c r="H142" i="11"/>
  <c r="I142" i="11"/>
  <c r="J142" i="11"/>
  <c r="K142" i="11"/>
  <c r="L142" i="11"/>
  <c r="M142" i="11"/>
  <c r="N142" i="11"/>
  <c r="O142" i="11"/>
  <c r="B143" i="11"/>
  <c r="C143" i="11"/>
  <c r="D143" i="11"/>
  <c r="E143" i="11"/>
  <c r="F143" i="11"/>
  <c r="G143" i="11"/>
  <c r="H143" i="11"/>
  <c r="I143" i="11"/>
  <c r="J143" i="11"/>
  <c r="K143" i="11"/>
  <c r="L143" i="11"/>
  <c r="M143" i="11"/>
  <c r="N143" i="11"/>
  <c r="O143" i="11"/>
  <c r="B144" i="11"/>
  <c r="C144" i="11"/>
  <c r="D144" i="11"/>
  <c r="E144" i="11"/>
  <c r="F144" i="11"/>
  <c r="G144" i="11"/>
  <c r="H144" i="11"/>
  <c r="I144" i="11"/>
  <c r="J144" i="11"/>
  <c r="K144" i="11"/>
  <c r="L144" i="11"/>
  <c r="M144" i="11"/>
  <c r="N144" i="11"/>
  <c r="O144" i="11"/>
  <c r="B145" i="11"/>
  <c r="C145" i="11"/>
  <c r="D145" i="11"/>
  <c r="E145" i="11"/>
  <c r="F145" i="11"/>
  <c r="G145" i="11"/>
  <c r="H145" i="11"/>
  <c r="I145" i="11"/>
  <c r="J145" i="11"/>
  <c r="K145" i="11"/>
  <c r="L145" i="11"/>
  <c r="M145" i="11"/>
  <c r="N145" i="11"/>
  <c r="O145" i="11"/>
  <c r="B146" i="11"/>
  <c r="C146" i="11"/>
  <c r="D146" i="11"/>
  <c r="E146" i="11"/>
  <c r="F146" i="11"/>
  <c r="G146" i="11"/>
  <c r="H146" i="11"/>
  <c r="I146" i="11"/>
  <c r="J146" i="11"/>
  <c r="K146" i="11"/>
  <c r="L146" i="11"/>
  <c r="M146" i="11"/>
  <c r="N146" i="11"/>
  <c r="O146" i="11"/>
  <c r="B147" i="11"/>
  <c r="C147" i="11"/>
  <c r="D147" i="11"/>
  <c r="E147" i="11"/>
  <c r="F147" i="11"/>
  <c r="G147" i="11"/>
  <c r="H147" i="11"/>
  <c r="I147" i="11"/>
  <c r="J147" i="11"/>
  <c r="K147" i="11"/>
  <c r="L147" i="11"/>
  <c r="M147" i="11"/>
  <c r="N147" i="11"/>
  <c r="O147" i="11"/>
  <c r="B148" i="11"/>
  <c r="C148" i="11"/>
  <c r="D148" i="11"/>
  <c r="E148" i="11"/>
  <c r="F148" i="11"/>
  <c r="G148" i="11"/>
  <c r="H148" i="11"/>
  <c r="I148" i="11"/>
  <c r="J148" i="11"/>
  <c r="K148" i="11"/>
  <c r="L148" i="11"/>
  <c r="M148" i="11"/>
  <c r="N148" i="11"/>
  <c r="O148" i="11"/>
  <c r="B132" i="10"/>
  <c r="C132" i="10"/>
  <c r="D132" i="10"/>
  <c r="E132" i="10"/>
  <c r="F132" i="10"/>
  <c r="G132" i="10"/>
  <c r="H132" i="10"/>
  <c r="I132" i="10"/>
  <c r="J132" i="10"/>
  <c r="K132" i="10"/>
  <c r="L132" i="10"/>
  <c r="M132" i="10"/>
  <c r="N132" i="10"/>
  <c r="B133" i="10"/>
  <c r="C133" i="10"/>
  <c r="D133" i="10"/>
  <c r="E133" i="10"/>
  <c r="F133" i="10"/>
  <c r="G133" i="10"/>
  <c r="H133" i="10"/>
  <c r="I133" i="10"/>
  <c r="J133" i="10"/>
  <c r="K133" i="10"/>
  <c r="L133" i="10"/>
  <c r="M133" i="10"/>
  <c r="N133" i="10"/>
  <c r="B134" i="10"/>
  <c r="C134" i="10"/>
  <c r="D134" i="10"/>
  <c r="E134" i="10"/>
  <c r="F134" i="10"/>
  <c r="G134" i="10"/>
  <c r="H134" i="10"/>
  <c r="I134" i="10"/>
  <c r="J134" i="10"/>
  <c r="K134" i="10"/>
  <c r="L134" i="10"/>
  <c r="M134" i="10"/>
  <c r="N134" i="10"/>
  <c r="B135" i="10"/>
  <c r="C135" i="10"/>
  <c r="D135" i="10"/>
  <c r="E135" i="10"/>
  <c r="F135" i="10"/>
  <c r="G135" i="10"/>
  <c r="H135" i="10"/>
  <c r="I135" i="10"/>
  <c r="J135" i="10"/>
  <c r="K135" i="10"/>
  <c r="L135" i="10"/>
  <c r="M135" i="10"/>
  <c r="N135" i="10"/>
  <c r="B136" i="10"/>
  <c r="C136" i="10"/>
  <c r="D136" i="10"/>
  <c r="E136" i="10"/>
  <c r="F136" i="10"/>
  <c r="G136" i="10"/>
  <c r="H136" i="10"/>
  <c r="I136" i="10"/>
  <c r="J136" i="10"/>
  <c r="K136" i="10"/>
  <c r="L136" i="10"/>
  <c r="M136" i="10"/>
  <c r="N136" i="10"/>
  <c r="B137" i="10"/>
  <c r="C137" i="10"/>
  <c r="D137" i="10"/>
  <c r="E137" i="10"/>
  <c r="F137" i="10"/>
  <c r="G137" i="10"/>
  <c r="H137" i="10"/>
  <c r="I137" i="10"/>
  <c r="J137" i="10"/>
  <c r="K137" i="10"/>
  <c r="L137" i="10"/>
  <c r="M137" i="10"/>
  <c r="N137" i="10"/>
  <c r="B138" i="10"/>
  <c r="C138" i="10"/>
  <c r="D138" i="10"/>
  <c r="E138" i="10"/>
  <c r="F138" i="10"/>
  <c r="G138" i="10"/>
  <c r="H138" i="10"/>
  <c r="I138" i="10"/>
  <c r="J138" i="10"/>
  <c r="K138" i="10"/>
  <c r="L138" i="10"/>
  <c r="M138" i="10"/>
  <c r="N138" i="10"/>
  <c r="B139" i="10"/>
  <c r="C139" i="10"/>
  <c r="D139" i="10"/>
  <c r="E139" i="10"/>
  <c r="F139" i="10"/>
  <c r="G139" i="10"/>
  <c r="H139" i="10"/>
  <c r="I139" i="10"/>
  <c r="J139" i="10"/>
  <c r="K139" i="10"/>
  <c r="L139" i="10"/>
  <c r="M139" i="10"/>
  <c r="N139" i="10"/>
  <c r="B140" i="10"/>
  <c r="C140" i="10"/>
  <c r="D140" i="10"/>
  <c r="E140" i="10"/>
  <c r="F140" i="10"/>
  <c r="G140" i="10"/>
  <c r="H140" i="10"/>
  <c r="I140" i="10"/>
  <c r="J140" i="10"/>
  <c r="K140" i="10"/>
  <c r="L140" i="10"/>
  <c r="M140" i="10"/>
  <c r="N140" i="10"/>
  <c r="B141" i="10"/>
  <c r="C141" i="10"/>
  <c r="D141" i="10"/>
  <c r="E141" i="10"/>
  <c r="F141" i="10"/>
  <c r="G141" i="10"/>
  <c r="H141" i="10"/>
  <c r="I141" i="10"/>
  <c r="J141" i="10"/>
  <c r="K141" i="10"/>
  <c r="L141" i="10"/>
  <c r="M141" i="10"/>
  <c r="N141" i="10"/>
  <c r="B142" i="10"/>
  <c r="C142" i="10"/>
  <c r="D142" i="10"/>
  <c r="E142" i="10"/>
  <c r="F142" i="10"/>
  <c r="G142" i="10"/>
  <c r="H142" i="10"/>
  <c r="I142" i="10"/>
  <c r="J142" i="10"/>
  <c r="K142" i="10"/>
  <c r="L142" i="10"/>
  <c r="M142" i="10"/>
  <c r="N142" i="10"/>
  <c r="B143" i="10"/>
  <c r="C143" i="10"/>
  <c r="D143" i="10"/>
  <c r="E143" i="10"/>
  <c r="F143" i="10"/>
  <c r="G143" i="10"/>
  <c r="H143" i="10"/>
  <c r="I143" i="10"/>
  <c r="J143" i="10"/>
  <c r="K143" i="10"/>
  <c r="L143" i="10"/>
  <c r="M143" i="10"/>
  <c r="N143" i="10"/>
  <c r="B144" i="10"/>
  <c r="C144" i="10"/>
  <c r="D144" i="10"/>
  <c r="E144" i="10"/>
  <c r="F144" i="10"/>
  <c r="G144" i="10"/>
  <c r="H144" i="10"/>
  <c r="I144" i="10"/>
  <c r="J144" i="10"/>
  <c r="K144" i="10"/>
  <c r="L144" i="10"/>
  <c r="M144" i="10"/>
  <c r="N144" i="10"/>
  <c r="B98" i="7"/>
  <c r="C98" i="7"/>
  <c r="D98" i="7"/>
  <c r="E98" i="7"/>
  <c r="F98" i="7"/>
  <c r="G98" i="7"/>
  <c r="H98" i="7"/>
  <c r="I98" i="7"/>
  <c r="J98" i="7"/>
  <c r="K98" i="7"/>
  <c r="B99" i="7"/>
  <c r="C99" i="7"/>
  <c r="D99" i="7"/>
  <c r="E99" i="7"/>
  <c r="F99" i="7"/>
  <c r="G99" i="7"/>
  <c r="H99" i="7"/>
  <c r="I99" i="7"/>
  <c r="J99" i="7"/>
  <c r="K99" i="7"/>
  <c r="B100" i="7"/>
  <c r="C100" i="7"/>
  <c r="D100" i="7"/>
  <c r="E100" i="7"/>
  <c r="F100" i="7"/>
  <c r="G100" i="7"/>
  <c r="H100" i="7"/>
  <c r="I100" i="7"/>
  <c r="J100" i="7"/>
  <c r="K100" i="7"/>
  <c r="B101" i="7"/>
  <c r="C101" i="7"/>
  <c r="D101" i="7"/>
  <c r="E101" i="7"/>
  <c r="F101" i="7"/>
  <c r="G101" i="7"/>
  <c r="H101" i="7"/>
  <c r="I101" i="7"/>
  <c r="J101" i="7"/>
  <c r="K101" i="7"/>
  <c r="B102" i="7"/>
  <c r="C102" i="7"/>
  <c r="D102" i="7"/>
  <c r="E102" i="7"/>
  <c r="F102" i="7"/>
  <c r="G102" i="7"/>
  <c r="H102" i="7"/>
  <c r="I102" i="7"/>
  <c r="J102" i="7"/>
  <c r="K102" i="7"/>
  <c r="B103" i="7"/>
  <c r="C103" i="7"/>
  <c r="D103" i="7"/>
  <c r="E103" i="7"/>
  <c r="F103" i="7"/>
  <c r="G103" i="7"/>
  <c r="H103" i="7"/>
  <c r="I103" i="7"/>
  <c r="J103" i="7"/>
  <c r="K103" i="7"/>
  <c r="B104" i="7"/>
  <c r="C104" i="7"/>
  <c r="D104" i="7"/>
  <c r="E104" i="7"/>
  <c r="F104" i="7"/>
  <c r="G104" i="7"/>
  <c r="H104" i="7"/>
  <c r="I104" i="7"/>
  <c r="J104" i="7"/>
  <c r="K104" i="7"/>
  <c r="B105" i="7"/>
  <c r="C105" i="7"/>
  <c r="D105" i="7"/>
  <c r="E105" i="7"/>
  <c r="F105" i="7"/>
  <c r="G105" i="7"/>
  <c r="H105" i="7"/>
  <c r="I105" i="7"/>
  <c r="J105" i="7"/>
  <c r="K105" i="7"/>
  <c r="B106" i="7"/>
  <c r="C106" i="7"/>
  <c r="D106" i="7"/>
  <c r="E106" i="7"/>
  <c r="F106" i="7"/>
  <c r="G106" i="7"/>
  <c r="H106" i="7"/>
  <c r="I106" i="7"/>
  <c r="J106" i="7"/>
  <c r="K106" i="7"/>
  <c r="B107" i="7"/>
  <c r="C107" i="7"/>
  <c r="D107" i="7"/>
  <c r="E107" i="7"/>
  <c r="F107" i="7"/>
  <c r="G107" i="7"/>
  <c r="H107" i="7"/>
  <c r="I107" i="7"/>
  <c r="J107" i="7"/>
  <c r="K107" i="7"/>
  <c r="B92" i="5"/>
  <c r="C92" i="5"/>
  <c r="D92" i="5"/>
  <c r="E92" i="5"/>
  <c r="F92" i="5"/>
  <c r="G92" i="5"/>
  <c r="H92" i="5"/>
  <c r="I92" i="5"/>
  <c r="B93" i="5"/>
  <c r="C93" i="5"/>
  <c r="D93" i="5"/>
  <c r="E93" i="5"/>
  <c r="F93" i="5"/>
  <c r="G93" i="5"/>
  <c r="H93" i="5"/>
  <c r="I93" i="5"/>
  <c r="B94" i="5"/>
  <c r="C94" i="5"/>
  <c r="D94" i="5"/>
  <c r="E94" i="5"/>
  <c r="F94" i="5"/>
  <c r="G94" i="5"/>
  <c r="H94" i="5"/>
  <c r="I94" i="5"/>
  <c r="B95" i="5"/>
  <c r="C95" i="5"/>
  <c r="D95" i="5"/>
  <c r="E95" i="5"/>
  <c r="F95" i="5"/>
  <c r="G95" i="5"/>
  <c r="H95" i="5"/>
  <c r="I95" i="5"/>
  <c r="B96" i="5"/>
  <c r="C96" i="5"/>
  <c r="D96" i="5"/>
  <c r="E96" i="5"/>
  <c r="F96" i="5"/>
  <c r="G96" i="5"/>
  <c r="H96" i="5"/>
  <c r="I96" i="5"/>
  <c r="B97" i="5"/>
  <c r="C97" i="5"/>
  <c r="D97" i="5"/>
  <c r="E97" i="5"/>
  <c r="F97" i="5"/>
  <c r="G97" i="5"/>
  <c r="H97" i="5"/>
  <c r="I97" i="5"/>
  <c r="B98" i="5"/>
  <c r="C98" i="5"/>
  <c r="D98" i="5"/>
  <c r="E98" i="5"/>
  <c r="F98" i="5"/>
  <c r="G98" i="5"/>
  <c r="H98" i="5"/>
  <c r="I98" i="5"/>
  <c r="B99" i="5"/>
  <c r="C99" i="5"/>
  <c r="D99" i="5"/>
  <c r="E99" i="5"/>
  <c r="F99" i="5"/>
  <c r="G99" i="5"/>
  <c r="H99" i="5"/>
  <c r="I99" i="5"/>
  <c r="B71" i="4"/>
  <c r="C71" i="4"/>
  <c r="D71" i="4"/>
  <c r="E71" i="4"/>
  <c r="F71" i="4"/>
  <c r="G71" i="4"/>
  <c r="H71" i="4"/>
  <c r="B72" i="4"/>
  <c r="C72" i="4"/>
  <c r="D72" i="4"/>
  <c r="E72" i="4"/>
  <c r="F72" i="4"/>
  <c r="G72" i="4"/>
  <c r="H72" i="4"/>
  <c r="B73" i="4"/>
  <c r="C73" i="4"/>
  <c r="D73" i="4"/>
  <c r="E73" i="4"/>
  <c r="F73" i="4"/>
  <c r="G73" i="4"/>
  <c r="H73" i="4"/>
  <c r="B74" i="4"/>
  <c r="C74" i="4"/>
  <c r="D74" i="4"/>
  <c r="E74" i="4"/>
  <c r="F74" i="4"/>
  <c r="G74" i="4"/>
  <c r="H74" i="4"/>
  <c r="B75" i="4"/>
  <c r="C75" i="4"/>
  <c r="D75" i="4"/>
  <c r="E75" i="4"/>
  <c r="F75" i="4"/>
  <c r="G75" i="4"/>
  <c r="H75" i="4"/>
  <c r="B76" i="4"/>
  <c r="C76" i="4"/>
  <c r="D76" i="4"/>
  <c r="E76" i="4"/>
  <c r="F76" i="4"/>
  <c r="G76" i="4"/>
  <c r="H76" i="4"/>
  <c r="B77" i="4"/>
  <c r="C77" i="4"/>
  <c r="D77" i="4"/>
  <c r="E77" i="4"/>
  <c r="F77" i="4"/>
  <c r="G77" i="4"/>
  <c r="H77" i="4"/>
  <c r="B69" i="3"/>
  <c r="C69" i="3"/>
  <c r="D69" i="3"/>
  <c r="E69" i="3"/>
  <c r="F69" i="3"/>
  <c r="G69" i="3"/>
  <c r="B70" i="3"/>
  <c r="C70" i="3"/>
  <c r="D70" i="3"/>
  <c r="E70" i="3"/>
  <c r="F70" i="3"/>
  <c r="G70" i="3"/>
  <c r="B71" i="3"/>
  <c r="C71" i="3"/>
  <c r="D71" i="3"/>
  <c r="E71" i="3"/>
  <c r="F71" i="3"/>
  <c r="G71" i="3"/>
  <c r="B72" i="3"/>
  <c r="C72" i="3"/>
  <c r="D72" i="3"/>
  <c r="E72" i="3"/>
  <c r="F72" i="3"/>
  <c r="G72" i="3"/>
  <c r="B73" i="3"/>
  <c r="C73" i="3"/>
  <c r="D73" i="3"/>
  <c r="E73" i="3"/>
  <c r="F73" i="3"/>
  <c r="G73" i="3"/>
  <c r="B74" i="3"/>
  <c r="C74" i="3"/>
  <c r="D74" i="3"/>
  <c r="E74" i="3"/>
  <c r="F74" i="3"/>
  <c r="G74" i="3"/>
  <c r="F20" i="58"/>
  <c r="G20" i="58"/>
  <c r="H20" i="58" s="1"/>
  <c r="I20" i="58"/>
  <c r="J20" i="58"/>
  <c r="L20" i="58"/>
  <c r="CE3" i="67"/>
  <c r="CE4" i="67"/>
  <c r="CE5" i="67"/>
  <c r="CE6" i="67"/>
  <c r="CE7" i="67"/>
  <c r="CE8" i="67"/>
  <c r="CE9" i="67"/>
  <c r="CE10" i="67"/>
  <c r="CE11" i="67"/>
  <c r="CE12" i="67"/>
  <c r="CE13" i="67"/>
  <c r="CE14" i="67"/>
  <c r="CE15" i="67"/>
  <c r="CE16" i="67"/>
  <c r="CE17" i="67"/>
  <c r="CE18" i="67"/>
  <c r="CE19" i="67"/>
  <c r="CE20" i="67"/>
  <c r="CE21" i="67"/>
  <c r="CE22" i="67"/>
  <c r="CE23" i="67"/>
  <c r="CE24" i="67"/>
  <c r="CE25" i="67"/>
  <c r="CE26" i="67"/>
  <c r="CE27" i="67"/>
  <c r="CE28" i="67"/>
  <c r="CE29" i="67"/>
  <c r="CE30" i="67"/>
  <c r="CE31" i="67"/>
  <c r="CE32" i="67"/>
  <c r="CE33" i="67"/>
  <c r="CE34" i="67"/>
  <c r="CE35" i="67"/>
  <c r="CE36" i="67"/>
  <c r="CE37" i="67"/>
  <c r="CE38" i="67"/>
  <c r="CE39" i="67"/>
  <c r="CE40" i="67"/>
  <c r="CE41" i="67"/>
  <c r="CE42" i="67"/>
  <c r="CE43" i="67"/>
  <c r="CE44" i="67"/>
  <c r="CE45" i="67"/>
  <c r="CE46" i="67"/>
  <c r="CE47" i="67"/>
  <c r="CE48" i="67"/>
  <c r="CE49" i="67"/>
  <c r="CE50" i="67"/>
  <c r="CD3" i="67"/>
  <c r="CD4" i="67"/>
  <c r="CD5" i="67"/>
  <c r="CD6" i="67"/>
  <c r="CD7" i="67"/>
  <c r="CD8" i="67"/>
  <c r="CD9" i="67"/>
  <c r="CD10" i="67"/>
  <c r="CD11" i="67"/>
  <c r="CD12" i="67"/>
  <c r="CD13" i="67"/>
  <c r="CD14" i="67"/>
  <c r="CD15" i="67"/>
  <c r="CD16" i="67"/>
  <c r="CD17" i="67"/>
  <c r="CD18" i="67"/>
  <c r="CD19" i="67"/>
  <c r="CD20" i="67"/>
  <c r="CD21" i="67"/>
  <c r="CD22" i="67"/>
  <c r="CD23" i="67"/>
  <c r="CD24" i="67"/>
  <c r="CD25" i="67"/>
  <c r="CD26" i="67"/>
  <c r="CD27" i="67"/>
  <c r="CD28" i="67"/>
  <c r="CD29" i="67"/>
  <c r="CD30" i="67"/>
  <c r="CD31" i="67"/>
  <c r="CD32" i="67"/>
  <c r="CD33" i="67"/>
  <c r="CD34" i="67"/>
  <c r="CD35" i="67"/>
  <c r="CD36" i="67"/>
  <c r="CD37" i="67"/>
  <c r="CD38" i="67"/>
  <c r="CD39" i="67"/>
  <c r="CD40" i="67"/>
  <c r="CD41" i="67"/>
  <c r="CD42" i="67"/>
  <c r="CD43" i="67"/>
  <c r="CD44" i="67"/>
  <c r="CD45" i="67"/>
  <c r="CD46" i="67"/>
  <c r="CD47" i="67"/>
  <c r="CD48" i="67"/>
  <c r="CD49" i="67"/>
  <c r="CD50" i="67"/>
  <c r="B365" i="32" l="1"/>
  <c r="B364" i="32"/>
  <c r="B239" i="18"/>
  <c r="B544" i="45"/>
  <c r="B198" i="16"/>
  <c r="B219" i="17"/>
  <c r="B78" i="4"/>
  <c r="B172" i="12"/>
  <c r="B199" i="16"/>
  <c r="B194" i="13"/>
  <c r="B210" i="15"/>
  <c r="B357" i="28"/>
  <c r="B240" i="18"/>
  <c r="B265" i="20"/>
  <c r="B262" i="19"/>
  <c r="B108" i="7"/>
  <c r="B100" i="5"/>
  <c r="B146" i="10"/>
  <c r="B145" i="10"/>
  <c r="B149" i="11"/>
  <c r="B171" i="12"/>
  <c r="B266" i="20"/>
  <c r="B75" i="3"/>
  <c r="B109" i="7"/>
  <c r="B358" i="28"/>
  <c r="B209" i="15"/>
  <c r="B19" i="58" a="1"/>
  <c r="B19" i="58" s="1"/>
  <c r="C19" i="58" s="1" a="1"/>
  <c r="C19" i="58" s="1"/>
  <c r="B150" i="11"/>
  <c r="B218" i="17"/>
  <c r="B76" i="3"/>
  <c r="B20" i="58" a="1"/>
  <c r="B20" i="58" s="1"/>
  <c r="C20" i="58" s="1" a="1"/>
  <c r="C20" i="58" s="1"/>
  <c r="B101" i="5"/>
  <c r="B79" i="4"/>
  <c r="B261" i="19"/>
  <c r="B193" i="13"/>
  <c r="B543" i="45"/>
  <c r="F18" i="58" l="1"/>
  <c r="G18" i="58"/>
  <c r="H18" i="58" s="1"/>
  <c r="I18" i="58"/>
  <c r="J18" i="58"/>
  <c r="L18" i="58"/>
  <c r="F17" i="58"/>
  <c r="G17" i="58"/>
  <c r="H17" i="58" s="1"/>
  <c r="I17" i="58"/>
  <c r="J17" i="58"/>
  <c r="L17" i="58"/>
  <c r="BU3" i="67"/>
  <c r="BU4" i="67"/>
  <c r="BU5" i="67"/>
  <c r="BU6" i="67"/>
  <c r="BU7" i="67"/>
  <c r="BU8" i="67"/>
  <c r="BU9" i="67"/>
  <c r="BU10" i="67"/>
  <c r="BU11" i="67"/>
  <c r="BU12" i="67"/>
  <c r="BU13" i="67"/>
  <c r="BU14" i="67"/>
  <c r="BU15" i="67"/>
  <c r="BU16" i="67"/>
  <c r="BU17" i="67"/>
  <c r="BU18" i="67"/>
  <c r="BU19" i="67"/>
  <c r="BU20" i="67"/>
  <c r="BU21" i="67"/>
  <c r="BU22" i="67"/>
  <c r="BU23" i="67"/>
  <c r="BU24" i="67"/>
  <c r="BU25" i="67"/>
  <c r="BU26" i="67"/>
  <c r="BU27" i="67"/>
  <c r="BU28" i="67"/>
  <c r="BU29" i="67"/>
  <c r="BU30" i="67"/>
  <c r="BU31" i="67"/>
  <c r="BU32" i="67"/>
  <c r="BU33" i="67"/>
  <c r="BT3" i="67"/>
  <c r="BT4" i="67"/>
  <c r="BT5" i="67"/>
  <c r="BT6" i="67"/>
  <c r="BT7" i="67"/>
  <c r="BT8" i="67"/>
  <c r="BT9" i="67"/>
  <c r="BT10" i="67"/>
  <c r="BT11" i="67"/>
  <c r="BT12" i="67"/>
  <c r="BT13" i="67"/>
  <c r="BT14" i="67"/>
  <c r="BT15" i="67"/>
  <c r="BT16" i="67"/>
  <c r="BT17" i="67"/>
  <c r="BT18" i="67"/>
  <c r="BT19" i="67"/>
  <c r="BT20" i="67"/>
  <c r="BT21" i="67"/>
  <c r="BT22" i="67"/>
  <c r="BT23" i="67"/>
  <c r="BT24" i="67"/>
  <c r="BT25" i="67"/>
  <c r="BT26" i="67"/>
  <c r="BT27" i="67"/>
  <c r="BT28" i="67"/>
  <c r="BT29" i="67"/>
  <c r="BT30" i="67"/>
  <c r="BT31" i="67"/>
  <c r="BT32" i="67"/>
  <c r="BT33" i="67"/>
  <c r="BP3" i="67"/>
  <c r="BP4" i="67"/>
  <c r="BP5" i="67"/>
  <c r="BP6" i="67"/>
  <c r="BP7" i="67"/>
  <c r="BP8" i="67"/>
  <c r="BP9" i="67"/>
  <c r="BP10" i="67"/>
  <c r="BP11" i="67"/>
  <c r="BP12" i="67"/>
  <c r="BP13" i="67"/>
  <c r="BP14" i="67"/>
  <c r="BP15" i="67"/>
  <c r="BP16" i="67"/>
  <c r="BP17" i="67"/>
  <c r="BP18" i="67"/>
  <c r="BP19" i="67"/>
  <c r="BP20" i="67"/>
  <c r="BP21" i="67"/>
  <c r="BP22" i="67"/>
  <c r="BP23" i="67"/>
  <c r="BP24" i="67"/>
  <c r="BP25" i="67"/>
  <c r="BO3" i="67"/>
  <c r="BO4" i="67"/>
  <c r="BO5" i="67"/>
  <c r="BO6" i="67"/>
  <c r="BO7" i="67"/>
  <c r="BO8" i="67"/>
  <c r="BO9" i="67"/>
  <c r="BO10" i="67"/>
  <c r="BO11" i="67"/>
  <c r="BO12" i="67"/>
  <c r="BO13" i="67"/>
  <c r="BO14" i="67"/>
  <c r="BO15" i="67"/>
  <c r="BO16" i="67"/>
  <c r="BO17" i="67"/>
  <c r="BO18" i="67"/>
  <c r="BO19" i="67"/>
  <c r="BO20" i="67"/>
  <c r="BO21" i="67"/>
  <c r="BO22" i="67"/>
  <c r="BO23" i="67"/>
  <c r="BO24" i="67"/>
  <c r="BO25" i="67"/>
  <c r="F16" i="58"/>
  <c r="G16" i="58"/>
  <c r="H16" i="58" s="1"/>
  <c r="I16" i="58"/>
  <c r="J16" i="58"/>
  <c r="L16" i="58"/>
  <c r="F15" i="58"/>
  <c r="G15" i="58"/>
  <c r="H15" i="58" s="1"/>
  <c r="I15" i="58"/>
  <c r="J15" i="58"/>
  <c r="L15" i="58"/>
  <c r="F14" i="58"/>
  <c r="G14" i="58"/>
  <c r="H14" i="58" s="1"/>
  <c r="I14" i="58"/>
  <c r="J14" i="58"/>
  <c r="L14" i="58"/>
  <c r="F13" i="58"/>
  <c r="G13" i="58"/>
  <c r="H13" i="58" s="1"/>
  <c r="I13" i="58"/>
  <c r="J13" i="58"/>
  <c r="L13" i="58"/>
  <c r="F12" i="58"/>
  <c r="G12" i="58"/>
  <c r="H12" i="58" s="1"/>
  <c r="I12" i="58"/>
  <c r="J12" i="58"/>
  <c r="L12" i="58"/>
  <c r="F11" i="58"/>
  <c r="G11" i="58"/>
  <c r="H11" i="58" s="1"/>
  <c r="I11" i="58"/>
  <c r="J11" i="58"/>
  <c r="L11" i="58"/>
  <c r="F10" i="58"/>
  <c r="G10" i="58"/>
  <c r="H10" i="58" s="1"/>
  <c r="I10" i="58"/>
  <c r="J10" i="58"/>
  <c r="L10" i="58"/>
  <c r="F9" i="58"/>
  <c r="G9" i="58"/>
  <c r="H9" i="58" s="1"/>
  <c r="I9" i="58"/>
  <c r="J9" i="58"/>
  <c r="L9" i="58"/>
  <c r="F8" i="58"/>
  <c r="G8" i="58"/>
  <c r="H8" i="58" s="1"/>
  <c r="I8" i="58"/>
  <c r="J8" i="58"/>
  <c r="L8" i="58"/>
  <c r="F7" i="58"/>
  <c r="G7" i="58"/>
  <c r="H7" i="58" s="1"/>
  <c r="I7" i="58"/>
  <c r="J7" i="58"/>
  <c r="L7" i="58"/>
  <c r="F6" i="58"/>
  <c r="G6" i="58"/>
  <c r="H6" i="58" s="1"/>
  <c r="I6" i="58"/>
  <c r="J6" i="58"/>
  <c r="L6" i="58"/>
  <c r="F5" i="58"/>
  <c r="G5" i="58"/>
  <c r="H5" i="58" s="1"/>
  <c r="I5" i="58"/>
  <c r="J5" i="58"/>
  <c r="L5" i="58"/>
  <c r="F4" i="58"/>
  <c r="G4" i="58"/>
  <c r="H4" i="58" s="1"/>
  <c r="I4" i="58"/>
  <c r="J4" i="58"/>
  <c r="L4" i="58"/>
  <c r="C3" i="67"/>
  <c r="C4" i="67"/>
  <c r="C5" i="67"/>
  <c r="C6" i="67"/>
  <c r="C7" i="67"/>
  <c r="C8" i="67"/>
  <c r="AP3" i="67"/>
  <c r="AP4" i="67"/>
  <c r="AP5" i="67"/>
  <c r="AP6" i="67"/>
  <c r="AP7" i="67"/>
  <c r="AP8" i="67"/>
  <c r="AP9" i="67"/>
  <c r="AP10" i="67"/>
  <c r="AP11" i="67"/>
  <c r="AP12" i="67"/>
  <c r="AP13" i="67"/>
  <c r="AP14" i="67"/>
  <c r="AP15" i="67"/>
  <c r="AP16" i="67"/>
  <c r="AP17" i="67"/>
  <c r="AP18" i="67"/>
  <c r="AP19" i="67"/>
  <c r="AP20" i="67"/>
  <c r="AK3" i="67"/>
  <c r="AK4" i="67"/>
  <c r="AK5" i="67"/>
  <c r="AK6" i="67"/>
  <c r="AK7" i="67"/>
  <c r="AK8" i="67"/>
  <c r="AK9" i="67"/>
  <c r="AK10" i="67"/>
  <c r="AK11" i="67"/>
  <c r="AK12" i="67"/>
  <c r="AK13" i="67"/>
  <c r="AK14" i="67"/>
  <c r="AK15" i="67"/>
  <c r="AK16" i="67"/>
  <c r="AK17" i="67"/>
  <c r="AK18" i="67"/>
  <c r="AF3" i="67"/>
  <c r="AF4" i="67"/>
  <c r="AF5" i="67"/>
  <c r="AF6" i="67"/>
  <c r="AF7" i="67"/>
  <c r="AF8" i="67"/>
  <c r="AF9" i="67"/>
  <c r="AF10" i="67"/>
  <c r="AF11" i="67"/>
  <c r="AF12" i="67"/>
  <c r="AF13" i="67"/>
  <c r="AF14" i="67"/>
  <c r="AF15" i="67"/>
  <c r="AF16" i="67"/>
  <c r="AF17" i="67"/>
  <c r="AA3" i="67"/>
  <c r="AA4" i="67"/>
  <c r="AA5" i="67"/>
  <c r="AA6" i="67"/>
  <c r="AA7" i="67"/>
  <c r="AA8" i="67"/>
  <c r="AA9" i="67"/>
  <c r="AA10" i="67"/>
  <c r="AA11" i="67"/>
  <c r="AA12" i="67"/>
  <c r="AA13" i="67"/>
  <c r="AA14" i="67"/>
  <c r="AA15" i="67"/>
  <c r="AA16" i="67"/>
  <c r="V3" i="67"/>
  <c r="V4" i="67"/>
  <c r="V5" i="67"/>
  <c r="V6" i="67"/>
  <c r="V7" i="67"/>
  <c r="V8" i="67"/>
  <c r="V9" i="67"/>
  <c r="V10" i="67"/>
  <c r="V11" i="67"/>
  <c r="V12" i="67"/>
  <c r="V13" i="67"/>
  <c r="V14" i="67"/>
  <c r="V15" i="67"/>
  <c r="BJ3" i="67"/>
  <c r="BK3" i="67"/>
  <c r="BJ4" i="67"/>
  <c r="BK4" i="67"/>
  <c r="BJ5" i="67"/>
  <c r="BK5" i="67"/>
  <c r="BJ6" i="67"/>
  <c r="BK6" i="67"/>
  <c r="BJ7" i="67"/>
  <c r="BK7" i="67"/>
  <c r="BJ8" i="67"/>
  <c r="BK8" i="67"/>
  <c r="BJ9" i="67"/>
  <c r="BK9" i="67"/>
  <c r="BJ10" i="67"/>
  <c r="BK10" i="67"/>
  <c r="BJ11" i="67"/>
  <c r="BK11" i="67"/>
  <c r="BJ12" i="67"/>
  <c r="BK12" i="67"/>
  <c r="BJ13" i="67"/>
  <c r="BK13" i="67"/>
  <c r="BJ14" i="67"/>
  <c r="BK14" i="67"/>
  <c r="BJ15" i="67"/>
  <c r="BK15" i="67"/>
  <c r="BJ16" i="67"/>
  <c r="BK16" i="67"/>
  <c r="BJ17" i="67"/>
  <c r="BK17" i="67"/>
  <c r="BJ18" i="67"/>
  <c r="BK18" i="67"/>
  <c r="BJ19" i="67"/>
  <c r="BK19" i="67"/>
  <c r="BJ20" i="67"/>
  <c r="BK20" i="67"/>
  <c r="BJ21" i="67"/>
  <c r="BK21" i="67"/>
  <c r="BJ22" i="67"/>
  <c r="BK22" i="67"/>
  <c r="BJ23" i="67"/>
  <c r="BK23" i="67"/>
  <c r="BJ24" i="67"/>
  <c r="BK24" i="67"/>
  <c r="BE3" i="67"/>
  <c r="BF3" i="67"/>
  <c r="BE4" i="67"/>
  <c r="BF4" i="67"/>
  <c r="BE5" i="67"/>
  <c r="BF5" i="67"/>
  <c r="BE6" i="67"/>
  <c r="BF6" i="67"/>
  <c r="BE7" i="67"/>
  <c r="BF7" i="67"/>
  <c r="BE8" i="67"/>
  <c r="BF8" i="67"/>
  <c r="BE9" i="67"/>
  <c r="BF9" i="67"/>
  <c r="BE10" i="67"/>
  <c r="BF10" i="67"/>
  <c r="BE11" i="67"/>
  <c r="BF11" i="67"/>
  <c r="BE12" i="67"/>
  <c r="BF12" i="67"/>
  <c r="BE13" i="67"/>
  <c r="BF13" i="67"/>
  <c r="BE14" i="67"/>
  <c r="BF14" i="67"/>
  <c r="BE15" i="67"/>
  <c r="BF15" i="67"/>
  <c r="BE16" i="67"/>
  <c r="BF16" i="67"/>
  <c r="BE17" i="67"/>
  <c r="BF17" i="67"/>
  <c r="BE18" i="67"/>
  <c r="BF18" i="67"/>
  <c r="BE19" i="67"/>
  <c r="BF19" i="67"/>
  <c r="BE20" i="67"/>
  <c r="BF20" i="67"/>
  <c r="BE21" i="67"/>
  <c r="BF21" i="67"/>
  <c r="BE22" i="67"/>
  <c r="BF22" i="67"/>
  <c r="BE23" i="67"/>
  <c r="BF23" i="67"/>
  <c r="AZ3" i="67"/>
  <c r="BA3" i="67"/>
  <c r="AZ4" i="67"/>
  <c r="BA4" i="67"/>
  <c r="AZ5" i="67"/>
  <c r="BA5" i="67"/>
  <c r="AZ6" i="67"/>
  <c r="BA6" i="67"/>
  <c r="AZ7" i="67"/>
  <c r="BA7" i="67"/>
  <c r="AZ8" i="67"/>
  <c r="BA8" i="67"/>
  <c r="AZ9" i="67"/>
  <c r="BA9" i="67"/>
  <c r="AZ10" i="67"/>
  <c r="BA10" i="67"/>
  <c r="AZ11" i="67"/>
  <c r="BA11" i="67"/>
  <c r="AZ12" i="67"/>
  <c r="BA12" i="67"/>
  <c r="AZ13" i="67"/>
  <c r="BA13" i="67"/>
  <c r="AZ14" i="67"/>
  <c r="BA14" i="67"/>
  <c r="AZ15" i="67"/>
  <c r="BA15" i="67"/>
  <c r="AZ16" i="67"/>
  <c r="BA16" i="67"/>
  <c r="AZ17" i="67"/>
  <c r="BA17" i="67"/>
  <c r="AZ18" i="67"/>
  <c r="BA18" i="67"/>
  <c r="AZ19" i="67"/>
  <c r="BA19" i="67"/>
  <c r="AZ20" i="67"/>
  <c r="BA20" i="67"/>
  <c r="AZ21" i="67"/>
  <c r="BA21" i="67"/>
  <c r="AZ22" i="67"/>
  <c r="BA22" i="67"/>
  <c r="AU3" i="67"/>
  <c r="AV3" i="67"/>
  <c r="AU4" i="67"/>
  <c r="AV4" i="67"/>
  <c r="AU5" i="67"/>
  <c r="AV5" i="67"/>
  <c r="AU6" i="67"/>
  <c r="AV6" i="67"/>
  <c r="AU7" i="67"/>
  <c r="AV7" i="67"/>
  <c r="AU8" i="67"/>
  <c r="AV8" i="67"/>
  <c r="AU9" i="67"/>
  <c r="AV9" i="67"/>
  <c r="AU10" i="67"/>
  <c r="AV10" i="67"/>
  <c r="AU11" i="67"/>
  <c r="AV11" i="67"/>
  <c r="AU12" i="67"/>
  <c r="AV12" i="67"/>
  <c r="AU13" i="67"/>
  <c r="AV13" i="67"/>
  <c r="AU14" i="67"/>
  <c r="AV14" i="67"/>
  <c r="AU15" i="67"/>
  <c r="AV15" i="67"/>
  <c r="AU16" i="67"/>
  <c r="AV16" i="67"/>
  <c r="AU17" i="67"/>
  <c r="AV17" i="67"/>
  <c r="AU18" i="67"/>
  <c r="AV18" i="67"/>
  <c r="AU19" i="67"/>
  <c r="AV19" i="67"/>
  <c r="AU20" i="67"/>
  <c r="AV20" i="67"/>
  <c r="AU21" i="67"/>
  <c r="AV21" i="67"/>
  <c r="AQ3" i="67"/>
  <c r="AQ4" i="67"/>
  <c r="AQ5" i="67"/>
  <c r="AQ6" i="67"/>
  <c r="AQ7" i="67"/>
  <c r="AQ8" i="67"/>
  <c r="AQ9" i="67"/>
  <c r="AQ10" i="67"/>
  <c r="AQ11" i="67"/>
  <c r="AQ12" i="67"/>
  <c r="AQ13" i="67"/>
  <c r="AQ14" i="67"/>
  <c r="AQ15" i="67"/>
  <c r="AQ16" i="67"/>
  <c r="AQ17" i="67"/>
  <c r="AQ18" i="67"/>
  <c r="AQ19" i="67"/>
  <c r="AQ20" i="67"/>
  <c r="AL3" i="67"/>
  <c r="AL4" i="67"/>
  <c r="AL5" i="67"/>
  <c r="AL6" i="67"/>
  <c r="AL7" i="67"/>
  <c r="AL8" i="67"/>
  <c r="AL9" i="67"/>
  <c r="AL10" i="67"/>
  <c r="AL11" i="67"/>
  <c r="AL12" i="67"/>
  <c r="AL13" i="67"/>
  <c r="AL14" i="67"/>
  <c r="AL15" i="67"/>
  <c r="AL16" i="67"/>
  <c r="AL17" i="67"/>
  <c r="AL18" i="67"/>
  <c r="AG3" i="67"/>
  <c r="AG4" i="67"/>
  <c r="AG5" i="67"/>
  <c r="AG6" i="67"/>
  <c r="AG7" i="67"/>
  <c r="AG8" i="67"/>
  <c r="AG9" i="67"/>
  <c r="AG10" i="67"/>
  <c r="AG11" i="67"/>
  <c r="AG12" i="67"/>
  <c r="AG13" i="67"/>
  <c r="AG14" i="67"/>
  <c r="AG15" i="67"/>
  <c r="AG16" i="67"/>
  <c r="AG17" i="67"/>
  <c r="AB3" i="67"/>
  <c r="AB4" i="67"/>
  <c r="AB5" i="67"/>
  <c r="AB6" i="67"/>
  <c r="AB7" i="67"/>
  <c r="AB8" i="67"/>
  <c r="AB9" i="67"/>
  <c r="AB10" i="67"/>
  <c r="AB11" i="67"/>
  <c r="AB12" i="67"/>
  <c r="AB13" i="67"/>
  <c r="AB14" i="67"/>
  <c r="AB15" i="67"/>
  <c r="AB16" i="67"/>
  <c r="W3" i="67"/>
  <c r="W4" i="67"/>
  <c r="W5" i="67"/>
  <c r="W6" i="67"/>
  <c r="W7" i="67"/>
  <c r="W8" i="67"/>
  <c r="W9" i="67"/>
  <c r="W10" i="67"/>
  <c r="W11" i="67"/>
  <c r="W12" i="67"/>
  <c r="W13" i="67"/>
  <c r="W14" i="67"/>
  <c r="W15" i="67"/>
  <c r="Q3" i="67"/>
  <c r="R3" i="67"/>
  <c r="Q4" i="67"/>
  <c r="R4" i="67"/>
  <c r="Q5" i="67"/>
  <c r="R5" i="67"/>
  <c r="Q6" i="67"/>
  <c r="R6" i="67"/>
  <c r="Q7" i="67"/>
  <c r="R7" i="67"/>
  <c r="Q8" i="67"/>
  <c r="R8" i="67"/>
  <c r="Q9" i="67"/>
  <c r="R9" i="67"/>
  <c r="Q10" i="67"/>
  <c r="R10" i="67"/>
  <c r="Q11" i="67"/>
  <c r="R11" i="67"/>
  <c r="Q12" i="67"/>
  <c r="R12" i="67"/>
  <c r="L3" i="67"/>
  <c r="M3" i="67"/>
  <c r="L4" i="67"/>
  <c r="M4" i="67"/>
  <c r="L5" i="67"/>
  <c r="M5" i="67"/>
  <c r="L6" i="67"/>
  <c r="M6" i="67"/>
  <c r="L7" i="67"/>
  <c r="M7" i="67"/>
  <c r="L8" i="67"/>
  <c r="M8" i="67"/>
  <c r="L9" i="67"/>
  <c r="M9" i="67"/>
  <c r="L10" i="67"/>
  <c r="M10" i="67"/>
  <c r="G3" i="67"/>
  <c r="H3" i="67"/>
  <c r="G4" i="67"/>
  <c r="H4" i="67"/>
  <c r="G5" i="67"/>
  <c r="H5" i="67"/>
  <c r="G6" i="67"/>
  <c r="H6" i="67"/>
  <c r="G7" i="67"/>
  <c r="H7" i="67"/>
  <c r="G8" i="67"/>
  <c r="H8" i="67"/>
  <c r="G9" i="67"/>
  <c r="H9" i="67"/>
  <c r="B3" i="67"/>
  <c r="B4" i="67"/>
  <c r="B5" i="67"/>
  <c r="B6" i="67"/>
  <c r="B7" i="67"/>
  <c r="B8" i="67"/>
  <c r="B18" i="58" l="1" a="1"/>
  <c r="B18" i="58" s="1"/>
  <c r="C18" i="58" s="1" a="1"/>
  <c r="C18" i="58" s="1"/>
  <c r="B17" i="58" a="1"/>
  <c r="B17" i="58" s="1"/>
  <c r="C17" i="58" s="1" a="1"/>
  <c r="C17" i="58" s="1"/>
  <c r="B7" i="58" a="1"/>
  <c r="B7" i="58" s="1"/>
  <c r="C7" i="58" s="1" a="1"/>
  <c r="C7" i="58" s="1"/>
  <c r="B14" i="58" a="1"/>
  <c r="B14" i="58" s="1"/>
  <c r="C14" i="58" s="1" a="1"/>
  <c r="C14" i="58" s="1"/>
  <c r="B15" i="58" a="1"/>
  <c r="B15" i="58" s="1"/>
  <c r="C15" i="58" s="1" a="1"/>
  <c r="C15" i="58" s="1"/>
  <c r="B13" i="58" a="1"/>
  <c r="B13" i="58" s="1"/>
  <c r="C13" i="58" s="1" a="1"/>
  <c r="C13" i="58" s="1"/>
  <c r="B16" i="58" a="1"/>
  <c r="B16" i="58" s="1"/>
  <c r="C16" i="58" s="1" a="1"/>
  <c r="C16" i="58" s="1"/>
  <c r="B12" i="58" a="1"/>
  <c r="B12" i="58" s="1"/>
  <c r="C12" i="58" s="1" a="1"/>
  <c r="C12" i="58" s="1"/>
  <c r="B9" i="58" a="1"/>
  <c r="B9" i="58" s="1"/>
  <c r="C9" i="58" s="1" a="1"/>
  <c r="C9" i="58" s="1"/>
  <c r="B10" i="58" a="1"/>
  <c r="B10" i="58" s="1"/>
  <c r="C10" i="58" s="1" a="1"/>
  <c r="C10" i="58" s="1"/>
  <c r="B11" i="58" a="1"/>
  <c r="B11" i="58" s="1"/>
  <c r="C11" i="58" s="1" a="1"/>
  <c r="C11" i="58" s="1"/>
  <c r="B4" i="58" a="1"/>
  <c r="B4" i="58" s="1"/>
  <c r="C4" i="58" s="1" a="1"/>
  <c r="C4" i="58" s="1"/>
  <c r="B5" i="58" a="1"/>
  <c r="B5" i="58" s="1"/>
  <c r="C5" i="58" s="1" a="1"/>
  <c r="C5" i="58" s="1"/>
  <c r="B6" i="58" a="1"/>
  <c r="B6" i="58" s="1"/>
  <c r="C6" i="58" s="1" a="1"/>
  <c r="C6" i="58" s="1"/>
  <c r="B8" i="58" a="1"/>
  <c r="B8" i="58" s="1"/>
  <c r="C8" i="58" s="1" a="1"/>
  <c r="C8" i="58" s="1"/>
  <c r="AH16" i="67"/>
  <c r="AM16" i="67"/>
  <c r="BV30" i="67"/>
  <c r="CA30" i="67"/>
  <c r="S9" i="67"/>
  <c r="X12" i="67"/>
  <c r="BL16" i="67"/>
  <c r="AC16" i="67"/>
  <c r="AR16" i="67"/>
  <c r="BQ16" i="67"/>
  <c r="BB12" i="67"/>
  <c r="I6" i="67"/>
  <c r="BB16" i="67"/>
  <c r="CF44" i="67"/>
  <c r="I3" i="67"/>
  <c r="N5" i="67"/>
  <c r="X15" i="67"/>
  <c r="AR3" i="67"/>
  <c r="BB8" i="67"/>
  <c r="BV23" i="67"/>
  <c r="BV9" i="67"/>
  <c r="AM12" i="67"/>
  <c r="AM9" i="67"/>
  <c r="BB21" i="67"/>
  <c r="BQ12" i="67"/>
  <c r="BQ13" i="67"/>
  <c r="N9" i="67"/>
  <c r="X7" i="67"/>
  <c r="AW21" i="67"/>
  <c r="BB14" i="67"/>
  <c r="BB7" i="67"/>
  <c r="BG21" i="67"/>
  <c r="CA36" i="67"/>
  <c r="AC14" i="67"/>
  <c r="AC7" i="67"/>
  <c r="AW14" i="67"/>
  <c r="AW7" i="67"/>
  <c r="BG7" i="67"/>
  <c r="BL22" i="67"/>
  <c r="CA22" i="67"/>
  <c r="CA8" i="67"/>
  <c r="CF49" i="67"/>
  <c r="S7" i="67"/>
  <c r="X9" i="67"/>
  <c r="AH8" i="67"/>
  <c r="AR8" i="67"/>
  <c r="BB13" i="67"/>
  <c r="BL8" i="67"/>
  <c r="BV21" i="67"/>
  <c r="BV7" i="67"/>
  <c r="CA35" i="67"/>
  <c r="CF35" i="67"/>
  <c r="CF21" i="67"/>
  <c r="CF7" i="67"/>
  <c r="AC13" i="67"/>
  <c r="BG23" i="67"/>
  <c r="BL21" i="67"/>
  <c r="CA21" i="67"/>
  <c r="CA7" i="67"/>
  <c r="X4" i="67"/>
  <c r="AH7" i="67"/>
  <c r="AR7" i="67"/>
  <c r="BL7" i="67"/>
  <c r="BV27" i="67"/>
  <c r="CF42" i="67"/>
  <c r="I8" i="67"/>
  <c r="AC12" i="67"/>
  <c r="AR20" i="67"/>
  <c r="AW12" i="67"/>
  <c r="BG12" i="67"/>
  <c r="BG13" i="67"/>
  <c r="CA23" i="67"/>
  <c r="S12" i="67"/>
  <c r="S8" i="67"/>
  <c r="X3" i="67"/>
  <c r="AH9" i="67"/>
  <c r="AR9" i="67"/>
  <c r="BL23" i="67"/>
  <c r="BV26" i="67"/>
  <c r="BV11" i="67"/>
  <c r="BV22" i="67"/>
  <c r="CF40" i="67"/>
  <c r="CF30" i="67"/>
  <c r="CF25" i="67"/>
  <c r="CF45" i="67"/>
  <c r="D7" i="67"/>
  <c r="I7" i="67"/>
  <c r="AW17" i="67"/>
  <c r="BG3" i="67"/>
  <c r="BV32" i="67"/>
  <c r="CA26" i="67"/>
  <c r="CA16" i="67"/>
  <c r="CA4" i="67"/>
  <c r="S3" i="67"/>
  <c r="AH12" i="67"/>
  <c r="AH4" i="67"/>
  <c r="AR12" i="67"/>
  <c r="AR18" i="67"/>
  <c r="BB3" i="67"/>
  <c r="BL12" i="67"/>
  <c r="BL4" i="67"/>
  <c r="BQ21" i="67"/>
  <c r="BV18" i="67"/>
  <c r="BV31" i="67"/>
  <c r="CF3" i="67"/>
  <c r="D5" i="67"/>
  <c r="AM7" i="67"/>
  <c r="AW16" i="67"/>
  <c r="BG16" i="67"/>
  <c r="BQ7" i="67"/>
  <c r="I5" i="67"/>
  <c r="N7" i="67"/>
  <c r="AH3" i="67"/>
  <c r="BB9" i="67"/>
  <c r="D3" i="67"/>
  <c r="AC9" i="67"/>
  <c r="AH17" i="67"/>
  <c r="AM5" i="67"/>
  <c r="AW9" i="67"/>
  <c r="BB22" i="67"/>
  <c r="BQ5" i="67"/>
  <c r="CA3" i="67"/>
  <c r="CF16" i="67"/>
  <c r="CF29" i="67"/>
  <c r="CF19" i="67"/>
  <c r="CF28" i="67"/>
  <c r="CF13" i="67"/>
  <c r="CF36" i="67"/>
  <c r="CF22" i="67"/>
  <c r="CF8" i="67"/>
  <c r="CF20" i="67"/>
  <c r="CF14" i="67"/>
  <c r="CF23" i="67"/>
  <c r="CF46" i="67"/>
  <c r="CF50" i="67"/>
  <c r="CF31" i="67"/>
  <c r="CF17" i="67"/>
  <c r="CF39" i="67"/>
  <c r="CF11" i="67"/>
  <c r="CF43" i="67"/>
  <c r="CF38" i="67"/>
  <c r="CF24" i="67"/>
  <c r="CF10" i="67"/>
  <c r="CF37" i="67"/>
  <c r="CF9" i="67"/>
  <c r="CF41" i="67"/>
  <c r="CF27" i="67"/>
  <c r="CF26" i="67"/>
  <c r="CF12" i="67"/>
  <c r="CF48" i="67"/>
  <c r="CF34" i="67"/>
  <c r="CF6" i="67"/>
  <c r="CF15" i="67"/>
  <c r="CF47" i="67"/>
  <c r="CF33" i="67"/>
  <c r="CF5" i="67"/>
  <c r="CF32" i="67"/>
  <c r="CF18" i="67"/>
  <c r="CF4" i="67"/>
  <c r="CA33" i="67"/>
  <c r="CA5" i="67"/>
  <c r="CA28" i="67"/>
  <c r="CA14" i="67"/>
  <c r="CA37" i="67"/>
  <c r="CA9" i="67"/>
  <c r="CA31" i="67"/>
  <c r="CA17" i="67"/>
  <c r="CA25" i="67"/>
  <c r="CA11" i="67"/>
  <c r="CA34" i="67"/>
  <c r="CA20" i="67"/>
  <c r="CA27" i="67"/>
  <c r="CA13" i="67"/>
  <c r="CA12" i="67"/>
  <c r="CA6" i="67"/>
  <c r="CA29" i="67"/>
  <c r="CA15" i="67"/>
  <c r="CA24" i="67"/>
  <c r="CA10" i="67"/>
  <c r="CA19" i="67"/>
  <c r="CA32" i="67"/>
  <c r="CA18" i="67"/>
  <c r="BV25" i="67"/>
  <c r="BV6" i="67"/>
  <c r="BV24" i="67"/>
  <c r="BV4" i="67"/>
  <c r="BV20" i="67"/>
  <c r="BV33" i="67"/>
  <c r="BV13" i="67"/>
  <c r="BV8" i="67"/>
  <c r="BV17" i="67"/>
  <c r="BV3" i="67"/>
  <c r="BV16" i="67"/>
  <c r="BV15" i="67"/>
  <c r="BV12" i="67"/>
  <c r="BV29" i="67"/>
  <c r="BV10" i="67"/>
  <c r="BV19" i="67"/>
  <c r="BV5" i="67"/>
  <c r="BV28" i="67"/>
  <c r="BV14" i="67"/>
  <c r="BQ22" i="67"/>
  <c r="BQ8" i="67"/>
  <c r="BQ14" i="67"/>
  <c r="BQ9" i="67"/>
  <c r="BQ17" i="67"/>
  <c r="BQ3" i="67"/>
  <c r="BQ25" i="67"/>
  <c r="BQ11" i="67"/>
  <c r="BQ15" i="67"/>
  <c r="BQ10" i="67"/>
  <c r="BQ23" i="67"/>
  <c r="BQ18" i="67"/>
  <c r="BQ4" i="67"/>
  <c r="BQ20" i="67"/>
  <c r="BQ6" i="67"/>
  <c r="BQ24" i="67"/>
  <c r="BQ19" i="67"/>
  <c r="BL13" i="67"/>
  <c r="BL18" i="67"/>
  <c r="BL10" i="67"/>
  <c r="BL9" i="67"/>
  <c r="BL17" i="67"/>
  <c r="BL3" i="67"/>
  <c r="BL11" i="67"/>
  <c r="BL24" i="67"/>
  <c r="BL19" i="67"/>
  <c r="BL5" i="67"/>
  <c r="BL14" i="67"/>
  <c r="BL20" i="67"/>
  <c r="BL6" i="67"/>
  <c r="BL15" i="67"/>
  <c r="BG11" i="67"/>
  <c r="BG19" i="67"/>
  <c r="BG22" i="67"/>
  <c r="BG8" i="67"/>
  <c r="BG17" i="67"/>
  <c r="BG10" i="67"/>
  <c r="BG5" i="67"/>
  <c r="BG14" i="67"/>
  <c r="BG9" i="67"/>
  <c r="BG18" i="67"/>
  <c r="BG4" i="67"/>
  <c r="BG20" i="67"/>
  <c r="BG6" i="67"/>
  <c r="BG15" i="67"/>
  <c r="BB20" i="67"/>
  <c r="BB5" i="67"/>
  <c r="BB4" i="67"/>
  <c r="BB6" i="67"/>
  <c r="BB19" i="67"/>
  <c r="BB17" i="67"/>
  <c r="BB11" i="67"/>
  <c r="BB10" i="67"/>
  <c r="BB15" i="67"/>
  <c r="BB18" i="67"/>
  <c r="AW11" i="67"/>
  <c r="AW20" i="67"/>
  <c r="AW6" i="67"/>
  <c r="AW15" i="67"/>
  <c r="AW10" i="67"/>
  <c r="AW19" i="67"/>
  <c r="AW5" i="67"/>
  <c r="AW18" i="67"/>
  <c r="AW4" i="67"/>
  <c r="AW13" i="67"/>
  <c r="AW3" i="67"/>
  <c r="AW8" i="67"/>
  <c r="AR4" i="67"/>
  <c r="AR13" i="67"/>
  <c r="AR6" i="67"/>
  <c r="AR15" i="67"/>
  <c r="AR5" i="67"/>
  <c r="AR17" i="67"/>
  <c r="AR11" i="67"/>
  <c r="AR19" i="67"/>
  <c r="AR14" i="67"/>
  <c r="AR10" i="67"/>
  <c r="AM15" i="67"/>
  <c r="AM14" i="67"/>
  <c r="AM18" i="67"/>
  <c r="AM4" i="67"/>
  <c r="AM13" i="67"/>
  <c r="AM8" i="67"/>
  <c r="AM11" i="67"/>
  <c r="AM17" i="67"/>
  <c r="AM3" i="67"/>
  <c r="AM6" i="67"/>
  <c r="AM10" i="67"/>
  <c r="AH15" i="67"/>
  <c r="AH14" i="67"/>
  <c r="AH13" i="67"/>
  <c r="AH6" i="67"/>
  <c r="AH5" i="67"/>
  <c r="AH11" i="67"/>
  <c r="AH10" i="67"/>
  <c r="AC6" i="67"/>
  <c r="AC5" i="67"/>
  <c r="AC11" i="67"/>
  <c r="AC10" i="67"/>
  <c r="AC4" i="67"/>
  <c r="AC8" i="67"/>
  <c r="AC3" i="67"/>
  <c r="AC15" i="67"/>
  <c r="X8" i="67"/>
  <c r="X13" i="67"/>
  <c r="X11" i="67"/>
  <c r="X5" i="67"/>
  <c r="X14" i="67"/>
  <c r="X6" i="67"/>
  <c r="X10" i="67"/>
  <c r="S4" i="67"/>
  <c r="S11" i="67"/>
  <c r="S5" i="67"/>
  <c r="S6" i="67"/>
  <c r="S10" i="67"/>
  <c r="N10" i="67"/>
  <c r="N4" i="67"/>
  <c r="N8" i="67"/>
  <c r="N3" i="67"/>
  <c r="N6" i="67"/>
  <c r="I9" i="67"/>
  <c r="I4" i="67"/>
  <c r="D6" i="67"/>
  <c r="D4" i="67"/>
  <c r="D8" i="67"/>
  <c r="D19" i="58" l="1" a="1"/>
  <c r="D19" i="58" s="1"/>
  <c r="E19" i="58" a="1"/>
  <c r="E19" i="58" s="1"/>
  <c r="E20" i="58" a="1"/>
  <c r="E20" i="58" s="1"/>
  <c r="D20" i="58" a="1"/>
  <c r="D20" i="58" s="1"/>
  <c r="D17" i="58" a="1"/>
  <c r="D17" i="58" s="1"/>
  <c r="D18" i="58" a="1"/>
  <c r="D18" i="58" s="1"/>
  <c r="E17" i="58" a="1"/>
  <c r="E17" i="58" s="1"/>
  <c r="E18" i="58" a="1"/>
  <c r="E18" i="58" s="1"/>
  <c r="D7" i="58" a="1"/>
  <c r="D7" i="58" s="1"/>
  <c r="D6" i="58" a="1"/>
  <c r="D6" i="58" s="1"/>
  <c r="E6" i="58" a="1"/>
  <c r="E6" i="58" s="1"/>
  <c r="E9" i="58" a="1"/>
  <c r="E9" i="58" s="1"/>
  <c r="D8" i="58" a="1"/>
  <c r="D8" i="58" s="1"/>
  <c r="E12" i="58" a="1"/>
  <c r="E12" i="58" s="1"/>
  <c r="D11" i="58" a="1"/>
  <c r="D11" i="58" s="1"/>
  <c r="D4" i="58" a="1"/>
  <c r="D4" i="58" s="1"/>
  <c r="E14" i="58" a="1"/>
  <c r="E14" i="58" s="1"/>
  <c r="D12" i="58" a="1"/>
  <c r="D12" i="58" s="1"/>
  <c r="D13" i="58" a="1"/>
  <c r="D13" i="58" s="1"/>
  <c r="D10" i="58" a="1"/>
  <c r="D10" i="58" s="1"/>
  <c r="D14" i="58" a="1"/>
  <c r="D14" i="58" s="1"/>
  <c r="D5" i="58" a="1"/>
  <c r="D5" i="58" s="1"/>
  <c r="D15" i="58" a="1"/>
  <c r="D15" i="58" s="1"/>
  <c r="E16" i="58" a="1"/>
  <c r="E16" i="58" s="1"/>
  <c r="D9" i="58" a="1"/>
  <c r="D9" i="58" s="1"/>
  <c r="E10" i="58" a="1"/>
  <c r="E10" i="58" s="1"/>
  <c r="E15" i="58" a="1"/>
  <c r="E15" i="58" s="1"/>
  <c r="E4" i="58" a="1"/>
  <c r="E4" i="58" s="1"/>
  <c r="E11" i="58" a="1"/>
  <c r="E11" i="58" s="1"/>
  <c r="D16" i="58" a="1"/>
  <c r="D16" i="58" s="1"/>
  <c r="E5" i="58" a="1"/>
  <c r="E5" i="58" s="1"/>
  <c r="E8" i="58" a="1"/>
  <c r="E8" i="58" s="1"/>
  <c r="E7" i="58" a="1"/>
  <c r="E7" i="58" s="1"/>
  <c r="E13" i="58" a="1"/>
  <c r="E13" i="58" s="1"/>
  <c r="B8" i="2" l="1"/>
  <c r="F4" i="2" l="1"/>
  <c r="F5" i="2"/>
  <c r="F6" i="2"/>
  <c r="B316" i="32" l="1"/>
  <c r="B15" i="32"/>
  <c r="B29" i="32"/>
  <c r="B183" i="32"/>
  <c r="B197" i="32"/>
  <c r="B211" i="32"/>
  <c r="B225" i="32"/>
  <c r="B239" i="32"/>
  <c r="B317" i="32"/>
  <c r="B16" i="32"/>
  <c r="B30" i="32"/>
  <c r="B44" i="32"/>
  <c r="B198" i="32"/>
  <c r="B212" i="32"/>
  <c r="B226" i="32"/>
  <c r="B240" i="32"/>
  <c r="B254" i="32"/>
  <c r="B318" i="32"/>
  <c r="B17" i="32"/>
  <c r="B31" i="32"/>
  <c r="B45" i="32"/>
  <c r="B59" i="32"/>
  <c r="B213" i="32"/>
  <c r="B227" i="32"/>
  <c r="B241" i="32"/>
  <c r="B255" i="32"/>
  <c r="B269" i="32"/>
  <c r="B18" i="32"/>
  <c r="B32" i="32"/>
  <c r="B46" i="32"/>
  <c r="B60" i="32"/>
  <c r="B74" i="32"/>
  <c r="B228" i="32"/>
  <c r="B242" i="32"/>
  <c r="B256" i="32"/>
  <c r="B270" i="32"/>
  <c r="B284" i="32"/>
  <c r="B33" i="32"/>
  <c r="B47" i="32"/>
  <c r="B61" i="32"/>
  <c r="B75" i="32"/>
  <c r="B89" i="32"/>
  <c r="B243" i="32"/>
  <c r="B257" i="32"/>
  <c r="B271" i="32"/>
  <c r="B285" i="32"/>
  <c r="B299" i="32"/>
  <c r="B48" i="32"/>
  <c r="B62" i="32"/>
  <c r="B76" i="32"/>
  <c r="B90" i="32"/>
  <c r="B104" i="32"/>
  <c r="B258" i="32"/>
  <c r="B272" i="32"/>
  <c r="B286" i="32"/>
  <c r="B300" i="32"/>
  <c r="B63" i="32"/>
  <c r="B77" i="32"/>
  <c r="B91" i="32"/>
  <c r="B105" i="32"/>
  <c r="B119" i="32"/>
  <c r="B273" i="32"/>
  <c r="B287" i="32"/>
  <c r="B301" i="32"/>
  <c r="B78" i="32"/>
  <c r="B92" i="32"/>
  <c r="B106" i="32"/>
  <c r="B120" i="32"/>
  <c r="B134" i="32"/>
  <c r="B288" i="32"/>
  <c r="B302" i="32"/>
  <c r="B93" i="32"/>
  <c r="B107" i="32"/>
  <c r="B121" i="32"/>
  <c r="B135" i="32"/>
  <c r="B149" i="32"/>
  <c r="B303" i="32"/>
  <c r="B323" i="32"/>
  <c r="B108" i="32"/>
  <c r="B122" i="32"/>
  <c r="B136" i="32"/>
  <c r="B150" i="32"/>
  <c r="B164" i="32"/>
  <c r="B324" i="32"/>
  <c r="B123" i="32"/>
  <c r="B137" i="32"/>
  <c r="B151" i="32"/>
  <c r="B165" i="32"/>
  <c r="B179" i="32"/>
  <c r="B138" i="32"/>
  <c r="B152" i="32"/>
  <c r="B166" i="32"/>
  <c r="B180" i="32"/>
  <c r="B194" i="32"/>
  <c r="B314" i="32"/>
  <c r="B153" i="32"/>
  <c r="B167" i="32"/>
  <c r="B181" i="32"/>
  <c r="B195" i="32"/>
  <c r="B209" i="32"/>
  <c r="B315" i="32"/>
  <c r="B14" i="32"/>
  <c r="B168" i="32"/>
  <c r="B182" i="32"/>
  <c r="B196" i="32"/>
  <c r="B210" i="32"/>
  <c r="B224" i="32"/>
  <c r="B43" i="32"/>
  <c r="B57" i="32"/>
  <c r="B71" i="32"/>
  <c r="B85" i="32"/>
  <c r="B99" i="32"/>
  <c r="B253" i="32"/>
  <c r="B267" i="32"/>
  <c r="B281" i="32"/>
  <c r="B295" i="32"/>
  <c r="B58" i="32"/>
  <c r="B72" i="32"/>
  <c r="B86" i="32"/>
  <c r="B100" i="32"/>
  <c r="B114" i="32"/>
  <c r="B268" i="32"/>
  <c r="B282" i="32"/>
  <c r="B296" i="32"/>
  <c r="B73" i="32"/>
  <c r="B87" i="32"/>
  <c r="B101" i="32"/>
  <c r="B115" i="32"/>
  <c r="B129" i="32"/>
  <c r="B283" i="32"/>
  <c r="B297" i="32"/>
  <c r="B88" i="32"/>
  <c r="B102" i="32"/>
  <c r="B116" i="32"/>
  <c r="B130" i="32"/>
  <c r="B144" i="32"/>
  <c r="B298" i="32"/>
  <c r="B103" i="32"/>
  <c r="B117" i="32"/>
  <c r="B131" i="32"/>
  <c r="B145" i="32"/>
  <c r="B159" i="32"/>
  <c r="B118" i="32"/>
  <c r="B132" i="32"/>
  <c r="B146" i="32"/>
  <c r="B160" i="32"/>
  <c r="B174" i="32"/>
  <c r="B133" i="32"/>
  <c r="B147" i="32"/>
  <c r="B161" i="32"/>
  <c r="B175" i="32"/>
  <c r="B189" i="32"/>
  <c r="B309" i="32"/>
  <c r="B148" i="32"/>
  <c r="B162" i="32"/>
  <c r="B176" i="32"/>
  <c r="B190" i="32"/>
  <c r="B204" i="32"/>
  <c r="B310" i="32"/>
  <c r="B9" i="32"/>
  <c r="B163" i="32"/>
  <c r="B177" i="32"/>
  <c r="B191" i="32"/>
  <c r="B205" i="32"/>
  <c r="B219" i="32"/>
  <c r="B311" i="32"/>
  <c r="B10" i="32"/>
  <c r="B24" i="32"/>
  <c r="B178" i="32"/>
  <c r="B192" i="32"/>
  <c r="B206" i="32"/>
  <c r="B220" i="32"/>
  <c r="B234" i="32"/>
  <c r="B312" i="32"/>
  <c r="B11" i="32"/>
  <c r="B25" i="32"/>
  <c r="B39" i="32"/>
  <c r="B193" i="32"/>
  <c r="B207" i="32"/>
  <c r="B221" i="32"/>
  <c r="B235" i="32"/>
  <c r="B249" i="32"/>
  <c r="B313" i="32"/>
  <c r="B12" i="32"/>
  <c r="B26" i="32"/>
  <c r="B40" i="32"/>
  <c r="B54" i="32"/>
  <c r="B208" i="32"/>
  <c r="B222" i="32"/>
  <c r="B236" i="32"/>
  <c r="B250" i="32"/>
  <c r="B264" i="32"/>
  <c r="B13" i="32"/>
  <c r="B27" i="32"/>
  <c r="B41" i="32"/>
  <c r="B55" i="32"/>
  <c r="B69" i="32"/>
  <c r="B223" i="32"/>
  <c r="B237" i="32"/>
  <c r="B251" i="32"/>
  <c r="B265" i="32"/>
  <c r="B279" i="32"/>
  <c r="B28" i="32"/>
  <c r="B42" i="32"/>
  <c r="B56" i="32"/>
  <c r="B70" i="32"/>
  <c r="B84" i="32"/>
  <c r="B238" i="32"/>
  <c r="B252" i="32"/>
  <c r="B266" i="32"/>
  <c r="B280" i="32"/>
  <c r="B294" i="32"/>
  <c r="B113" i="32"/>
  <c r="B127" i="32"/>
  <c r="B141" i="32"/>
  <c r="B155" i="32"/>
  <c r="B169" i="32"/>
  <c r="B128" i="32"/>
  <c r="B142" i="32"/>
  <c r="B156" i="32"/>
  <c r="B170" i="32"/>
  <c r="B184" i="32"/>
  <c r="B304" i="32"/>
  <c r="B143" i="32"/>
  <c r="B157" i="32"/>
  <c r="B171" i="32"/>
  <c r="B185" i="32"/>
  <c r="B199" i="32"/>
  <c r="B305" i="32"/>
  <c r="B4" i="32"/>
  <c r="B158" i="32"/>
  <c r="B172" i="32"/>
  <c r="B186" i="32"/>
  <c r="B200" i="32"/>
  <c r="B214" i="32"/>
  <c r="B306" i="32"/>
  <c r="B5" i="32"/>
  <c r="B19" i="32"/>
  <c r="B173" i="32"/>
  <c r="B187" i="32"/>
  <c r="B201" i="32"/>
  <c r="B215" i="32"/>
  <c r="B229" i="32"/>
  <c r="B319" i="32"/>
  <c r="B307" i="32"/>
  <c r="B6" i="32"/>
  <c r="B20" i="32"/>
  <c r="B34" i="32"/>
  <c r="B188" i="32"/>
  <c r="B202" i="32"/>
  <c r="B216" i="32"/>
  <c r="B230" i="32"/>
  <c r="B244" i="32"/>
  <c r="B320" i="32"/>
  <c r="B308" i="32"/>
  <c r="B7" i="32"/>
  <c r="B21" i="32"/>
  <c r="B35" i="32"/>
  <c r="B49" i="32"/>
  <c r="B203" i="32"/>
  <c r="B217" i="32"/>
  <c r="B231" i="32"/>
  <c r="B245" i="32"/>
  <c r="B259" i="32"/>
  <c r="B321" i="32"/>
  <c r="B8" i="32"/>
  <c r="B22" i="32"/>
  <c r="B36" i="32"/>
  <c r="B50" i="32"/>
  <c r="B64" i="32"/>
  <c r="B218" i="32"/>
  <c r="B232" i="32"/>
  <c r="B246" i="32"/>
  <c r="B260" i="32"/>
  <c r="B274" i="32"/>
  <c r="B322" i="32"/>
  <c r="B23" i="32"/>
  <c r="B37" i="32"/>
  <c r="B51" i="32"/>
  <c r="B65" i="32"/>
  <c r="B79" i="32"/>
  <c r="B233" i="32"/>
  <c r="B247" i="32"/>
  <c r="B261" i="32"/>
  <c r="B275" i="32"/>
  <c r="B289" i="32"/>
  <c r="B38" i="32"/>
  <c r="B52" i="32"/>
  <c r="B66" i="32"/>
  <c r="B80" i="32"/>
  <c r="B94" i="32"/>
  <c r="B248" i="32"/>
  <c r="B262" i="32"/>
  <c r="B276" i="32"/>
  <c r="B290" i="32"/>
  <c r="B53" i="32"/>
  <c r="B67" i="32"/>
  <c r="B81" i="32"/>
  <c r="B95" i="32"/>
  <c r="B109" i="32"/>
  <c r="B263" i="32"/>
  <c r="B277" i="32"/>
  <c r="B291" i="32"/>
  <c r="B325" i="32"/>
  <c r="B68" i="32"/>
  <c r="B82" i="32"/>
  <c r="B96" i="32"/>
  <c r="B110" i="32"/>
  <c r="B124" i="32"/>
  <c r="B278" i="32"/>
  <c r="B292" i="32"/>
  <c r="B83" i="32"/>
  <c r="B97" i="32"/>
  <c r="B111" i="32"/>
  <c r="B125" i="32"/>
  <c r="B139" i="32"/>
  <c r="B293" i="32"/>
  <c r="B98" i="32"/>
  <c r="B112" i="32"/>
  <c r="B126" i="32"/>
  <c r="B140" i="32"/>
  <c r="B154" i="32"/>
  <c r="B429" i="45"/>
  <c r="B457" i="45"/>
  <c r="B26" i="45"/>
  <c r="B68" i="45"/>
  <c r="B96" i="45"/>
  <c r="B166" i="45"/>
  <c r="B194" i="45"/>
  <c r="B236" i="45"/>
  <c r="B264" i="45"/>
  <c r="B334" i="45"/>
  <c r="B362" i="45"/>
  <c r="B431" i="45"/>
  <c r="B459" i="45"/>
  <c r="B70" i="45"/>
  <c r="B98" i="45"/>
  <c r="B140" i="45"/>
  <c r="B168" i="45"/>
  <c r="B238" i="45"/>
  <c r="B266" i="45"/>
  <c r="B308" i="45"/>
  <c r="B336" i="45"/>
  <c r="B405" i="45"/>
  <c r="B404" i="45"/>
  <c r="B432" i="45"/>
  <c r="B71" i="45"/>
  <c r="B99" i="45"/>
  <c r="B141" i="45"/>
  <c r="B169" i="45"/>
  <c r="B239" i="45"/>
  <c r="B267" i="45"/>
  <c r="B309" i="45"/>
  <c r="B337" i="45"/>
  <c r="B456" i="45"/>
  <c r="B476" i="45"/>
  <c r="B23" i="45"/>
  <c r="B94" i="45"/>
  <c r="B165" i="45"/>
  <c r="B219" i="45"/>
  <c r="B237" i="45"/>
  <c r="B290" i="45"/>
  <c r="B310" i="45"/>
  <c r="B361" i="45"/>
  <c r="B381" i="45"/>
  <c r="B408" i="45"/>
  <c r="B480" i="45"/>
  <c r="B47" i="45"/>
  <c r="B118" i="45"/>
  <c r="B189" i="45"/>
  <c r="B243" i="45"/>
  <c r="B260" i="45"/>
  <c r="B314" i="45"/>
  <c r="B458" i="45"/>
  <c r="B477" i="45"/>
  <c r="B24" i="45"/>
  <c r="B44" i="45"/>
  <c r="B95" i="45"/>
  <c r="B167" i="45"/>
  <c r="B240" i="45"/>
  <c r="B291" i="45"/>
  <c r="B311" i="45"/>
  <c r="B363" i="45"/>
  <c r="B382" i="45"/>
  <c r="B406" i="45"/>
  <c r="B478" i="45"/>
  <c r="B25" i="45"/>
  <c r="B45" i="45"/>
  <c r="B97" i="45"/>
  <c r="B116" i="45"/>
  <c r="B170" i="45"/>
  <c r="B241" i="45"/>
  <c r="B312" i="45"/>
  <c r="B383" i="45"/>
  <c r="B407" i="45"/>
  <c r="B479" i="45"/>
  <c r="B27" i="45"/>
  <c r="B46" i="45"/>
  <c r="B117" i="45"/>
  <c r="B171" i="45"/>
  <c r="B188" i="45"/>
  <c r="B242" i="45"/>
  <c r="B313" i="45"/>
  <c r="B384" i="45"/>
  <c r="B455" i="45"/>
  <c r="B22" i="45"/>
  <c r="B93" i="45"/>
  <c r="B147" i="45"/>
  <c r="B164" i="45"/>
  <c r="B218" i="45"/>
  <c r="B289" i="45"/>
  <c r="B360" i="45"/>
  <c r="B380" i="45"/>
  <c r="B482" i="45"/>
  <c r="B21" i="45"/>
  <c r="B120" i="45"/>
  <c r="B146" i="45"/>
  <c r="B213" i="45"/>
  <c r="B335" i="45"/>
  <c r="B359" i="45"/>
  <c r="B483" i="45"/>
  <c r="B121" i="45"/>
  <c r="B214" i="45"/>
  <c r="B338" i="45"/>
  <c r="B452" i="45"/>
  <c r="B122" i="45"/>
  <c r="B215" i="45"/>
  <c r="B339" i="45"/>
  <c r="B453" i="45"/>
  <c r="B123" i="45"/>
  <c r="B190" i="45"/>
  <c r="B216" i="45"/>
  <c r="B315" i="45"/>
  <c r="B428" i="45"/>
  <c r="B454" i="45"/>
  <c r="B191" i="45"/>
  <c r="B217" i="45"/>
  <c r="B284" i="45"/>
  <c r="B433" i="45"/>
  <c r="B69" i="45"/>
  <c r="B193" i="45"/>
  <c r="B286" i="45"/>
  <c r="B434" i="45"/>
  <c r="B72" i="45"/>
  <c r="B195" i="45"/>
  <c r="B261" i="45"/>
  <c r="B287" i="45"/>
  <c r="B430" i="45"/>
  <c r="B192" i="45"/>
  <c r="B285" i="45"/>
  <c r="B435" i="45"/>
  <c r="B262" i="45"/>
  <c r="B92" i="45"/>
  <c r="B73" i="45"/>
  <c r="B288" i="45"/>
  <c r="B409" i="45"/>
  <c r="B48" i="45"/>
  <c r="B74" i="45"/>
  <c r="B263" i="45"/>
  <c r="B411" i="45"/>
  <c r="B50" i="45"/>
  <c r="B143" i="45"/>
  <c r="B356" i="45"/>
  <c r="B386" i="45"/>
  <c r="B410" i="45"/>
  <c r="B49" i="45"/>
  <c r="B75" i="45"/>
  <c r="B142" i="45"/>
  <c r="B265" i="45"/>
  <c r="B385" i="45"/>
  <c r="B51" i="45"/>
  <c r="B144" i="45"/>
  <c r="B332" i="45"/>
  <c r="B357" i="45"/>
  <c r="B387" i="45"/>
  <c r="B481" i="45"/>
  <c r="B20" i="45"/>
  <c r="B119" i="45"/>
  <c r="B145" i="45"/>
  <c r="B212" i="45"/>
  <c r="B333" i="45"/>
  <c r="B358" i="45"/>
  <c r="B471" i="45"/>
  <c r="B12" i="45"/>
  <c r="B40" i="45"/>
  <c r="B110" i="45"/>
  <c r="B138" i="45"/>
  <c r="B180" i="45"/>
  <c r="B208" i="45"/>
  <c r="B278" i="45"/>
  <c r="B306" i="45"/>
  <c r="B348" i="45"/>
  <c r="B376" i="45"/>
  <c r="B445" i="45"/>
  <c r="B473" i="45"/>
  <c r="B14" i="45"/>
  <c r="B42" i="45"/>
  <c r="B84" i="45"/>
  <c r="B112" i="45"/>
  <c r="B182" i="45"/>
  <c r="B210" i="45"/>
  <c r="B252" i="45"/>
  <c r="B280" i="45"/>
  <c r="B350" i="45"/>
  <c r="B378" i="45"/>
  <c r="B446" i="45"/>
  <c r="B474" i="45"/>
  <c r="B15" i="45"/>
  <c r="B43" i="45"/>
  <c r="B85" i="45"/>
  <c r="B113" i="45"/>
  <c r="B183" i="45"/>
  <c r="B211" i="45"/>
  <c r="B253" i="45"/>
  <c r="B281" i="45"/>
  <c r="B351" i="45"/>
  <c r="B379" i="45"/>
  <c r="B422" i="45"/>
  <c r="B41" i="45"/>
  <c r="B60" i="45"/>
  <c r="B114" i="45"/>
  <c r="B185" i="45"/>
  <c r="B256" i="45"/>
  <c r="B327" i="45"/>
  <c r="B398" i="45"/>
  <c r="B426" i="45"/>
  <c r="B444" i="45"/>
  <c r="B64" i="45"/>
  <c r="B135" i="45"/>
  <c r="B206" i="45"/>
  <c r="B277" i="45"/>
  <c r="B423" i="45"/>
  <c r="B61" i="45"/>
  <c r="B115" i="45"/>
  <c r="B132" i="45"/>
  <c r="B186" i="45"/>
  <c r="B257" i="45"/>
  <c r="B328" i="45"/>
  <c r="B399" i="45"/>
  <c r="B424" i="45"/>
  <c r="B62" i="45"/>
  <c r="B133" i="45"/>
  <c r="B187" i="45"/>
  <c r="B204" i="45"/>
  <c r="B258" i="45"/>
  <c r="B329" i="45"/>
  <c r="B400" i="45"/>
  <c r="B425" i="45"/>
  <c r="B63" i="45"/>
  <c r="B134" i="45"/>
  <c r="B205" i="45"/>
  <c r="B259" i="45"/>
  <c r="B276" i="45"/>
  <c r="B330" i="45"/>
  <c r="B401" i="45"/>
  <c r="B421" i="45"/>
  <c r="B475" i="45"/>
  <c r="B39" i="45"/>
  <c r="B111" i="45"/>
  <c r="B184" i="45"/>
  <c r="B235" i="45"/>
  <c r="B255" i="45"/>
  <c r="B307" i="45"/>
  <c r="B326" i="45"/>
  <c r="B397" i="45"/>
  <c r="B450" i="45"/>
  <c r="B88" i="45"/>
  <c r="B303" i="45"/>
  <c r="B451" i="45"/>
  <c r="B89" i="45"/>
  <c r="B156" i="45"/>
  <c r="B279" i="45"/>
  <c r="B304" i="45"/>
  <c r="B420" i="45"/>
  <c r="B90" i="45"/>
  <c r="B157" i="45"/>
  <c r="B181" i="45"/>
  <c r="B282" i="45"/>
  <c r="B305" i="45"/>
  <c r="B427" i="45"/>
  <c r="B65" i="45"/>
  <c r="B91" i="45"/>
  <c r="B158" i="45"/>
  <c r="B283" i="45"/>
  <c r="B66" i="45"/>
  <c r="B159" i="45"/>
  <c r="B36" i="45"/>
  <c r="B161" i="45"/>
  <c r="B228" i="45"/>
  <c r="B254" i="45"/>
  <c r="B349" i="45"/>
  <c r="B373" i="45"/>
  <c r="B403" i="45"/>
  <c r="B37" i="45"/>
  <c r="B136" i="45"/>
  <c r="B162" i="45"/>
  <c r="B229" i="45"/>
  <c r="B352" i="45"/>
  <c r="B374" i="45"/>
  <c r="B67" i="45"/>
  <c r="B160" i="45"/>
  <c r="B402" i="45"/>
  <c r="B13" i="45"/>
  <c r="B38" i="45"/>
  <c r="B163" i="45"/>
  <c r="B375" i="45"/>
  <c r="B396" i="45"/>
  <c r="B372" i="45"/>
  <c r="B137" i="45"/>
  <c r="B230" i="45"/>
  <c r="B353" i="45"/>
  <c r="B468" i="45"/>
  <c r="B16" i="45"/>
  <c r="B139" i="45"/>
  <c r="B231" i="45"/>
  <c r="B324" i="45"/>
  <c r="B354" i="45"/>
  <c r="B377" i="45"/>
  <c r="B447" i="45"/>
  <c r="B470" i="45"/>
  <c r="B18" i="45"/>
  <c r="B108" i="45"/>
  <c r="B207" i="45"/>
  <c r="B233" i="45"/>
  <c r="B300" i="45"/>
  <c r="B331" i="45"/>
  <c r="B469" i="45"/>
  <c r="B17" i="45"/>
  <c r="B232" i="45"/>
  <c r="B325" i="45"/>
  <c r="B355" i="45"/>
  <c r="B448" i="45"/>
  <c r="B472" i="45"/>
  <c r="B19" i="45"/>
  <c r="B86" i="45"/>
  <c r="B109" i="45"/>
  <c r="B209" i="45"/>
  <c r="B234" i="45"/>
  <c r="B301" i="45"/>
  <c r="B449" i="45"/>
  <c r="B87" i="45"/>
  <c r="B302" i="45"/>
  <c r="B415" i="45"/>
  <c r="B443" i="45"/>
  <c r="B485" i="45"/>
  <c r="B54" i="45"/>
  <c r="B82" i="45"/>
  <c r="B124" i="45"/>
  <c r="B152" i="45"/>
  <c r="B222" i="45"/>
  <c r="B250" i="45"/>
  <c r="B292" i="45"/>
  <c r="B320" i="45"/>
  <c r="B390" i="45"/>
  <c r="B417" i="45"/>
  <c r="B487" i="45"/>
  <c r="B28" i="45"/>
  <c r="B56" i="45"/>
  <c r="B126" i="45"/>
  <c r="B154" i="45"/>
  <c r="B196" i="45"/>
  <c r="B224" i="45"/>
  <c r="B294" i="45"/>
  <c r="B322" i="45"/>
  <c r="B364" i="45"/>
  <c r="B392" i="45"/>
  <c r="B419" i="45"/>
  <c r="B418" i="45"/>
  <c r="B460" i="45"/>
  <c r="B488" i="45"/>
  <c r="B29" i="45"/>
  <c r="B57" i="45"/>
  <c r="B127" i="45"/>
  <c r="B155" i="45"/>
  <c r="B197" i="45"/>
  <c r="B225" i="45"/>
  <c r="B295" i="45"/>
  <c r="B323" i="45"/>
  <c r="B365" i="45"/>
  <c r="B393" i="45"/>
  <c r="B439" i="45"/>
  <c r="B6" i="45"/>
  <c r="B77" i="45"/>
  <c r="B131" i="45"/>
  <c r="B148" i="45"/>
  <c r="B202" i="45"/>
  <c r="B273" i="45"/>
  <c r="B344" i="45"/>
  <c r="B463" i="45"/>
  <c r="B10" i="45"/>
  <c r="B30" i="45"/>
  <c r="B81" i="45"/>
  <c r="B101" i="45"/>
  <c r="B153" i="45"/>
  <c r="B172" i="45"/>
  <c r="B226" i="45"/>
  <c r="B297" i="45"/>
  <c r="B440" i="45"/>
  <c r="B7" i="45"/>
  <c r="B78" i="45"/>
  <c r="B149" i="45"/>
  <c r="B203" i="45"/>
  <c r="B220" i="45"/>
  <c r="B274" i="45"/>
  <c r="B345" i="45"/>
  <c r="B150" i="45"/>
  <c r="B346" i="45"/>
  <c r="B441" i="45"/>
  <c r="B461" i="45"/>
  <c r="B8" i="45"/>
  <c r="B79" i="45"/>
  <c r="B221" i="45"/>
  <c r="B275" i="45"/>
  <c r="B293" i="45"/>
  <c r="B366" i="45"/>
  <c r="B442" i="45"/>
  <c r="B462" i="45"/>
  <c r="B9" i="45"/>
  <c r="B80" i="45"/>
  <c r="B100" i="45"/>
  <c r="B151" i="45"/>
  <c r="B223" i="45"/>
  <c r="B296" i="45"/>
  <c r="B347" i="45"/>
  <c r="B367" i="45"/>
  <c r="B438" i="45"/>
  <c r="B5" i="45"/>
  <c r="B59" i="45"/>
  <c r="B76" i="45"/>
  <c r="B130" i="45"/>
  <c r="B201" i="45"/>
  <c r="B272" i="45"/>
  <c r="B343" i="45"/>
  <c r="B414" i="45"/>
  <c r="B53" i="45"/>
  <c r="B178" i="45"/>
  <c r="B245" i="45"/>
  <c r="B271" i="45"/>
  <c r="B389" i="45"/>
  <c r="B416" i="45"/>
  <c r="B31" i="45"/>
  <c r="B55" i="45"/>
  <c r="B179" i="45"/>
  <c r="B246" i="45"/>
  <c r="B368" i="45"/>
  <c r="B391" i="45"/>
  <c r="B484" i="45"/>
  <c r="B32" i="45"/>
  <c r="B58" i="45"/>
  <c r="B247" i="45"/>
  <c r="B369" i="45"/>
  <c r="B394" i="45"/>
  <c r="B486" i="45"/>
  <c r="B33" i="45"/>
  <c r="B248" i="45"/>
  <c r="B340" i="45"/>
  <c r="B370" i="45"/>
  <c r="B395" i="45"/>
  <c r="B489" i="45"/>
  <c r="B34" i="45"/>
  <c r="B125" i="45"/>
  <c r="B249" i="45"/>
  <c r="B316" i="45"/>
  <c r="B341" i="45"/>
  <c r="B371" i="45"/>
  <c r="B465" i="45"/>
  <c r="B4" i="45"/>
  <c r="B103" i="45"/>
  <c r="B129" i="45"/>
  <c r="B318" i="45"/>
  <c r="B466" i="45"/>
  <c r="B11" i="45"/>
  <c r="B104" i="45"/>
  <c r="B319" i="45"/>
  <c r="B490" i="45"/>
  <c r="B35" i="45"/>
  <c r="B102" i="45"/>
  <c r="B251" i="45"/>
  <c r="B342" i="45"/>
  <c r="B105" i="45"/>
  <c r="B321" i="45"/>
  <c r="B464" i="45"/>
  <c r="B128" i="45"/>
  <c r="B227" i="45"/>
  <c r="B317" i="45"/>
  <c r="B467" i="45"/>
  <c r="B198" i="45"/>
  <c r="B436" i="45"/>
  <c r="B106" i="45"/>
  <c r="B173" i="45"/>
  <c r="B199" i="45"/>
  <c r="B298" i="45"/>
  <c r="B83" i="45"/>
  <c r="B175" i="45"/>
  <c r="B268" i="45"/>
  <c r="B437" i="45"/>
  <c r="B107" i="45"/>
  <c r="B174" i="45"/>
  <c r="B200" i="45"/>
  <c r="B299" i="45"/>
  <c r="B412" i="45"/>
  <c r="B176" i="45"/>
  <c r="B269" i="45"/>
  <c r="B413" i="45"/>
  <c r="B52" i="45"/>
  <c r="B177" i="45"/>
  <c r="B244" i="45"/>
  <c r="B270" i="45"/>
  <c r="B388" i="45"/>
  <c r="B319" i="28"/>
  <c r="B320" i="28"/>
  <c r="B321" i="28"/>
  <c r="B235" i="20"/>
  <c r="B236" i="20"/>
  <c r="B237" i="20"/>
  <c r="B138" i="28"/>
  <c r="B152" i="28"/>
  <c r="B166" i="28"/>
  <c r="B180" i="28"/>
  <c r="B194" i="28"/>
  <c r="B46" i="20"/>
  <c r="B102" i="20"/>
  <c r="B144" i="20"/>
  <c r="B200" i="20"/>
  <c r="B153" i="28"/>
  <c r="B167" i="28"/>
  <c r="B181" i="28"/>
  <c r="B195" i="28"/>
  <c r="B209" i="28"/>
  <c r="B47" i="20"/>
  <c r="B89" i="20"/>
  <c r="B145" i="20"/>
  <c r="B201" i="20"/>
  <c r="B14" i="28"/>
  <c r="B168" i="28"/>
  <c r="B182" i="28"/>
  <c r="B196" i="28"/>
  <c r="B210" i="28"/>
  <c r="B224" i="28"/>
  <c r="B34" i="20"/>
  <c r="B90" i="20"/>
  <c r="B146" i="20"/>
  <c r="B188" i="20"/>
  <c r="B15" i="28"/>
  <c r="B29" i="28"/>
  <c r="B183" i="28"/>
  <c r="B197" i="28"/>
  <c r="B211" i="28"/>
  <c r="B225" i="28"/>
  <c r="B239" i="28"/>
  <c r="B35" i="20"/>
  <c r="B91" i="20"/>
  <c r="B133" i="20"/>
  <c r="B189" i="20"/>
  <c r="B16" i="28"/>
  <c r="B30" i="28"/>
  <c r="B44" i="28"/>
  <c r="B198" i="28"/>
  <c r="B212" i="28"/>
  <c r="B226" i="28"/>
  <c r="B240" i="28"/>
  <c r="B254" i="28"/>
  <c r="B36" i="20"/>
  <c r="B78" i="20"/>
  <c r="B134" i="20"/>
  <c r="B190" i="20"/>
  <c r="B232" i="20"/>
  <c r="B17" i="28"/>
  <c r="B31" i="28"/>
  <c r="B45" i="28"/>
  <c r="B59" i="28"/>
  <c r="B213" i="28"/>
  <c r="B227" i="28"/>
  <c r="B241" i="28"/>
  <c r="B255" i="28"/>
  <c r="B269" i="28"/>
  <c r="B23" i="20"/>
  <c r="B79" i="20"/>
  <c r="B135" i="20"/>
  <c r="B177" i="20"/>
  <c r="B233" i="20"/>
  <c r="B18" i="28"/>
  <c r="B32" i="28"/>
  <c r="B46" i="28"/>
  <c r="B60" i="28"/>
  <c r="B74" i="28"/>
  <c r="B228" i="28"/>
  <c r="B242" i="28"/>
  <c r="B256" i="28"/>
  <c r="B270" i="28"/>
  <c r="B284" i="28"/>
  <c r="B24" i="20"/>
  <c r="B80" i="20"/>
  <c r="B122" i="20"/>
  <c r="B178" i="20"/>
  <c r="B234" i="20"/>
  <c r="B33" i="28"/>
  <c r="B47" i="28"/>
  <c r="B61" i="28"/>
  <c r="B75" i="28"/>
  <c r="B89" i="28"/>
  <c r="B243" i="28"/>
  <c r="B257" i="28"/>
  <c r="B271" i="28"/>
  <c r="B285" i="28"/>
  <c r="B299" i="28"/>
  <c r="B25" i="20"/>
  <c r="B67" i="20"/>
  <c r="B123" i="20"/>
  <c r="B179" i="20"/>
  <c r="B221" i="20"/>
  <c r="B48" i="28"/>
  <c r="B62" i="28"/>
  <c r="B76" i="28"/>
  <c r="B90" i="28"/>
  <c r="B104" i="28"/>
  <c r="B258" i="28"/>
  <c r="B272" i="28"/>
  <c r="B286" i="28"/>
  <c r="B300" i="28"/>
  <c r="B314" i="28"/>
  <c r="B12" i="20"/>
  <c r="B68" i="20"/>
  <c r="B124" i="20"/>
  <c r="B166" i="20"/>
  <c r="B222" i="20"/>
  <c r="B63" i="28"/>
  <c r="B77" i="28"/>
  <c r="B91" i="28"/>
  <c r="B105" i="28"/>
  <c r="B119" i="28"/>
  <c r="B273" i="28"/>
  <c r="B287" i="28"/>
  <c r="B301" i="28"/>
  <c r="B315" i="28"/>
  <c r="B13" i="20"/>
  <c r="B69" i="20"/>
  <c r="B111" i="20"/>
  <c r="B167" i="20"/>
  <c r="B223" i="20"/>
  <c r="B78" i="28"/>
  <c r="B92" i="28"/>
  <c r="B106" i="28"/>
  <c r="B120" i="28"/>
  <c r="B134" i="28"/>
  <c r="B288" i="28"/>
  <c r="B302" i="28"/>
  <c r="B316" i="28"/>
  <c r="B14" i="20"/>
  <c r="B56" i="20"/>
  <c r="B112" i="20"/>
  <c r="B168" i="20"/>
  <c r="B210" i="20"/>
  <c r="B93" i="28"/>
  <c r="B107" i="28"/>
  <c r="B121" i="28"/>
  <c r="B135" i="28"/>
  <c r="B149" i="28"/>
  <c r="B303" i="28"/>
  <c r="B317" i="28"/>
  <c r="B57" i="20"/>
  <c r="B113" i="20"/>
  <c r="B155" i="20"/>
  <c r="B211" i="20"/>
  <c r="B108" i="28"/>
  <c r="B122" i="28"/>
  <c r="B136" i="28"/>
  <c r="B150" i="28"/>
  <c r="B164" i="28"/>
  <c r="B318" i="28"/>
  <c r="B58" i="20"/>
  <c r="B100" i="20"/>
  <c r="B156" i="20"/>
  <c r="B212" i="20"/>
  <c r="B123" i="28"/>
  <c r="B137" i="28"/>
  <c r="B151" i="28"/>
  <c r="B165" i="28"/>
  <c r="B179" i="28"/>
  <c r="B45" i="20"/>
  <c r="B101" i="20"/>
  <c r="B157" i="20"/>
  <c r="B199" i="20"/>
  <c r="B12" i="28"/>
  <c r="B26" i="28"/>
  <c r="B40" i="28"/>
  <c r="B54" i="28"/>
  <c r="B208" i="28"/>
  <c r="B222" i="28"/>
  <c r="B236" i="28"/>
  <c r="B250" i="28"/>
  <c r="B264" i="28"/>
  <c r="B32" i="20"/>
  <c r="B74" i="20"/>
  <c r="B88" i="20"/>
  <c r="B130" i="20"/>
  <c r="B186" i="20"/>
  <c r="B228" i="20"/>
  <c r="B13" i="28"/>
  <c r="B27" i="28"/>
  <c r="B41" i="28"/>
  <c r="B55" i="28"/>
  <c r="B69" i="28"/>
  <c r="B223" i="28"/>
  <c r="B237" i="28"/>
  <c r="B251" i="28"/>
  <c r="B265" i="28"/>
  <c r="B279" i="28"/>
  <c r="B19" i="20"/>
  <c r="B33" i="20"/>
  <c r="B75" i="20"/>
  <c r="B131" i="20"/>
  <c r="B173" i="20"/>
  <c r="B187" i="20"/>
  <c r="B229" i="20"/>
  <c r="B28" i="28"/>
  <c r="B42" i="28"/>
  <c r="B56" i="28"/>
  <c r="B70" i="28"/>
  <c r="B84" i="28"/>
  <c r="B238" i="28"/>
  <c r="B252" i="28"/>
  <c r="B266" i="28"/>
  <c r="B280" i="28"/>
  <c r="B294" i="28"/>
  <c r="B20" i="20"/>
  <c r="B76" i="20"/>
  <c r="B118" i="20"/>
  <c r="B132" i="20"/>
  <c r="B174" i="20"/>
  <c r="B230" i="20"/>
  <c r="B43" i="28"/>
  <c r="B57" i="28"/>
  <c r="B71" i="28"/>
  <c r="B85" i="28"/>
  <c r="B99" i="28"/>
  <c r="B253" i="28"/>
  <c r="B267" i="28"/>
  <c r="B281" i="28"/>
  <c r="B295" i="28"/>
  <c r="B309" i="28"/>
  <c r="B21" i="20"/>
  <c r="B63" i="20"/>
  <c r="B77" i="20"/>
  <c r="B119" i="20"/>
  <c r="B175" i="20"/>
  <c r="B217" i="20"/>
  <c r="B231" i="20"/>
  <c r="B58" i="28"/>
  <c r="B72" i="28"/>
  <c r="B86" i="28"/>
  <c r="B100" i="28"/>
  <c r="B114" i="28"/>
  <c r="B268" i="28"/>
  <c r="B282" i="28"/>
  <c r="B296" i="28"/>
  <c r="B310" i="28"/>
  <c r="B8" i="20"/>
  <c r="B22" i="20"/>
  <c r="B64" i="20"/>
  <c r="B120" i="20"/>
  <c r="B162" i="20"/>
  <c r="B176" i="20"/>
  <c r="B218" i="20"/>
  <c r="B73" i="28"/>
  <c r="B87" i="28"/>
  <c r="B101" i="28"/>
  <c r="B115" i="28"/>
  <c r="B129" i="28"/>
  <c r="B283" i="28"/>
  <c r="B297" i="28"/>
  <c r="B311" i="28"/>
  <c r="B9" i="20"/>
  <c r="B65" i="20"/>
  <c r="B107" i="20"/>
  <c r="B121" i="20"/>
  <c r="B163" i="20"/>
  <c r="B219" i="20"/>
  <c r="B88" i="28"/>
  <c r="B102" i="28"/>
  <c r="B116" i="28"/>
  <c r="B130" i="28"/>
  <c r="B144" i="28"/>
  <c r="B298" i="28"/>
  <c r="B312" i="28"/>
  <c r="B10" i="20"/>
  <c r="B52" i="20"/>
  <c r="B66" i="20"/>
  <c r="B108" i="20"/>
  <c r="B164" i="20"/>
  <c r="B206" i="20"/>
  <c r="B220" i="20"/>
  <c r="B103" i="28"/>
  <c r="B117" i="28"/>
  <c r="B131" i="28"/>
  <c r="B145" i="28"/>
  <c r="B159" i="28"/>
  <c r="B313" i="28"/>
  <c r="B11" i="20"/>
  <c r="B53" i="20"/>
  <c r="B109" i="20"/>
  <c r="B151" i="20"/>
  <c r="B165" i="20"/>
  <c r="B207" i="20"/>
  <c r="B118" i="28"/>
  <c r="B132" i="28"/>
  <c r="B146" i="28"/>
  <c r="B160" i="28"/>
  <c r="B174" i="28"/>
  <c r="B54" i="20"/>
  <c r="B96" i="20"/>
  <c r="B110" i="20"/>
  <c r="B152" i="20"/>
  <c r="B208" i="20"/>
  <c r="B133" i="28"/>
  <c r="B147" i="28"/>
  <c r="B161" i="28"/>
  <c r="B175" i="28"/>
  <c r="B189" i="28"/>
  <c r="B41" i="20"/>
  <c r="B55" i="20"/>
  <c r="B97" i="20"/>
  <c r="B153" i="20"/>
  <c r="B195" i="20"/>
  <c r="B209" i="20"/>
  <c r="B148" i="28"/>
  <c r="B162" i="28"/>
  <c r="B176" i="28"/>
  <c r="B190" i="28"/>
  <c r="B204" i="28"/>
  <c r="B42" i="20"/>
  <c r="B98" i="20"/>
  <c r="B140" i="20"/>
  <c r="B154" i="20"/>
  <c r="B196" i="20"/>
  <c r="B9" i="28"/>
  <c r="B163" i="28"/>
  <c r="B177" i="28"/>
  <c r="B191" i="28"/>
  <c r="B205" i="28"/>
  <c r="B219" i="28"/>
  <c r="B43" i="20"/>
  <c r="B85" i="20"/>
  <c r="B99" i="20"/>
  <c r="B141" i="20"/>
  <c r="B197" i="20"/>
  <c r="B10" i="28"/>
  <c r="B24" i="28"/>
  <c r="B178" i="28"/>
  <c r="B192" i="28"/>
  <c r="B206" i="28"/>
  <c r="B220" i="28"/>
  <c r="B234" i="28"/>
  <c r="B30" i="20"/>
  <c r="B44" i="20"/>
  <c r="B86" i="20"/>
  <c r="B142" i="20"/>
  <c r="B184" i="20"/>
  <c r="B198" i="20"/>
  <c r="B11" i="28"/>
  <c r="B25" i="28"/>
  <c r="B39" i="28"/>
  <c r="B193" i="28"/>
  <c r="B207" i="28"/>
  <c r="B221" i="28"/>
  <c r="B235" i="28"/>
  <c r="B249" i="28"/>
  <c r="B31" i="20"/>
  <c r="B87" i="20"/>
  <c r="B129" i="20"/>
  <c r="B143" i="20"/>
  <c r="B185" i="20"/>
  <c r="B68" i="28"/>
  <c r="B82" i="28"/>
  <c r="B96" i="28"/>
  <c r="B110" i="28"/>
  <c r="B124" i="28"/>
  <c r="B278" i="28"/>
  <c r="B292" i="28"/>
  <c r="B306" i="28"/>
  <c r="B4" i="20"/>
  <c r="B18" i="20"/>
  <c r="B60" i="20"/>
  <c r="B116" i="20"/>
  <c r="B158" i="20"/>
  <c r="B172" i="20"/>
  <c r="B214" i="20"/>
  <c r="B83" i="28"/>
  <c r="B97" i="28"/>
  <c r="B111" i="28"/>
  <c r="B125" i="28"/>
  <c r="B139" i="28"/>
  <c r="B293" i="28"/>
  <c r="B307" i="28"/>
  <c r="B5" i="20"/>
  <c r="B61" i="20"/>
  <c r="B103" i="20"/>
  <c r="B117" i="20"/>
  <c r="B159" i="20"/>
  <c r="B215" i="20"/>
  <c r="B98" i="28"/>
  <c r="B112" i="28"/>
  <c r="B126" i="28"/>
  <c r="B140" i="28"/>
  <c r="B154" i="28"/>
  <c r="B308" i="28"/>
  <c r="B6" i="20"/>
  <c r="B48" i="20"/>
  <c r="B62" i="20"/>
  <c r="B104" i="20"/>
  <c r="B160" i="20"/>
  <c r="B202" i="20"/>
  <c r="B216" i="20"/>
  <c r="B113" i="28"/>
  <c r="B127" i="28"/>
  <c r="B141" i="28"/>
  <c r="B155" i="28"/>
  <c r="B169" i="28"/>
  <c r="B7" i="20"/>
  <c r="B49" i="20"/>
  <c r="B105" i="20"/>
  <c r="B147" i="20"/>
  <c r="B161" i="20"/>
  <c r="B203" i="20"/>
  <c r="B128" i="28"/>
  <c r="B142" i="28"/>
  <c r="B156" i="28"/>
  <c r="B170" i="28"/>
  <c r="B184" i="28"/>
  <c r="B50" i="20"/>
  <c r="B92" i="20"/>
  <c r="B106" i="20"/>
  <c r="B148" i="20"/>
  <c r="B204" i="20"/>
  <c r="B143" i="28"/>
  <c r="B157" i="28"/>
  <c r="B171" i="28"/>
  <c r="B185" i="28"/>
  <c r="B199" i="28"/>
  <c r="B37" i="20"/>
  <c r="B51" i="20"/>
  <c r="B93" i="20"/>
  <c r="B149" i="20"/>
  <c r="B191" i="20"/>
  <c r="B205" i="20"/>
  <c r="B4" i="28"/>
  <c r="B158" i="28"/>
  <c r="B172" i="28"/>
  <c r="B186" i="28"/>
  <c r="B200" i="28"/>
  <c r="B214" i="28"/>
  <c r="B38" i="20"/>
  <c r="B94" i="20"/>
  <c r="B136" i="20"/>
  <c r="B150" i="20"/>
  <c r="B192" i="20"/>
  <c r="B5" i="28"/>
  <c r="B19" i="28"/>
  <c r="B173" i="28"/>
  <c r="B187" i="28"/>
  <c r="B201" i="28"/>
  <c r="B215" i="28"/>
  <c r="B229" i="28"/>
  <c r="B39" i="20"/>
  <c r="B81" i="20"/>
  <c r="B95" i="20"/>
  <c r="B137" i="20"/>
  <c r="B193" i="20"/>
  <c r="B6" i="28"/>
  <c r="B20" i="28"/>
  <c r="B34" i="28"/>
  <c r="B188" i="28"/>
  <c r="B202" i="28"/>
  <c r="B216" i="28"/>
  <c r="B230" i="28"/>
  <c r="B244" i="28"/>
  <c r="B26" i="20"/>
  <c r="B40" i="20"/>
  <c r="B82" i="20"/>
  <c r="B138" i="20"/>
  <c r="B180" i="20"/>
  <c r="B194" i="20"/>
  <c r="B7" i="28"/>
  <c r="B21" i="28"/>
  <c r="B35" i="28"/>
  <c r="B49" i="28"/>
  <c r="B203" i="28"/>
  <c r="B217" i="28"/>
  <c r="B231" i="28"/>
  <c r="B245" i="28"/>
  <c r="B259" i="28"/>
  <c r="B27" i="20"/>
  <c r="B83" i="20"/>
  <c r="B125" i="20"/>
  <c r="B139" i="20"/>
  <c r="B181" i="20"/>
  <c r="B8" i="28"/>
  <c r="B22" i="28"/>
  <c r="B36" i="28"/>
  <c r="B50" i="28"/>
  <c r="B64" i="28"/>
  <c r="B218" i="28"/>
  <c r="B232" i="28"/>
  <c r="B246" i="28"/>
  <c r="B260" i="28"/>
  <c r="B274" i="28"/>
  <c r="B28" i="20"/>
  <c r="B70" i="20"/>
  <c r="B84" i="20"/>
  <c r="B126" i="20"/>
  <c r="B182" i="20"/>
  <c r="B224" i="20"/>
  <c r="B23" i="28"/>
  <c r="B37" i="28"/>
  <c r="B51" i="28"/>
  <c r="B65" i="28"/>
  <c r="B79" i="28"/>
  <c r="B233" i="28"/>
  <c r="B247" i="28"/>
  <c r="B261" i="28"/>
  <c r="B275" i="28"/>
  <c r="B289" i="28"/>
  <c r="B15" i="20"/>
  <c r="B29" i="20"/>
  <c r="B71" i="20"/>
  <c r="B127" i="20"/>
  <c r="B169" i="20"/>
  <c r="B183" i="20"/>
  <c r="B225" i="20"/>
  <c r="B38" i="28"/>
  <c r="B52" i="28"/>
  <c r="B66" i="28"/>
  <c r="B80" i="28"/>
  <c r="B94" i="28"/>
  <c r="B248" i="28"/>
  <c r="B262" i="28"/>
  <c r="B276" i="28"/>
  <c r="B290" i="28"/>
  <c r="B304" i="28"/>
  <c r="B16" i="20"/>
  <c r="B72" i="20"/>
  <c r="B114" i="20"/>
  <c r="B128" i="20"/>
  <c r="B170" i="20"/>
  <c r="B226" i="20"/>
  <c r="B53" i="28"/>
  <c r="B67" i="28"/>
  <c r="B81" i="28"/>
  <c r="B95" i="28"/>
  <c r="B109" i="28"/>
  <c r="B263" i="28"/>
  <c r="B277" i="28"/>
  <c r="B291" i="28"/>
  <c r="B305" i="28"/>
  <c r="B17" i="20"/>
  <c r="B59" i="20"/>
  <c r="B73" i="20"/>
  <c r="B115" i="20"/>
  <c r="B171" i="20"/>
  <c r="B213" i="20"/>
  <c r="B227" i="20"/>
  <c r="B18" i="3"/>
  <c r="B60" i="3"/>
  <c r="B33" i="3"/>
  <c r="B6" i="3"/>
  <c r="B48" i="3"/>
  <c r="B21" i="3"/>
  <c r="B63" i="3"/>
  <c r="B36" i="3"/>
  <c r="B9" i="3"/>
  <c r="B51" i="3"/>
  <c r="B24" i="3"/>
  <c r="B39" i="3"/>
  <c r="B12" i="3"/>
  <c r="B54" i="3"/>
  <c r="B27" i="3"/>
  <c r="B42" i="3"/>
  <c r="B15" i="3"/>
  <c r="B57" i="3"/>
  <c r="B30" i="3"/>
  <c r="B45" i="3"/>
  <c r="B32" i="3"/>
  <c r="B5" i="3"/>
  <c r="B47" i="3"/>
  <c r="B20" i="3"/>
  <c r="B62" i="3"/>
  <c r="B35" i="3"/>
  <c r="B8" i="3"/>
  <c r="B50" i="3"/>
  <c r="B23" i="3"/>
  <c r="B38" i="3"/>
  <c r="B11" i="3"/>
  <c r="B53" i="3"/>
  <c r="B26" i="3"/>
  <c r="B41" i="3"/>
  <c r="B14" i="3"/>
  <c r="B56" i="3"/>
  <c r="B29" i="3"/>
  <c r="B44" i="3"/>
  <c r="B17" i="3"/>
  <c r="B59" i="3"/>
  <c r="B4" i="3"/>
  <c r="B46" i="3"/>
  <c r="B19" i="3"/>
  <c r="B61" i="3"/>
  <c r="B34" i="3"/>
  <c r="B7" i="3"/>
  <c r="B49" i="3"/>
  <c r="B22" i="3"/>
  <c r="B37" i="3"/>
  <c r="B10" i="3"/>
  <c r="B52" i="3"/>
  <c r="B25" i="3"/>
  <c r="B40" i="3"/>
  <c r="B13" i="3"/>
  <c r="B55" i="3"/>
  <c r="B28" i="3"/>
  <c r="B43" i="3"/>
  <c r="B16" i="3"/>
  <c r="B58" i="3"/>
  <c r="B31" i="3"/>
  <c r="B64" i="15"/>
  <c r="B92" i="15"/>
  <c r="B120" i="15"/>
  <c r="B10" i="15"/>
  <c r="B38" i="15"/>
  <c r="B66" i="15"/>
  <c r="B136" i="15"/>
  <c r="B164" i="15"/>
  <c r="B11" i="15"/>
  <c r="B39" i="15"/>
  <c r="B109" i="15"/>
  <c r="B137" i="15"/>
  <c r="B165" i="15"/>
  <c r="B10" i="13"/>
  <c r="B12" i="15"/>
  <c r="B82" i="15"/>
  <c r="B110" i="15"/>
  <c r="B138" i="15"/>
  <c r="B11" i="13"/>
  <c r="B57" i="15"/>
  <c r="B75" i="15"/>
  <c r="B155" i="15"/>
  <c r="B173" i="15"/>
  <c r="B58" i="13"/>
  <c r="B114" i="13"/>
  <c r="B170" i="13"/>
  <c r="B21" i="11"/>
  <c r="B63" i="11"/>
  <c r="B105" i="11"/>
  <c r="B20" i="10"/>
  <c r="B62" i="10"/>
  <c r="B37" i="15"/>
  <c r="B156" i="15"/>
  <c r="B174" i="15"/>
  <c r="B59" i="13"/>
  <c r="B115" i="13"/>
  <c r="B171" i="13"/>
  <c r="B8" i="11"/>
  <c r="B50" i="11"/>
  <c r="B92" i="11"/>
  <c r="B21" i="10"/>
  <c r="B19" i="15"/>
  <c r="B74" i="13"/>
  <c r="B130" i="13"/>
  <c r="B17" i="12"/>
  <c r="B31" i="12"/>
  <c r="B45" i="12"/>
  <c r="B59" i="12"/>
  <c r="B73" i="12"/>
  <c r="B87" i="12"/>
  <c r="B101" i="12"/>
  <c r="B115" i="12"/>
  <c r="B129" i="12"/>
  <c r="B143" i="12"/>
  <c r="B9" i="11"/>
  <c r="B51" i="11"/>
  <c r="B93" i="11"/>
  <c r="B8" i="10"/>
  <c r="B20" i="15"/>
  <c r="B100" i="15"/>
  <c r="B118" i="15"/>
  <c r="B75" i="13"/>
  <c r="B131" i="13"/>
  <c r="B38" i="11"/>
  <c r="B80" i="11"/>
  <c r="B122" i="11"/>
  <c r="B9" i="10"/>
  <c r="B21" i="15"/>
  <c r="B83" i="15"/>
  <c r="B101" i="15"/>
  <c r="B119" i="15"/>
  <c r="B181" i="15"/>
  <c r="B90" i="13"/>
  <c r="B146" i="13"/>
  <c r="B183" i="15"/>
  <c r="B18" i="13"/>
  <c r="B35" i="13"/>
  <c r="B50" i="13"/>
  <c r="B106" i="13"/>
  <c r="B162" i="13"/>
  <c r="B27" i="11"/>
  <c r="B69" i="11"/>
  <c r="B111" i="11"/>
  <c r="B28" i="15"/>
  <c r="B46" i="15"/>
  <c r="B65" i="15"/>
  <c r="B163" i="15"/>
  <c r="B19" i="13"/>
  <c r="B51" i="13"/>
  <c r="B107" i="13"/>
  <c r="B163" i="13"/>
  <c r="B14" i="11"/>
  <c r="B56" i="11"/>
  <c r="B98" i="11"/>
  <c r="B102" i="15"/>
  <c r="B182" i="15"/>
  <c r="B34" i="13"/>
  <c r="B91" i="13"/>
  <c r="B147" i="13"/>
  <c r="B99" i="11"/>
  <c r="B123" i="11"/>
  <c r="B38" i="10"/>
  <c r="B68" i="10"/>
  <c r="B111" i="10"/>
  <c r="B57" i="19"/>
  <c r="B113" i="19"/>
  <c r="B155" i="19"/>
  <c r="B211" i="19"/>
  <c r="B22" i="18"/>
  <c r="B92" i="18"/>
  <c r="B162" i="18"/>
  <c r="B29" i="15"/>
  <c r="B145" i="15"/>
  <c r="B66" i="13"/>
  <c r="B122" i="13"/>
  <c r="B26" i="11"/>
  <c r="B74" i="11"/>
  <c r="B39" i="10"/>
  <c r="B69" i="10"/>
  <c r="B98" i="10"/>
  <c r="B58" i="19"/>
  <c r="B100" i="19"/>
  <c r="B156" i="19"/>
  <c r="B212" i="19"/>
  <c r="B23" i="18"/>
  <c r="B93" i="18"/>
  <c r="B163" i="18"/>
  <c r="B23" i="17"/>
  <c r="B30" i="15"/>
  <c r="B146" i="15"/>
  <c r="B67" i="13"/>
  <c r="B123" i="13"/>
  <c r="B10" i="12"/>
  <c r="B38" i="12"/>
  <c r="B66" i="12"/>
  <c r="B94" i="12"/>
  <c r="B122" i="12"/>
  <c r="B150" i="12"/>
  <c r="B75" i="11"/>
  <c r="B99" i="10"/>
  <c r="B45" i="19"/>
  <c r="B101" i="19"/>
  <c r="B157" i="19"/>
  <c r="B199" i="19"/>
  <c r="B52" i="18"/>
  <c r="B111" i="15"/>
  <c r="B147" i="15"/>
  <c r="B128" i="11"/>
  <c r="B56" i="10"/>
  <c r="B86" i="10"/>
  <c r="B46" i="19"/>
  <c r="B102" i="19"/>
  <c r="B144" i="19"/>
  <c r="B200" i="19"/>
  <c r="B53" i="18"/>
  <c r="B123" i="18"/>
  <c r="B193" i="18"/>
  <c r="B57" i="11"/>
  <c r="B81" i="11"/>
  <c r="B129" i="11"/>
  <c r="B57" i="10"/>
  <c r="B87" i="10"/>
  <c r="B47" i="19"/>
  <c r="B89" i="19"/>
  <c r="B145" i="19"/>
  <c r="B201" i="19"/>
  <c r="B12" i="18"/>
  <c r="B82" i="18"/>
  <c r="B152" i="18"/>
  <c r="B73" i="15"/>
  <c r="B42" i="13"/>
  <c r="B98" i="13"/>
  <c r="B154" i="13"/>
  <c r="B32" i="11"/>
  <c r="B104" i="11"/>
  <c r="B26" i="10"/>
  <c r="B116" i="10"/>
  <c r="B74" i="15"/>
  <c r="B154" i="15"/>
  <c r="B43" i="13"/>
  <c r="B99" i="13"/>
  <c r="B155" i="13"/>
  <c r="B33" i="11"/>
  <c r="B27" i="10"/>
  <c r="B44" i="10"/>
  <c r="B74" i="10"/>
  <c r="B117" i="10"/>
  <c r="B35" i="19"/>
  <c r="B91" i="19"/>
  <c r="B133" i="19"/>
  <c r="B189" i="19"/>
  <c r="B42" i="18"/>
  <c r="B112" i="18"/>
  <c r="B182" i="18"/>
  <c r="B42" i="17"/>
  <c r="B84" i="15"/>
  <c r="B110" i="11"/>
  <c r="B68" i="19"/>
  <c r="B166" i="19"/>
  <c r="B33" i="18"/>
  <c r="B83" i="18"/>
  <c r="B103" i="18"/>
  <c r="B212" i="18"/>
  <c r="B52" i="17"/>
  <c r="B82" i="17"/>
  <c r="B152" i="17"/>
  <c r="B46" i="16"/>
  <c r="B74" i="16"/>
  <c r="B102" i="16"/>
  <c r="B172" i="16"/>
  <c r="B15" i="11"/>
  <c r="B23" i="19"/>
  <c r="B69" i="19"/>
  <c r="B146" i="19"/>
  <c r="B167" i="19"/>
  <c r="B13" i="18"/>
  <c r="B192" i="18"/>
  <c r="B213" i="18"/>
  <c r="B53" i="17"/>
  <c r="B83" i="17"/>
  <c r="B153" i="17"/>
  <c r="B19" i="16"/>
  <c r="B47" i="16"/>
  <c r="B75" i="16"/>
  <c r="B145" i="16"/>
  <c r="B173" i="16"/>
  <c r="B58" i="7"/>
  <c r="B24" i="4"/>
  <c r="B66" i="4"/>
  <c r="B52" i="12"/>
  <c r="B108" i="12"/>
  <c r="B62" i="11"/>
  <c r="B63" i="10"/>
  <c r="B92" i="10"/>
  <c r="B24" i="19"/>
  <c r="B122" i="19"/>
  <c r="B168" i="19"/>
  <c r="B172" i="18"/>
  <c r="B112" i="17"/>
  <c r="B182" i="17"/>
  <c r="B20" i="16"/>
  <c r="B48" i="16"/>
  <c r="B118" i="16"/>
  <c r="B146" i="16"/>
  <c r="B174" i="16"/>
  <c r="B73" i="7"/>
  <c r="B39" i="4"/>
  <c r="B93" i="10"/>
  <c r="B25" i="19"/>
  <c r="B123" i="19"/>
  <c r="B221" i="19"/>
  <c r="B62" i="18"/>
  <c r="B153" i="18"/>
  <c r="B173" i="18"/>
  <c r="B22" i="17"/>
  <c r="B113" i="17"/>
  <c r="B183" i="17"/>
  <c r="B21" i="16"/>
  <c r="B91" i="16"/>
  <c r="B119" i="16"/>
  <c r="B147" i="16"/>
  <c r="B18" i="7"/>
  <c r="B88" i="7"/>
  <c r="B12" i="4"/>
  <c r="B54" i="4"/>
  <c r="B68" i="11"/>
  <c r="B116" i="11"/>
  <c r="B32" i="10"/>
  <c r="B122" i="10"/>
  <c r="B78" i="19"/>
  <c r="B124" i="19"/>
  <c r="B222" i="19"/>
  <c r="B43" i="18"/>
  <c r="B63" i="18"/>
  <c r="B72" i="17"/>
  <c r="B142" i="17"/>
  <c r="B64" i="16"/>
  <c r="B92" i="16"/>
  <c r="B120" i="16"/>
  <c r="B33" i="7"/>
  <c r="B27" i="4"/>
  <c r="B93" i="15"/>
  <c r="B172" i="15"/>
  <c r="B20" i="11"/>
  <c r="B80" i="19"/>
  <c r="B178" i="19"/>
  <c r="B133" i="18"/>
  <c r="B43" i="17"/>
  <c r="B102" i="17"/>
  <c r="B172" i="17"/>
  <c r="B10" i="16"/>
  <c r="B38" i="16"/>
  <c r="B66" i="16"/>
  <c r="B136" i="16"/>
  <c r="B164" i="16"/>
  <c r="B63" i="7"/>
  <c r="B15" i="4"/>
  <c r="B57" i="4"/>
  <c r="B86" i="11"/>
  <c r="B45" i="10"/>
  <c r="B75" i="10"/>
  <c r="B104" i="10"/>
  <c r="B34" i="19"/>
  <c r="B179" i="19"/>
  <c r="B72" i="18"/>
  <c r="B103" i="17"/>
  <c r="B173" i="17"/>
  <c r="B11" i="16"/>
  <c r="B39" i="16"/>
  <c r="B109" i="16"/>
  <c r="B137" i="16"/>
  <c r="B165" i="16"/>
  <c r="B8" i="7"/>
  <c r="B78" i="7"/>
  <c r="B117" i="11"/>
  <c r="B123" i="10"/>
  <c r="B113" i="18"/>
  <c r="B143" i="17"/>
  <c r="B37" i="16"/>
  <c r="B65" i="16"/>
  <c r="B93" i="16"/>
  <c r="B63" i="4"/>
  <c r="B47" i="15"/>
  <c r="B39" i="11"/>
  <c r="B56" i="19"/>
  <c r="B73" i="18"/>
  <c r="B202" i="18"/>
  <c r="B12" i="16"/>
  <c r="B83" i="7"/>
  <c r="B21" i="4"/>
  <c r="B45" i="4"/>
  <c r="B48" i="15"/>
  <c r="B80" i="12"/>
  <c r="B203" i="18"/>
  <c r="B62" i="17"/>
  <c r="B38" i="7"/>
  <c r="B138" i="13"/>
  <c r="B14" i="10"/>
  <c r="B63" i="17"/>
  <c r="B92" i="17"/>
  <c r="B154" i="16"/>
  <c r="B26" i="13"/>
  <c r="B139" i="13"/>
  <c r="B44" i="11"/>
  <c r="B15" i="10"/>
  <c r="B80" i="10"/>
  <c r="B12" i="19"/>
  <c r="B111" i="19"/>
  <c r="B32" i="17"/>
  <c r="B93" i="17"/>
  <c r="B127" i="16"/>
  <c r="B155" i="16"/>
  <c r="B48" i="4"/>
  <c r="B55" i="15"/>
  <c r="B27" i="13"/>
  <c r="B45" i="11"/>
  <c r="B81" i="10"/>
  <c r="B13" i="19"/>
  <c r="B112" i="19"/>
  <c r="B210" i="19"/>
  <c r="B122" i="18"/>
  <c r="B33" i="17"/>
  <c r="B122" i="17"/>
  <c r="B100" i="16"/>
  <c r="B128" i="16"/>
  <c r="B156" i="16"/>
  <c r="B13" i="7"/>
  <c r="B93" i="7"/>
  <c r="B6" i="4"/>
  <c r="B30" i="4"/>
  <c r="B56" i="15"/>
  <c r="B14" i="19"/>
  <c r="B67" i="19"/>
  <c r="B32" i="18"/>
  <c r="B123" i="17"/>
  <c r="B73" i="16"/>
  <c r="B101" i="16"/>
  <c r="B129" i="16"/>
  <c r="B68" i="7"/>
  <c r="B91" i="15"/>
  <c r="B33" i="10"/>
  <c r="B79" i="19"/>
  <c r="B177" i="19"/>
  <c r="B223" i="19"/>
  <c r="B132" i="18"/>
  <c r="B73" i="17"/>
  <c r="B163" i="16"/>
  <c r="B43" i="7"/>
  <c r="B51" i="4"/>
  <c r="B127" i="15"/>
  <c r="B87" i="11"/>
  <c r="B105" i="10"/>
  <c r="B36" i="19"/>
  <c r="B134" i="19"/>
  <c r="B232" i="19"/>
  <c r="B183" i="18"/>
  <c r="B12" i="17"/>
  <c r="B132" i="17"/>
  <c r="B82" i="16"/>
  <c r="B110" i="16"/>
  <c r="B138" i="16"/>
  <c r="B23" i="7"/>
  <c r="B48" i="7"/>
  <c r="B9" i="4"/>
  <c r="B33" i="4"/>
  <c r="B128" i="15"/>
  <c r="B24" i="12"/>
  <c r="B136" i="12"/>
  <c r="B135" i="19"/>
  <c r="B233" i="19"/>
  <c r="B13" i="17"/>
  <c r="B133" i="17"/>
  <c r="B55" i="16"/>
  <c r="B83" i="16"/>
  <c r="B111" i="16"/>
  <c r="B129" i="15"/>
  <c r="B82" i="13"/>
  <c r="B234" i="19"/>
  <c r="B142" i="18"/>
  <c r="B162" i="17"/>
  <c r="B28" i="16"/>
  <c r="B56" i="16"/>
  <c r="B84" i="16"/>
  <c r="B83" i="13"/>
  <c r="B50" i="10"/>
  <c r="B90" i="19"/>
  <c r="B188" i="19"/>
  <c r="B143" i="18"/>
  <c r="B163" i="17"/>
  <c r="B29" i="16"/>
  <c r="B57" i="16"/>
  <c r="B53" i="7"/>
  <c r="B36" i="4"/>
  <c r="B60" i="4"/>
  <c r="B51" i="10"/>
  <c r="B190" i="19"/>
  <c r="B192" i="17"/>
  <c r="B30" i="16"/>
  <c r="B18" i="4"/>
  <c r="B110" i="10"/>
  <c r="B102" i="18"/>
  <c r="B193" i="17"/>
  <c r="B28" i="7"/>
  <c r="B42" i="4"/>
  <c r="B8" i="15"/>
  <c r="B36" i="15"/>
  <c r="B106" i="15"/>
  <c r="B134" i="15"/>
  <c r="B162" i="15"/>
  <c r="B7" i="13"/>
  <c r="B52" i="15"/>
  <c r="B80" i="15"/>
  <c r="B108" i="15"/>
  <c r="B178" i="15"/>
  <c r="B9" i="13"/>
  <c r="B23" i="13"/>
  <c r="B25" i="15"/>
  <c r="B53" i="15"/>
  <c r="B81" i="15"/>
  <c r="B151" i="15"/>
  <c r="B179" i="15"/>
  <c r="B24" i="13"/>
  <c r="B26" i="15"/>
  <c r="B54" i="15"/>
  <c r="B124" i="15"/>
  <c r="B152" i="15"/>
  <c r="B180" i="15"/>
  <c r="B17" i="15"/>
  <c r="B35" i="15"/>
  <c r="B97" i="15"/>
  <c r="B115" i="15"/>
  <c r="B133" i="15"/>
  <c r="B72" i="13"/>
  <c r="B128" i="13"/>
  <c r="B15" i="12"/>
  <c r="B29" i="12"/>
  <c r="B43" i="12"/>
  <c r="B57" i="12"/>
  <c r="B71" i="12"/>
  <c r="B85" i="12"/>
  <c r="B99" i="12"/>
  <c r="B113" i="12"/>
  <c r="B127" i="12"/>
  <c r="B141" i="12"/>
  <c r="B7" i="11"/>
  <c r="B49" i="11"/>
  <c r="B91" i="11"/>
  <c r="B6" i="10"/>
  <c r="B48" i="10"/>
  <c r="B18" i="15"/>
  <c r="B98" i="15"/>
  <c r="B116" i="15"/>
  <c r="B135" i="15"/>
  <c r="B73" i="13"/>
  <c r="B87" i="13"/>
  <c r="B129" i="13"/>
  <c r="B143" i="13"/>
  <c r="B16" i="12"/>
  <c r="B30" i="12"/>
  <c r="B44" i="12"/>
  <c r="B58" i="12"/>
  <c r="B72" i="12"/>
  <c r="B86" i="12"/>
  <c r="B100" i="12"/>
  <c r="B114" i="12"/>
  <c r="B128" i="12"/>
  <c r="B142" i="12"/>
  <c r="B36" i="11"/>
  <c r="B78" i="11"/>
  <c r="B120" i="11"/>
  <c r="B7" i="10"/>
  <c r="B99" i="15"/>
  <c r="B117" i="15"/>
  <c r="B31" i="13"/>
  <c r="B88" i="13"/>
  <c r="B144" i="13"/>
  <c r="B37" i="11"/>
  <c r="B79" i="11"/>
  <c r="B121" i="11"/>
  <c r="B79" i="15"/>
  <c r="B15" i="13"/>
  <c r="B32" i="13"/>
  <c r="B47" i="13"/>
  <c r="B89" i="13"/>
  <c r="B103" i="13"/>
  <c r="B145" i="13"/>
  <c r="B159" i="13"/>
  <c r="B24" i="11"/>
  <c r="B66" i="11"/>
  <c r="B108" i="11"/>
  <c r="B37" i="10"/>
  <c r="B43" i="15"/>
  <c r="B61" i="15"/>
  <c r="B16" i="13"/>
  <c r="B33" i="13"/>
  <c r="B48" i="13"/>
  <c r="B104" i="13"/>
  <c r="B160" i="13"/>
  <c r="B27" i="15"/>
  <c r="B45" i="15"/>
  <c r="B63" i="15"/>
  <c r="B125" i="15"/>
  <c r="B143" i="15"/>
  <c r="B161" i="15"/>
  <c r="B64" i="13"/>
  <c r="B120" i="13"/>
  <c r="B7" i="12"/>
  <c r="B21" i="12"/>
  <c r="B35" i="12"/>
  <c r="B49" i="12"/>
  <c r="B63" i="12"/>
  <c r="B77" i="12"/>
  <c r="B91" i="12"/>
  <c r="B105" i="12"/>
  <c r="B119" i="12"/>
  <c r="B133" i="12"/>
  <c r="B147" i="12"/>
  <c r="B13" i="11"/>
  <c r="B55" i="11"/>
  <c r="B97" i="11"/>
  <c r="B12" i="10"/>
  <c r="B126" i="15"/>
  <c r="B144" i="15"/>
  <c r="B65" i="13"/>
  <c r="B79" i="13"/>
  <c r="B121" i="13"/>
  <c r="B135" i="13"/>
  <c r="B8" i="12"/>
  <c r="B22" i="12"/>
  <c r="B36" i="12"/>
  <c r="B50" i="12"/>
  <c r="B64" i="12"/>
  <c r="B78" i="12"/>
  <c r="B92" i="12"/>
  <c r="B106" i="12"/>
  <c r="B120" i="12"/>
  <c r="B134" i="12"/>
  <c r="B148" i="12"/>
  <c r="B42" i="11"/>
  <c r="B84" i="11"/>
  <c r="B126" i="11"/>
  <c r="B13" i="10"/>
  <c r="B62" i="15"/>
  <c r="B142" i="15"/>
  <c r="B63" i="13"/>
  <c r="B119" i="13"/>
  <c r="B25" i="11"/>
  <c r="B73" i="11"/>
  <c r="B18" i="10"/>
  <c r="B97" i="10"/>
  <c r="B43" i="19"/>
  <c r="B85" i="19"/>
  <c r="B99" i="19"/>
  <c r="B141" i="19"/>
  <c r="B197" i="19"/>
  <c r="B8" i="18"/>
  <c r="B50" i="18"/>
  <c r="B78" i="18"/>
  <c r="B120" i="18"/>
  <c r="B148" i="18"/>
  <c r="B190" i="18"/>
  <c r="B8" i="17"/>
  <c r="B9" i="12"/>
  <c r="B37" i="12"/>
  <c r="B65" i="12"/>
  <c r="B93" i="12"/>
  <c r="B121" i="12"/>
  <c r="B149" i="12"/>
  <c r="B48" i="11"/>
  <c r="B19" i="10"/>
  <c r="B54" i="10"/>
  <c r="B84" i="10"/>
  <c r="B126" i="10"/>
  <c r="B30" i="19"/>
  <c r="B44" i="19"/>
  <c r="B86" i="19"/>
  <c r="B142" i="19"/>
  <c r="B184" i="19"/>
  <c r="B198" i="19"/>
  <c r="B9" i="18"/>
  <c r="B51" i="18"/>
  <c r="B79" i="18"/>
  <c r="B121" i="18"/>
  <c r="B149" i="18"/>
  <c r="B191" i="18"/>
  <c r="B9" i="17"/>
  <c r="B51" i="17"/>
  <c r="B70" i="15"/>
  <c r="B107" i="15"/>
  <c r="B39" i="13"/>
  <c r="B95" i="13"/>
  <c r="B151" i="13"/>
  <c r="B127" i="11"/>
  <c r="B55" i="10"/>
  <c r="B85" i="10"/>
  <c r="B31" i="19"/>
  <c r="B87" i="19"/>
  <c r="B129" i="19"/>
  <c r="B143" i="19"/>
  <c r="B185" i="19"/>
  <c r="B10" i="18"/>
  <c r="B38" i="18"/>
  <c r="B71" i="15"/>
  <c r="B40" i="13"/>
  <c r="B96" i="13"/>
  <c r="B152" i="13"/>
  <c r="B30" i="11"/>
  <c r="B54" i="11"/>
  <c r="B102" i="11"/>
  <c r="B24" i="10"/>
  <c r="B114" i="10"/>
  <c r="B32" i="19"/>
  <c r="B74" i="19"/>
  <c r="B88" i="19"/>
  <c r="B130" i="19"/>
  <c r="B186" i="19"/>
  <c r="B228" i="19"/>
  <c r="B11" i="18"/>
  <c r="B39" i="18"/>
  <c r="B81" i="18"/>
  <c r="B109" i="18"/>
  <c r="B151" i="18"/>
  <c r="B179" i="18"/>
  <c r="B72" i="15"/>
  <c r="B41" i="13"/>
  <c r="B97" i="13"/>
  <c r="B153" i="13"/>
  <c r="B31" i="11"/>
  <c r="B103" i="11"/>
  <c r="B25" i="10"/>
  <c r="B42" i="10"/>
  <c r="B72" i="10"/>
  <c r="B115" i="10"/>
  <c r="B19" i="19"/>
  <c r="B33" i="19"/>
  <c r="B75" i="19"/>
  <c r="B131" i="19"/>
  <c r="B173" i="19"/>
  <c r="B187" i="19"/>
  <c r="B229" i="19"/>
  <c r="B40" i="18"/>
  <c r="B68" i="18"/>
  <c r="B110" i="18"/>
  <c r="B138" i="18"/>
  <c r="B180" i="18"/>
  <c r="B208" i="18"/>
  <c r="B153" i="15"/>
  <c r="B43" i="10"/>
  <c r="B73" i="10"/>
  <c r="B102" i="10"/>
  <c r="B20" i="19"/>
  <c r="B34" i="15"/>
  <c r="B8" i="13"/>
  <c r="B71" i="13"/>
  <c r="B127" i="13"/>
  <c r="B14" i="12"/>
  <c r="B42" i="12"/>
  <c r="B70" i="12"/>
  <c r="B98" i="12"/>
  <c r="B126" i="12"/>
  <c r="B6" i="11"/>
  <c r="B85" i="11"/>
  <c r="B109" i="11"/>
  <c r="B103" i="10"/>
  <c r="B21" i="19"/>
  <c r="B63" i="19"/>
  <c r="B77" i="19"/>
  <c r="B119" i="19"/>
  <c r="B175" i="19"/>
  <c r="B217" i="19"/>
  <c r="B231" i="19"/>
  <c r="B28" i="18"/>
  <c r="B70" i="18"/>
  <c r="B98" i="18"/>
  <c r="B140" i="18"/>
  <c r="B168" i="18"/>
  <c r="B210" i="18"/>
  <c r="B28" i="17"/>
  <c r="B160" i="15"/>
  <c r="B49" i="13"/>
  <c r="B105" i="13"/>
  <c r="B161" i="13"/>
  <c r="B12" i="11"/>
  <c r="B60" i="11"/>
  <c r="B60" i="10"/>
  <c r="B90" i="10"/>
  <c r="B22" i="19"/>
  <c r="B42" i="19"/>
  <c r="B120" i="19"/>
  <c r="B140" i="19"/>
  <c r="B218" i="19"/>
  <c r="B59" i="18"/>
  <c r="B170" i="18"/>
  <c r="B189" i="18"/>
  <c r="B19" i="17"/>
  <c r="B68" i="17"/>
  <c r="B110" i="17"/>
  <c r="B138" i="17"/>
  <c r="B180" i="17"/>
  <c r="B18" i="16"/>
  <c r="B88" i="16"/>
  <c r="B116" i="16"/>
  <c r="B144" i="16"/>
  <c r="B7" i="15"/>
  <c r="B51" i="12"/>
  <c r="B107" i="12"/>
  <c r="B61" i="11"/>
  <c r="B61" i="10"/>
  <c r="B91" i="10"/>
  <c r="B121" i="19"/>
  <c r="B219" i="19"/>
  <c r="B60" i="18"/>
  <c r="B128" i="18"/>
  <c r="B171" i="18"/>
  <c r="B20" i="17"/>
  <c r="B69" i="17"/>
  <c r="B111" i="17"/>
  <c r="B139" i="17"/>
  <c r="B181" i="17"/>
  <c r="B61" i="16"/>
  <c r="B89" i="16"/>
  <c r="B117" i="16"/>
  <c r="B16" i="7"/>
  <c r="B72" i="7"/>
  <c r="B86" i="7"/>
  <c r="B10" i="5"/>
  <c r="B38" i="5"/>
  <c r="B66" i="5"/>
  <c r="B38" i="4"/>
  <c r="B9" i="15"/>
  <c r="B88" i="15"/>
  <c r="B114" i="11"/>
  <c r="B30" i="10"/>
  <c r="B120" i="10"/>
  <c r="B96" i="19"/>
  <c r="B220" i="19"/>
  <c r="B61" i="18"/>
  <c r="B129" i="18"/>
  <c r="B150" i="18"/>
  <c r="B21" i="17"/>
  <c r="B38" i="17"/>
  <c r="B70" i="17"/>
  <c r="B98" i="17"/>
  <c r="B140" i="17"/>
  <c r="B168" i="17"/>
  <c r="B34" i="16"/>
  <c r="B62" i="16"/>
  <c r="B90" i="16"/>
  <c r="B160" i="16"/>
  <c r="B17" i="7"/>
  <c r="B31" i="7"/>
  <c r="B87" i="7"/>
  <c r="B11" i="5"/>
  <c r="B39" i="5"/>
  <c r="B67" i="5"/>
  <c r="B11" i="4"/>
  <c r="B53" i="4"/>
  <c r="B89" i="15"/>
  <c r="B169" i="15"/>
  <c r="B67" i="11"/>
  <c r="B115" i="11"/>
  <c r="B31" i="10"/>
  <c r="B121" i="10"/>
  <c r="B76" i="19"/>
  <c r="B97" i="19"/>
  <c r="B174" i="19"/>
  <c r="B195" i="19"/>
  <c r="B41" i="18"/>
  <c r="B108" i="18"/>
  <c r="B130" i="18"/>
  <c r="B39" i="17"/>
  <c r="B71" i="17"/>
  <c r="B99" i="17"/>
  <c r="B141" i="17"/>
  <c r="B169" i="17"/>
  <c r="B7" i="16"/>
  <c r="B35" i="16"/>
  <c r="B63" i="16"/>
  <c r="B133" i="16"/>
  <c r="B161" i="16"/>
  <c r="B32" i="7"/>
  <c r="B46" i="7"/>
  <c r="B26" i="5"/>
  <c r="B54" i="5"/>
  <c r="B82" i="5"/>
  <c r="B26" i="4"/>
  <c r="B90" i="15"/>
  <c r="B170" i="15"/>
  <c r="B55" i="13"/>
  <c r="B111" i="13"/>
  <c r="B167" i="13"/>
  <c r="B18" i="11"/>
  <c r="B52" i="19"/>
  <c r="B98" i="19"/>
  <c r="B176" i="19"/>
  <c r="B196" i="19"/>
  <c r="B88" i="18"/>
  <c r="B111" i="18"/>
  <c r="B131" i="18"/>
  <c r="B198" i="18"/>
  <c r="B40" i="17"/>
  <c r="B100" i="17"/>
  <c r="B128" i="17"/>
  <c r="B170" i="17"/>
  <c r="B8" i="16"/>
  <c r="B36" i="16"/>
  <c r="B106" i="16"/>
  <c r="B134" i="16"/>
  <c r="B162" i="16"/>
  <c r="B47" i="7"/>
  <c r="B61" i="7"/>
  <c r="B27" i="5"/>
  <c r="B55" i="5"/>
  <c r="B83" i="5"/>
  <c r="B41" i="4"/>
  <c r="B16" i="15"/>
  <c r="B57" i="13"/>
  <c r="B113" i="13"/>
  <c r="B169" i="13"/>
  <c r="B56" i="12"/>
  <c r="B112" i="12"/>
  <c r="B72" i="11"/>
  <c r="B36" i="10"/>
  <c r="B67" i="10"/>
  <c r="B96" i="10"/>
  <c r="B54" i="19"/>
  <c r="B152" i="19"/>
  <c r="B19" i="18"/>
  <c r="B71" i="18"/>
  <c r="B90" i="18"/>
  <c r="B178" i="18"/>
  <c r="B200" i="18"/>
  <c r="B10" i="17"/>
  <c r="B59" i="17"/>
  <c r="B88" i="17"/>
  <c r="B130" i="17"/>
  <c r="B158" i="17"/>
  <c r="B52" i="16"/>
  <c r="B80" i="16"/>
  <c r="B108" i="16"/>
  <c r="B7" i="7"/>
  <c r="B21" i="7"/>
  <c r="B77" i="7"/>
  <c r="B91" i="7"/>
  <c r="B15" i="5"/>
  <c r="B43" i="5"/>
  <c r="B71" i="5"/>
  <c r="B29" i="4"/>
  <c r="B44" i="15"/>
  <c r="B17" i="13"/>
  <c r="B8" i="19"/>
  <c r="B55" i="19"/>
  <c r="B107" i="19"/>
  <c r="B132" i="19"/>
  <c r="B153" i="19"/>
  <c r="B230" i="19"/>
  <c r="B20" i="18"/>
  <c r="B91" i="18"/>
  <c r="B158" i="18"/>
  <c r="B181" i="18"/>
  <c r="B201" i="18"/>
  <c r="B11" i="17"/>
  <c r="B60" i="17"/>
  <c r="B89" i="17"/>
  <c r="B131" i="17"/>
  <c r="B159" i="17"/>
  <c r="B25" i="16"/>
  <c r="B53" i="16"/>
  <c r="B81" i="16"/>
  <c r="B151" i="16"/>
  <c r="B22" i="7"/>
  <c r="B36" i="7"/>
  <c r="B92" i="7"/>
  <c r="B171" i="15"/>
  <c r="B112" i="13"/>
  <c r="B19" i="11"/>
  <c r="B66" i="10"/>
  <c r="B53" i="19"/>
  <c r="B151" i="19"/>
  <c r="B18" i="18"/>
  <c r="B69" i="18"/>
  <c r="B199" i="18"/>
  <c r="B58" i="17"/>
  <c r="B171" i="17"/>
  <c r="B9" i="16"/>
  <c r="B6" i="7"/>
  <c r="B56" i="7"/>
  <c r="B82" i="7"/>
  <c r="B18" i="5"/>
  <c r="B20" i="4"/>
  <c r="B44" i="4"/>
  <c r="B136" i="13"/>
  <c r="B79" i="12"/>
  <c r="B9" i="19"/>
  <c r="B108" i="19"/>
  <c r="B154" i="19"/>
  <c r="B206" i="19"/>
  <c r="B21" i="18"/>
  <c r="B159" i="18"/>
  <c r="B29" i="17"/>
  <c r="B61" i="17"/>
  <c r="B90" i="17"/>
  <c r="B118" i="17"/>
  <c r="B124" i="16"/>
  <c r="B152" i="16"/>
  <c r="B37" i="7"/>
  <c r="B57" i="7"/>
  <c r="B19" i="5"/>
  <c r="B42" i="5"/>
  <c r="B62" i="5"/>
  <c r="B86" i="5"/>
  <c r="B137" i="13"/>
  <c r="B78" i="10"/>
  <c r="B10" i="19"/>
  <c r="B109" i="19"/>
  <c r="B207" i="19"/>
  <c r="B160" i="18"/>
  <c r="B30" i="17"/>
  <c r="B91" i="17"/>
  <c r="B119" i="17"/>
  <c r="B97" i="16"/>
  <c r="B125" i="16"/>
  <c r="B153" i="16"/>
  <c r="B62" i="7"/>
  <c r="B63" i="5"/>
  <c r="B87" i="5"/>
  <c r="B65" i="4"/>
  <c r="B25" i="13"/>
  <c r="B43" i="11"/>
  <c r="B79" i="10"/>
  <c r="B11" i="19"/>
  <c r="B64" i="19"/>
  <c r="B110" i="19"/>
  <c r="B162" i="19"/>
  <c r="B208" i="19"/>
  <c r="B29" i="18"/>
  <c r="B118" i="18"/>
  <c r="B161" i="18"/>
  <c r="B31" i="17"/>
  <c r="B120" i="17"/>
  <c r="B148" i="17"/>
  <c r="B70" i="16"/>
  <c r="B98" i="16"/>
  <c r="B126" i="16"/>
  <c r="B11" i="7"/>
  <c r="B23" i="4"/>
  <c r="B47" i="4"/>
  <c r="B65" i="19"/>
  <c r="B163" i="19"/>
  <c r="B209" i="19"/>
  <c r="B30" i="18"/>
  <c r="B119" i="18"/>
  <c r="B121" i="17"/>
  <c r="B149" i="17"/>
  <c r="B43" i="16"/>
  <c r="B71" i="16"/>
  <c r="B99" i="16"/>
  <c r="B12" i="7"/>
  <c r="B66" i="7"/>
  <c r="B22" i="5"/>
  <c r="B46" i="5"/>
  <c r="B5" i="4"/>
  <c r="B66" i="19"/>
  <c r="B164" i="19"/>
  <c r="B31" i="18"/>
  <c r="B209" i="18"/>
  <c r="B150" i="17"/>
  <c r="B178" i="17"/>
  <c r="B16" i="16"/>
  <c r="B44" i="16"/>
  <c r="B72" i="16"/>
  <c r="B41" i="7"/>
  <c r="B67" i="7"/>
  <c r="B23" i="5"/>
  <c r="B47" i="5"/>
  <c r="B70" i="5"/>
  <c r="B84" i="12"/>
  <c r="B118" i="19"/>
  <c r="B165" i="19"/>
  <c r="B80" i="18"/>
  <c r="B169" i="18"/>
  <c r="B211" i="18"/>
  <c r="B151" i="17"/>
  <c r="B179" i="17"/>
  <c r="B17" i="16"/>
  <c r="B45" i="16"/>
  <c r="B42" i="7"/>
  <c r="B50" i="4"/>
  <c r="B56" i="13"/>
  <c r="B168" i="13"/>
  <c r="B89" i="18"/>
  <c r="B41" i="17"/>
  <c r="B101" i="17"/>
  <c r="B129" i="17"/>
  <c r="B79" i="16"/>
  <c r="B107" i="16"/>
  <c r="B135" i="16"/>
  <c r="B30" i="5"/>
  <c r="B8" i="4"/>
  <c r="B32" i="4"/>
  <c r="B80" i="13"/>
  <c r="B23" i="12"/>
  <c r="B135" i="12"/>
  <c r="B139" i="18"/>
  <c r="B160" i="17"/>
  <c r="B188" i="17"/>
  <c r="B26" i="16"/>
  <c r="B54" i="16"/>
  <c r="B6" i="5"/>
  <c r="B31" i="5"/>
  <c r="B50" i="5"/>
  <c r="B74" i="5"/>
  <c r="B56" i="4"/>
  <c r="B81" i="13"/>
  <c r="B48" i="18"/>
  <c r="B141" i="18"/>
  <c r="B161" i="17"/>
  <c r="B189" i="17"/>
  <c r="B27" i="16"/>
  <c r="B51" i="7"/>
  <c r="B71" i="7"/>
  <c r="B7" i="5"/>
  <c r="B51" i="5"/>
  <c r="B75" i="5"/>
  <c r="B14" i="4"/>
  <c r="B49" i="10"/>
  <c r="B49" i="18"/>
  <c r="B99" i="18"/>
  <c r="B78" i="17"/>
  <c r="B190" i="17"/>
  <c r="B52" i="7"/>
  <c r="B76" i="7"/>
  <c r="B35" i="4"/>
  <c r="B59" i="4"/>
  <c r="B90" i="11"/>
  <c r="B108" i="10"/>
  <c r="B100" i="18"/>
  <c r="B48" i="17"/>
  <c r="B79" i="17"/>
  <c r="B191" i="17"/>
  <c r="B169" i="16"/>
  <c r="B26" i="7"/>
  <c r="B34" i="5"/>
  <c r="B58" i="5"/>
  <c r="B17" i="4"/>
  <c r="B109" i="10"/>
  <c r="B101" i="18"/>
  <c r="B49" i="17"/>
  <c r="B80" i="17"/>
  <c r="B108" i="17"/>
  <c r="B142" i="16"/>
  <c r="B170" i="16"/>
  <c r="B27" i="7"/>
  <c r="B14" i="5"/>
  <c r="B35" i="5"/>
  <c r="B59" i="5"/>
  <c r="B78" i="5"/>
  <c r="B28" i="12"/>
  <c r="B140" i="12"/>
  <c r="B96" i="11"/>
  <c r="B41" i="19"/>
  <c r="B58" i="18"/>
  <c r="B188" i="18"/>
  <c r="B18" i="17"/>
  <c r="B50" i="17"/>
  <c r="B81" i="17"/>
  <c r="B109" i="17"/>
  <c r="B115" i="16"/>
  <c r="B143" i="16"/>
  <c r="B171" i="16"/>
  <c r="B81" i="7"/>
  <c r="B79" i="5"/>
  <c r="B62" i="4"/>
  <c r="B22" i="15"/>
  <c r="B50" i="15"/>
  <c r="B78" i="15"/>
  <c r="B148" i="15"/>
  <c r="B176" i="15"/>
  <c r="B21" i="13"/>
  <c r="B24" i="15"/>
  <c r="B94" i="15"/>
  <c r="B122" i="15"/>
  <c r="B150" i="15"/>
  <c r="B37" i="13"/>
  <c r="B67" i="15"/>
  <c r="B95" i="15"/>
  <c r="B123" i="15"/>
  <c r="B40" i="15"/>
  <c r="B68" i="15"/>
  <c r="B96" i="15"/>
  <c r="B166" i="15"/>
  <c r="B12" i="13"/>
  <c r="B29" i="13"/>
  <c r="B44" i="13"/>
  <c r="B86" i="13"/>
  <c r="B100" i="13"/>
  <c r="B142" i="13"/>
  <c r="B156" i="13"/>
  <c r="B35" i="11"/>
  <c r="B77" i="11"/>
  <c r="B119" i="11"/>
  <c r="B34" i="10"/>
  <c r="B76" i="10"/>
  <c r="B58" i="15"/>
  <c r="B76" i="15"/>
  <c r="B13" i="13"/>
  <c r="B30" i="13"/>
  <c r="B45" i="13"/>
  <c r="B101" i="13"/>
  <c r="B157" i="13"/>
  <c r="B22" i="11"/>
  <c r="B64" i="11"/>
  <c r="B106" i="11"/>
  <c r="B35" i="10"/>
  <c r="B41" i="15"/>
  <c r="B59" i="15"/>
  <c r="B77" i="15"/>
  <c r="B139" i="15"/>
  <c r="B157" i="15"/>
  <c r="B175" i="15"/>
  <c r="B14" i="13"/>
  <c r="B46" i="13"/>
  <c r="B60" i="13"/>
  <c r="B102" i="13"/>
  <c r="B116" i="13"/>
  <c r="B158" i="13"/>
  <c r="B172" i="13"/>
  <c r="B23" i="11"/>
  <c r="B65" i="11"/>
  <c r="B107" i="11"/>
  <c r="B42" i="15"/>
  <c r="B60" i="15"/>
  <c r="B140" i="15"/>
  <c r="B158" i="15"/>
  <c r="B177" i="15"/>
  <c r="B61" i="13"/>
  <c r="B117" i="13"/>
  <c r="B4" i="12"/>
  <c r="B18" i="12"/>
  <c r="B32" i="12"/>
  <c r="B46" i="12"/>
  <c r="B60" i="12"/>
  <c r="B74" i="12"/>
  <c r="B88" i="12"/>
  <c r="B102" i="12"/>
  <c r="B116" i="12"/>
  <c r="B130" i="12"/>
  <c r="B144" i="12"/>
  <c r="B10" i="11"/>
  <c r="B52" i="11"/>
  <c r="B94" i="11"/>
  <c r="B23" i="10"/>
  <c r="B141" i="15"/>
  <c r="B159" i="15"/>
  <c r="B62" i="13"/>
  <c r="B76" i="13"/>
  <c r="B118" i="13"/>
  <c r="B132" i="13"/>
  <c r="B5" i="12"/>
  <c r="B19" i="12"/>
  <c r="B33" i="12"/>
  <c r="B47" i="12"/>
  <c r="B61" i="12"/>
  <c r="B75" i="12"/>
  <c r="B89" i="12"/>
  <c r="B103" i="12"/>
  <c r="B117" i="12"/>
  <c r="B131" i="12"/>
  <c r="B145" i="12"/>
  <c r="B11" i="11"/>
  <c r="B5" i="15"/>
  <c r="B85" i="15"/>
  <c r="B103" i="15"/>
  <c r="B78" i="13"/>
  <c r="B92" i="13"/>
  <c r="B134" i="13"/>
  <c r="B148" i="13"/>
  <c r="B41" i="11"/>
  <c r="B83" i="11"/>
  <c r="B125" i="11"/>
  <c r="B6" i="15"/>
  <c r="B86" i="15"/>
  <c r="B104" i="15"/>
  <c r="B184" i="15"/>
  <c r="B36" i="13"/>
  <c r="B93" i="13"/>
  <c r="B149" i="13"/>
  <c r="B28" i="11"/>
  <c r="B70" i="11"/>
  <c r="B112" i="11"/>
  <c r="B23" i="15"/>
  <c r="B6" i="12"/>
  <c r="B34" i="12"/>
  <c r="B62" i="12"/>
  <c r="B90" i="12"/>
  <c r="B118" i="12"/>
  <c r="B146" i="12"/>
  <c r="B47" i="11"/>
  <c r="B53" i="10"/>
  <c r="B83" i="10"/>
  <c r="B125" i="10"/>
  <c r="B15" i="19"/>
  <c r="B29" i="19"/>
  <c r="B71" i="19"/>
  <c r="B127" i="19"/>
  <c r="B169" i="19"/>
  <c r="B183" i="19"/>
  <c r="B225" i="19"/>
  <c r="B36" i="18"/>
  <c r="B64" i="18"/>
  <c r="B106" i="18"/>
  <c r="B134" i="18"/>
  <c r="B176" i="18"/>
  <c r="B204" i="18"/>
  <c r="B69" i="15"/>
  <c r="B105" i="15"/>
  <c r="B185" i="15"/>
  <c r="B38" i="13"/>
  <c r="B94" i="13"/>
  <c r="B150" i="13"/>
  <c r="B100" i="11"/>
  <c r="B124" i="11"/>
  <c r="B112" i="10"/>
  <c r="B16" i="19"/>
  <c r="B72" i="19"/>
  <c r="B114" i="19"/>
  <c r="B128" i="19"/>
  <c r="B170" i="19"/>
  <c r="B226" i="19"/>
  <c r="B37" i="18"/>
  <c r="B65" i="18"/>
  <c r="B107" i="18"/>
  <c r="B135" i="18"/>
  <c r="B177" i="18"/>
  <c r="B205" i="18"/>
  <c r="B37" i="17"/>
  <c r="B65" i="17"/>
  <c r="B186" i="15"/>
  <c r="B29" i="11"/>
  <c r="B53" i="11"/>
  <c r="B101" i="11"/>
  <c r="B22" i="10"/>
  <c r="B40" i="10"/>
  <c r="B70" i="10"/>
  <c r="B113" i="10"/>
  <c r="B127" i="10"/>
  <c r="B17" i="19"/>
  <c r="B59" i="19"/>
  <c r="B73" i="19"/>
  <c r="B115" i="19"/>
  <c r="B171" i="19"/>
  <c r="B213" i="19"/>
  <c r="B227" i="19"/>
  <c r="B24" i="18"/>
  <c r="B66" i="18"/>
  <c r="B31" i="15"/>
  <c r="B4" i="13"/>
  <c r="B68" i="13"/>
  <c r="B124" i="13"/>
  <c r="B11" i="12"/>
  <c r="B39" i="12"/>
  <c r="B67" i="12"/>
  <c r="B95" i="12"/>
  <c r="B123" i="12"/>
  <c r="B151" i="12"/>
  <c r="B76" i="11"/>
  <c r="B41" i="10"/>
  <c r="B71" i="10"/>
  <c r="B100" i="10"/>
  <c r="B4" i="19"/>
  <c r="B18" i="19"/>
  <c r="B60" i="19"/>
  <c r="B116" i="19"/>
  <c r="B158" i="19"/>
  <c r="B172" i="19"/>
  <c r="B214" i="19"/>
  <c r="B25" i="18"/>
  <c r="B67" i="18"/>
  <c r="B95" i="18"/>
  <c r="B137" i="18"/>
  <c r="B165" i="18"/>
  <c r="B32" i="15"/>
  <c r="B112" i="15"/>
  <c r="B149" i="15"/>
  <c r="B5" i="13"/>
  <c r="B69" i="13"/>
  <c r="B125" i="13"/>
  <c r="B12" i="12"/>
  <c r="B40" i="12"/>
  <c r="B68" i="12"/>
  <c r="B96" i="12"/>
  <c r="B124" i="12"/>
  <c r="B4" i="11"/>
  <c r="B101" i="10"/>
  <c r="B5" i="19"/>
  <c r="B61" i="19"/>
  <c r="B103" i="19"/>
  <c r="B117" i="19"/>
  <c r="B159" i="19"/>
  <c r="B215" i="19"/>
  <c r="B26" i="18"/>
  <c r="B54" i="18"/>
  <c r="B96" i="18"/>
  <c r="B124" i="18"/>
  <c r="B166" i="18"/>
  <c r="B194" i="18"/>
  <c r="B33" i="15"/>
  <c r="B113" i="15"/>
  <c r="B6" i="13"/>
  <c r="B70" i="13"/>
  <c r="B126" i="13"/>
  <c r="B13" i="12"/>
  <c r="B41" i="12"/>
  <c r="B69" i="12"/>
  <c r="B97" i="12"/>
  <c r="B125" i="12"/>
  <c r="B5" i="11"/>
  <c r="B58" i="11"/>
  <c r="B82" i="11"/>
  <c r="B130" i="11"/>
  <c r="B58" i="10"/>
  <c r="B88" i="10"/>
  <c r="B6" i="19"/>
  <c r="B114" i="15"/>
  <c r="B59" i="11"/>
  <c r="B4" i="10"/>
  <c r="B59" i="10"/>
  <c r="B89" i="10"/>
  <c r="B7" i="19"/>
  <c r="B49" i="19"/>
  <c r="B105" i="19"/>
  <c r="B147" i="19"/>
  <c r="B161" i="19"/>
  <c r="B203" i="19"/>
  <c r="B14" i="18"/>
  <c r="B56" i="18"/>
  <c r="B84" i="18"/>
  <c r="B126" i="18"/>
  <c r="B154" i="18"/>
  <c r="B196" i="18"/>
  <c r="B14" i="17"/>
  <c r="B56" i="17"/>
  <c r="B4" i="15"/>
  <c r="B48" i="12"/>
  <c r="B104" i="12"/>
  <c r="B28" i="10"/>
  <c r="B118" i="10"/>
  <c r="B94" i="19"/>
  <c r="B192" i="19"/>
  <c r="B7" i="18"/>
  <c r="B127" i="18"/>
  <c r="B146" i="18"/>
  <c r="B35" i="17"/>
  <c r="B96" i="17"/>
  <c r="B124" i="17"/>
  <c r="B166" i="17"/>
  <c r="B4" i="16"/>
  <c r="B32" i="16"/>
  <c r="B60" i="16"/>
  <c r="B130" i="16"/>
  <c r="B158" i="16"/>
  <c r="B15" i="7"/>
  <c r="B29" i="7"/>
  <c r="B87" i="15"/>
  <c r="B167" i="15"/>
  <c r="B52" i="13"/>
  <c r="B108" i="13"/>
  <c r="B164" i="13"/>
  <c r="B113" i="11"/>
  <c r="B29" i="10"/>
  <c r="B119" i="10"/>
  <c r="B48" i="19"/>
  <c r="B95" i="19"/>
  <c r="B193" i="19"/>
  <c r="B34" i="18"/>
  <c r="B85" i="18"/>
  <c r="B104" i="18"/>
  <c r="B147" i="18"/>
  <c r="B36" i="17"/>
  <c r="B97" i="17"/>
  <c r="B125" i="17"/>
  <c r="B167" i="17"/>
  <c r="B5" i="16"/>
  <c r="B33" i="16"/>
  <c r="B103" i="16"/>
  <c r="B131" i="16"/>
  <c r="B159" i="16"/>
  <c r="B30" i="7"/>
  <c r="B44" i="7"/>
  <c r="B24" i="5"/>
  <c r="B52" i="5"/>
  <c r="B80" i="5"/>
  <c r="B10" i="4"/>
  <c r="B52" i="4"/>
  <c r="B168" i="15"/>
  <c r="B53" i="13"/>
  <c r="B109" i="13"/>
  <c r="B165" i="13"/>
  <c r="B16" i="11"/>
  <c r="B50" i="19"/>
  <c r="B70" i="19"/>
  <c r="B148" i="19"/>
  <c r="B194" i="19"/>
  <c r="B15" i="18"/>
  <c r="B35" i="18"/>
  <c r="B86" i="18"/>
  <c r="B105" i="18"/>
  <c r="B195" i="18"/>
  <c r="B4" i="17"/>
  <c r="B54" i="17"/>
  <c r="B84" i="17"/>
  <c r="B126" i="17"/>
  <c r="B154" i="17"/>
  <c r="B6" i="16"/>
  <c r="B76" i="16"/>
  <c r="B104" i="16"/>
  <c r="B132" i="16"/>
  <c r="B45" i="7"/>
  <c r="B59" i="7"/>
  <c r="B25" i="5"/>
  <c r="B53" i="5"/>
  <c r="B81" i="5"/>
  <c r="B25" i="4"/>
  <c r="B13" i="15"/>
  <c r="B54" i="13"/>
  <c r="B110" i="13"/>
  <c r="B166" i="13"/>
  <c r="B53" i="12"/>
  <c r="B109" i="12"/>
  <c r="B17" i="11"/>
  <c r="B64" i="10"/>
  <c r="B51" i="19"/>
  <c r="B149" i="19"/>
  <c r="B16" i="18"/>
  <c r="B87" i="18"/>
  <c r="B197" i="18"/>
  <c r="B5" i="17"/>
  <c r="B55" i="17"/>
  <c r="B85" i="17"/>
  <c r="B127" i="17"/>
  <c r="B155" i="17"/>
  <c r="B49" i="16"/>
  <c r="B77" i="16"/>
  <c r="B105" i="16"/>
  <c r="B4" i="7"/>
  <c r="B60" i="7"/>
  <c r="B74" i="7"/>
  <c r="B12" i="5"/>
  <c r="B40" i="5"/>
  <c r="B68" i="5"/>
  <c r="B40" i="4"/>
  <c r="B14" i="15"/>
  <c r="B54" i="12"/>
  <c r="B110" i="12"/>
  <c r="B65" i="10"/>
  <c r="B94" i="10"/>
  <c r="B26" i="19"/>
  <c r="B150" i="19"/>
  <c r="B17" i="18"/>
  <c r="B155" i="18"/>
  <c r="B174" i="18"/>
  <c r="B6" i="17"/>
  <c r="B24" i="17"/>
  <c r="B57" i="17"/>
  <c r="B86" i="17"/>
  <c r="B114" i="17"/>
  <c r="B156" i="17"/>
  <c r="B184" i="17"/>
  <c r="B22" i="16"/>
  <c r="B50" i="16"/>
  <c r="B78" i="16"/>
  <c r="B148" i="16"/>
  <c r="B5" i="7"/>
  <c r="B19" i="7"/>
  <c r="B75" i="7"/>
  <c r="B89" i="7"/>
  <c r="B13" i="5"/>
  <c r="B41" i="5"/>
  <c r="B69" i="5"/>
  <c r="B13" i="4"/>
  <c r="B55" i="4"/>
  <c r="B118" i="11"/>
  <c r="B124" i="10"/>
  <c r="B28" i="19"/>
  <c r="B106" i="19"/>
  <c r="B126" i="19"/>
  <c r="B204" i="19"/>
  <c r="B224" i="19"/>
  <c r="B45" i="18"/>
  <c r="B114" i="18"/>
  <c r="B157" i="18"/>
  <c r="B26" i="17"/>
  <c r="B74" i="17"/>
  <c r="B116" i="17"/>
  <c r="B144" i="17"/>
  <c r="B186" i="17"/>
  <c r="B24" i="16"/>
  <c r="B94" i="16"/>
  <c r="B122" i="16"/>
  <c r="B150" i="16"/>
  <c r="B35" i="7"/>
  <c r="B49" i="7"/>
  <c r="B29" i="5"/>
  <c r="B57" i="5"/>
  <c r="B85" i="5"/>
  <c r="B43" i="4"/>
  <c r="B121" i="15"/>
  <c r="B77" i="13"/>
  <c r="B133" i="13"/>
  <c r="B20" i="12"/>
  <c r="B76" i="12"/>
  <c r="B132" i="12"/>
  <c r="B34" i="11"/>
  <c r="B5" i="10"/>
  <c r="B81" i="19"/>
  <c r="B205" i="19"/>
  <c r="B46" i="18"/>
  <c r="B115" i="18"/>
  <c r="B136" i="18"/>
  <c r="B27" i="17"/>
  <c r="B44" i="17"/>
  <c r="B75" i="17"/>
  <c r="B117" i="17"/>
  <c r="B145" i="17"/>
  <c r="B187" i="17"/>
  <c r="B67" i="16"/>
  <c r="B95" i="16"/>
  <c r="B123" i="16"/>
  <c r="B50" i="7"/>
  <c r="B64" i="7"/>
  <c r="B16" i="5"/>
  <c r="B15" i="15"/>
  <c r="B55" i="12"/>
  <c r="B104" i="19"/>
  <c r="B202" i="19"/>
  <c r="B156" i="18"/>
  <c r="B25" i="17"/>
  <c r="B87" i="17"/>
  <c r="B115" i="17"/>
  <c r="B121" i="16"/>
  <c r="B149" i="16"/>
  <c r="B34" i="7"/>
  <c r="B37" i="5"/>
  <c r="B61" i="5"/>
  <c r="B84" i="5"/>
  <c r="B20" i="13"/>
  <c r="B10" i="10"/>
  <c r="B77" i="10"/>
  <c r="B116" i="18"/>
  <c r="B146" i="17"/>
  <c r="B174" i="17"/>
  <c r="B40" i="16"/>
  <c r="B68" i="16"/>
  <c r="B96" i="16"/>
  <c r="B9" i="7"/>
  <c r="B64" i="4"/>
  <c r="B22" i="13"/>
  <c r="B40" i="11"/>
  <c r="B11" i="10"/>
  <c r="B62" i="19"/>
  <c r="B160" i="19"/>
  <c r="B27" i="18"/>
  <c r="B74" i="18"/>
  <c r="B117" i="18"/>
  <c r="B147" i="17"/>
  <c r="B175" i="17"/>
  <c r="B13" i="16"/>
  <c r="B41" i="16"/>
  <c r="B69" i="16"/>
  <c r="B10" i="7"/>
  <c r="B84" i="7"/>
  <c r="B20" i="5"/>
  <c r="B44" i="5"/>
  <c r="B22" i="4"/>
  <c r="B46" i="4"/>
  <c r="B49" i="15"/>
  <c r="B81" i="12"/>
  <c r="B75" i="18"/>
  <c r="B206" i="18"/>
  <c r="B176" i="17"/>
  <c r="B14" i="16"/>
  <c r="B42" i="16"/>
  <c r="B39" i="7"/>
  <c r="B65" i="7"/>
  <c r="B85" i="7"/>
  <c r="B21" i="5"/>
  <c r="B45" i="5"/>
  <c r="B64" i="5"/>
  <c r="B4" i="4"/>
  <c r="B51" i="15"/>
  <c r="B82" i="12"/>
  <c r="B76" i="18"/>
  <c r="B164" i="18"/>
  <c r="B207" i="18"/>
  <c r="B64" i="17"/>
  <c r="B177" i="17"/>
  <c r="B15" i="16"/>
  <c r="B40" i="7"/>
  <c r="B90" i="7"/>
  <c r="B65" i="5"/>
  <c r="B28" i="4"/>
  <c r="B140" i="13"/>
  <c r="B83" i="12"/>
  <c r="B16" i="10"/>
  <c r="B77" i="18"/>
  <c r="B167" i="18"/>
  <c r="B66" i="17"/>
  <c r="B94" i="17"/>
  <c r="B49" i="4"/>
  <c r="B28" i="13"/>
  <c r="B141" i="13"/>
  <c r="B46" i="11"/>
  <c r="B17" i="10"/>
  <c r="B82" i="10"/>
  <c r="B216" i="19"/>
  <c r="B125" i="18"/>
  <c r="B34" i="17"/>
  <c r="B67" i="17"/>
  <c r="B95" i="17"/>
  <c r="B157" i="16"/>
  <c r="B14" i="7"/>
  <c r="B4" i="5"/>
  <c r="B28" i="5"/>
  <c r="B48" i="5"/>
  <c r="B72" i="5"/>
  <c r="B7" i="4"/>
  <c r="B31" i="4"/>
  <c r="B111" i="12"/>
  <c r="B71" i="11"/>
  <c r="B95" i="10"/>
  <c r="B27" i="19"/>
  <c r="B125" i="19"/>
  <c r="B44" i="18"/>
  <c r="B175" i="18"/>
  <c r="B7" i="17"/>
  <c r="B157" i="17"/>
  <c r="B185" i="17"/>
  <c r="B23" i="16"/>
  <c r="B51" i="16"/>
  <c r="B20" i="7"/>
  <c r="B69" i="7"/>
  <c r="B5" i="5"/>
  <c r="B49" i="5"/>
  <c r="B73" i="5"/>
  <c r="B46" i="10"/>
  <c r="B82" i="19"/>
  <c r="B180" i="19"/>
  <c r="B47" i="18"/>
  <c r="B94" i="18"/>
  <c r="B45" i="17"/>
  <c r="B76" i="17"/>
  <c r="B104" i="17"/>
  <c r="B166" i="16"/>
  <c r="B70" i="7"/>
  <c r="B88" i="11"/>
  <c r="B47" i="10"/>
  <c r="B106" i="10"/>
  <c r="B37" i="19"/>
  <c r="B83" i="19"/>
  <c r="B181" i="19"/>
  <c r="B97" i="18"/>
  <c r="B184" i="18"/>
  <c r="B46" i="17"/>
  <c r="B77" i="17"/>
  <c r="B105" i="17"/>
  <c r="B139" i="16"/>
  <c r="B167" i="16"/>
  <c r="B24" i="7"/>
  <c r="B32" i="5"/>
  <c r="B34" i="4"/>
  <c r="B58" i="4"/>
  <c r="B25" i="12"/>
  <c r="B137" i="12"/>
  <c r="B89" i="11"/>
  <c r="B107" i="10"/>
  <c r="B38" i="19"/>
  <c r="B84" i="19"/>
  <c r="B136" i="19"/>
  <c r="B182" i="19"/>
  <c r="B185" i="18"/>
  <c r="B15" i="17"/>
  <c r="B47" i="17"/>
  <c r="B106" i="17"/>
  <c r="B134" i="17"/>
  <c r="B112" i="16"/>
  <c r="B140" i="16"/>
  <c r="B168" i="16"/>
  <c r="B25" i="7"/>
  <c r="B8" i="5"/>
  <c r="B33" i="5"/>
  <c r="B56" i="5"/>
  <c r="B76" i="5"/>
  <c r="B16" i="4"/>
  <c r="B130" i="15"/>
  <c r="B26" i="12"/>
  <c r="B138" i="12"/>
  <c r="B39" i="19"/>
  <c r="B137" i="19"/>
  <c r="B4" i="18"/>
  <c r="B55" i="18"/>
  <c r="B186" i="18"/>
  <c r="B16" i="17"/>
  <c r="B107" i="17"/>
  <c r="B135" i="17"/>
  <c r="B85" i="16"/>
  <c r="B113" i="16"/>
  <c r="B141" i="16"/>
  <c r="B79" i="7"/>
  <c r="B9" i="5"/>
  <c r="B77" i="5"/>
  <c r="B131" i="15"/>
  <c r="B84" i="13"/>
  <c r="B27" i="12"/>
  <c r="B139" i="12"/>
  <c r="B95" i="11"/>
  <c r="B40" i="19"/>
  <c r="B92" i="19"/>
  <c r="B138" i="19"/>
  <c r="B5" i="18"/>
  <c r="B57" i="18"/>
  <c r="B144" i="18"/>
  <c r="B187" i="18"/>
  <c r="B17" i="17"/>
  <c r="B136" i="17"/>
  <c r="B164" i="17"/>
  <c r="B58" i="16"/>
  <c r="B86" i="16"/>
  <c r="B114" i="16"/>
  <c r="B54" i="7"/>
  <c r="B80" i="7"/>
  <c r="B37" i="4"/>
  <c r="B61" i="4"/>
  <c r="B132" i="15"/>
  <c r="B85" i="13"/>
  <c r="B52" i="10"/>
  <c r="B93" i="19"/>
  <c r="B139" i="19"/>
  <c r="B191" i="19"/>
  <c r="B6" i="18"/>
  <c r="B145" i="18"/>
  <c r="B137" i="17"/>
  <c r="B165" i="17"/>
  <c r="B31" i="16"/>
  <c r="B59" i="16"/>
  <c r="B87" i="16"/>
  <c r="B55" i="7"/>
  <c r="B17" i="5"/>
  <c r="B36" i="5"/>
  <c r="B60" i="5"/>
  <c r="B19" i="4"/>
  <c r="K19" i="58" l="1" a="1"/>
  <c r="K19" i="58" s="1"/>
  <c r="K20" i="58" a="1"/>
  <c r="K20" i="58" s="1"/>
  <c r="K18" i="58" a="1"/>
  <c r="K18" i="58" s="1"/>
  <c r="K17" i="58" a="1"/>
  <c r="K17" i="58" s="1"/>
  <c r="K12" i="58" a="1"/>
  <c r="K12" i="58" s="1"/>
  <c r="K7" i="58" a="1"/>
  <c r="K7" i="58" s="1"/>
  <c r="K4" i="58" a="1"/>
  <c r="K4" i="58" s="1"/>
  <c r="K16" i="58" a="1"/>
  <c r="K16" i="58" s="1"/>
  <c r="K5" i="58" a="1"/>
  <c r="K5" i="58" s="1"/>
  <c r="K13" i="58" a="1"/>
  <c r="K13" i="58" s="1"/>
  <c r="K9" i="58" a="1"/>
  <c r="K9" i="58" s="1"/>
  <c r="K11" i="58" a="1"/>
  <c r="K11" i="58" s="1"/>
  <c r="K8" i="58" a="1"/>
  <c r="K8" i="58" s="1"/>
  <c r="K10" i="58" a="1"/>
  <c r="K10" i="58" s="1"/>
  <c r="K6" i="58" a="1"/>
  <c r="K6" i="58" s="1"/>
  <c r="K15" i="58" a="1"/>
  <c r="K15" i="58" s="1"/>
  <c r="K14" i="58" a="1"/>
  <c r="K14" i="5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Mohammed Alnajjar</author>
  </authors>
  <commentList>
    <comment ref="D19" authorId="0" shapeId="0" xr:uid="{3F529146-9BF8-4C55-9E27-FB346B44A977}">
      <text>
        <r>
          <rPr>
            <b/>
            <sz val="9"/>
            <color indexed="81"/>
            <rFont val="Tahoma"/>
          </rPr>
          <t>Mohammed Alnajjar:</t>
        </r>
        <r>
          <rPr>
            <sz val="9"/>
            <color indexed="81"/>
            <rFont val="Tahoma"/>
          </rPr>
          <t xml:space="preserve">
يمدينا نخليها متساوية ونزيد يوم</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<sst xmlns="http://schemas.openxmlformats.org/spreadsheetml/2006/main" count="5667" uniqueCount="597">
  <si>
    <t>مدخلات جداول تحت 14</t>
  </si>
  <si>
    <t>البند</t>
  </si>
  <si>
    <t>القيمة</t>
  </si>
  <si>
    <t>ملاحظة</t>
  </si>
  <si>
    <t>وقت بداية اليوم</t>
  </si>
  <si>
    <t>مدة المباراة (دقيقة)</t>
  </si>
  <si>
    <t>الفاصل / ترتيب الملعب (دقيقة)</t>
  </si>
  <si>
    <t>طول الفترة الكاملة (دقيقة)</t>
  </si>
  <si>
    <t>أقصى عدد فترات في اليوم</t>
  </si>
  <si>
    <t>قابل للتعديل</t>
  </si>
  <si>
    <t>محسوبة تلقائياً</t>
  </si>
  <si>
    <t>اليوم</t>
  </si>
  <si>
    <t>الفترة</t>
  </si>
  <si>
    <t>الوقت</t>
  </si>
  <si>
    <t>الملعب</t>
  </si>
  <si>
    <t>المجموعة / الدور</t>
  </si>
  <si>
    <t>المباراة</t>
  </si>
  <si>
    <t>المجموعة 1</t>
  </si>
  <si>
    <t>1 ضد 6</t>
  </si>
  <si>
    <t>2 ضد 5</t>
  </si>
  <si>
    <t>3 ضد 4</t>
  </si>
  <si>
    <t>1 ضد 5</t>
  </si>
  <si>
    <t>4 ضد 6</t>
  </si>
  <si>
    <t>2 ضد 3</t>
  </si>
  <si>
    <t>1 ضد 4</t>
  </si>
  <si>
    <t>3 ضد 5</t>
  </si>
  <si>
    <t>2 ضد 6</t>
  </si>
  <si>
    <t>1 ضد 3</t>
  </si>
  <si>
    <t>2 ضد 4</t>
  </si>
  <si>
    <t>5 ضد 6</t>
  </si>
  <si>
    <t>1 ضد 2</t>
  </si>
  <si>
    <t>3 ضد 6</t>
  </si>
  <si>
    <t>4 ضد 5</t>
  </si>
  <si>
    <t>الفريق</t>
  </si>
  <si>
    <t>المجموعة</t>
  </si>
  <si>
    <t>مباريات الدوري</t>
  </si>
  <si>
    <t>عدد الخصوم</t>
  </si>
  <si>
    <t>التوقيت</t>
  </si>
  <si>
    <t>2 ضد 7</t>
  </si>
  <si>
    <t>1 ضد 7</t>
  </si>
  <si>
    <t>5 ضد 7</t>
  </si>
  <si>
    <t>3 ضد 7</t>
  </si>
  <si>
    <t>6 ضد 7</t>
  </si>
  <si>
    <t>4 ضد 7</t>
  </si>
  <si>
    <t>1 ضد 8</t>
  </si>
  <si>
    <t>6 ضد 8</t>
  </si>
  <si>
    <t>4 ضد 8</t>
  </si>
  <si>
    <t>2 ضد 8</t>
  </si>
  <si>
    <t>7 ضد 8</t>
  </si>
  <si>
    <t>5 ضد 8</t>
  </si>
  <si>
    <t>3 ضد 8</t>
  </si>
  <si>
    <t>2 ضد 9</t>
  </si>
  <si>
    <t>1 ضد 9</t>
  </si>
  <si>
    <t>7 ضد 9</t>
  </si>
  <si>
    <t>5 ضد 9</t>
  </si>
  <si>
    <t>3 ضد 9</t>
  </si>
  <si>
    <t>8 ضد 9</t>
  </si>
  <si>
    <t>6 ضد 9</t>
  </si>
  <si>
    <t>4 ضد 9</t>
  </si>
  <si>
    <t>1 ضد 10</t>
  </si>
  <si>
    <t>8 ضد 10</t>
  </si>
  <si>
    <t>6 ضد 10</t>
  </si>
  <si>
    <t>4 ضد 10</t>
  </si>
  <si>
    <t>2 ضد 10</t>
  </si>
  <si>
    <t>9 ضد 10</t>
  </si>
  <si>
    <t>7 ضد 10</t>
  </si>
  <si>
    <t>5 ضد 10</t>
  </si>
  <si>
    <t>3 ضد 10</t>
  </si>
  <si>
    <t>2 ضد 11</t>
  </si>
  <si>
    <t>1 ضد 11</t>
  </si>
  <si>
    <t>9 ضد 11</t>
  </si>
  <si>
    <t>7 ضد 11</t>
  </si>
  <si>
    <t>5 ضد 11</t>
  </si>
  <si>
    <t>3 ضد 11</t>
  </si>
  <si>
    <t>10 ضد 11</t>
  </si>
  <si>
    <t>8 ضد 11</t>
  </si>
  <si>
    <t>6 ضد 11</t>
  </si>
  <si>
    <t>4 ضد 11</t>
  </si>
  <si>
    <t>1 ضد 12</t>
  </si>
  <si>
    <t>10 ضد 12</t>
  </si>
  <si>
    <t>8 ضد 12</t>
  </si>
  <si>
    <t>6 ضد 12</t>
  </si>
  <si>
    <t>4 ضد 12</t>
  </si>
  <si>
    <t>2 ضد 12</t>
  </si>
  <si>
    <t>11 ضد 12</t>
  </si>
  <si>
    <t>9 ضد 12</t>
  </si>
  <si>
    <t>7 ضد 12</t>
  </si>
  <si>
    <t>5 ضد 12</t>
  </si>
  <si>
    <t>3 ضد 12</t>
  </si>
  <si>
    <t>المجموعة 2</t>
  </si>
  <si>
    <t>8 ضد 13</t>
  </si>
  <si>
    <t>11 ضد 13</t>
  </si>
  <si>
    <t>9 ضد 13</t>
  </si>
  <si>
    <t>12 ضد 13</t>
  </si>
  <si>
    <t>10 ضد 13</t>
  </si>
  <si>
    <t>نهائي</t>
  </si>
  <si>
    <t>أول المجموعة 1 ضد أول المجموعة 2</t>
  </si>
  <si>
    <t>المتأهلان: متصدر كل مجموعة، ويلتقيان في النهائي مباشرة.</t>
  </si>
  <si>
    <t>9 ضد 14</t>
  </si>
  <si>
    <t>8 ضد 14</t>
  </si>
  <si>
    <t>12 ضد 14</t>
  </si>
  <si>
    <t>10 ضد 14</t>
  </si>
  <si>
    <t>13 ضد 14</t>
  </si>
  <si>
    <t>11 ضد 14</t>
  </si>
  <si>
    <t>10 ضد 15</t>
  </si>
  <si>
    <t>9 ضد 15</t>
  </si>
  <si>
    <t>13 ضد 15</t>
  </si>
  <si>
    <t>11 ضد 15</t>
  </si>
  <si>
    <t>14 ضد 15</t>
  </si>
  <si>
    <t>12 ضد 15</t>
  </si>
  <si>
    <t>9 ضد 16</t>
  </si>
  <si>
    <t>14 ضد 16</t>
  </si>
  <si>
    <t>12 ضد 16</t>
  </si>
  <si>
    <t>10 ضد 16</t>
  </si>
  <si>
    <t>15 ضد 16</t>
  </si>
  <si>
    <t>13 ضد 16</t>
  </si>
  <si>
    <t>11 ضد 16</t>
  </si>
  <si>
    <t>2 ضد 17</t>
  </si>
  <si>
    <t>3 ضد 16</t>
  </si>
  <si>
    <t>4 ضد 15</t>
  </si>
  <si>
    <t>5 ضد 14</t>
  </si>
  <si>
    <t>6 ضد 13</t>
  </si>
  <si>
    <t>1 ضد 17</t>
  </si>
  <si>
    <t>2 ضد 15</t>
  </si>
  <si>
    <t>3 ضد 14</t>
  </si>
  <si>
    <t>4 ضد 13</t>
  </si>
  <si>
    <t>1 ضد 16</t>
  </si>
  <si>
    <t>15 ضد 17</t>
  </si>
  <si>
    <t>2 ضد 13</t>
  </si>
  <si>
    <t>1 ضد 15</t>
  </si>
  <si>
    <t>13 ضد 17</t>
  </si>
  <si>
    <t>1 ضد 14</t>
  </si>
  <si>
    <t>11 ضد 17</t>
  </si>
  <si>
    <t>1 ضد 13</t>
  </si>
  <si>
    <t>9 ضد 17</t>
  </si>
  <si>
    <t>8 ضد 16</t>
  </si>
  <si>
    <t>7 ضد 17</t>
  </si>
  <si>
    <t>7 ضد 15</t>
  </si>
  <si>
    <t>6 ضد 16</t>
  </si>
  <si>
    <t>5 ضد 17</t>
  </si>
  <si>
    <t>7 ضد 13</t>
  </si>
  <si>
    <t>6 ضد 14</t>
  </si>
  <si>
    <t>5 ضد 15</t>
  </si>
  <si>
    <t>4 ضد 16</t>
  </si>
  <si>
    <t>3 ضد 17</t>
  </si>
  <si>
    <t>5 ضد 13</t>
  </si>
  <si>
    <t>4 ضد 14</t>
  </si>
  <si>
    <t>3 ضد 15</t>
  </si>
  <si>
    <t>2 ضد 16</t>
  </si>
  <si>
    <t>3 ضد 13</t>
  </si>
  <si>
    <t>2 ضد 14</t>
  </si>
  <si>
    <t>16 ضد 17</t>
  </si>
  <si>
    <t>14 ضد 17</t>
  </si>
  <si>
    <t>12 ضد 17</t>
  </si>
  <si>
    <t>10 ضد 17</t>
  </si>
  <si>
    <t>8 ضد 17</t>
  </si>
  <si>
    <t>6 ضد 17</t>
  </si>
  <si>
    <t>7 ضد 16</t>
  </si>
  <si>
    <t>8 ضد 15</t>
  </si>
  <si>
    <t>4 ضد 17</t>
  </si>
  <si>
    <t>5 ضد 16</t>
  </si>
  <si>
    <t>6 ضد 15</t>
  </si>
  <si>
    <t>7 ضد 14</t>
  </si>
  <si>
    <t>المجموعة 3</t>
  </si>
  <si>
    <t>13 ضد 18</t>
  </si>
  <si>
    <t>16 ضد 18</t>
  </si>
  <si>
    <t>14 ضد 18</t>
  </si>
  <si>
    <t>17 ضد 18</t>
  </si>
  <si>
    <t>15 ضد 18</t>
  </si>
  <si>
    <t>نصف نهائي</t>
  </si>
  <si>
    <t>المتأهل 1 ضد المتأهل 4</t>
  </si>
  <si>
    <t>المتأهل 2 ضد المتأهل 3</t>
  </si>
  <si>
    <t>فائز ن1 ضد فائز ن2</t>
  </si>
  <si>
    <t>المتأهلون: متصدرو المجموعات الثلاث + أفضل صاحب مركز ثانٍ.</t>
  </si>
  <si>
    <t>2 ضد 19</t>
  </si>
  <si>
    <t>3 ضد 18</t>
  </si>
  <si>
    <t>1 ضد 19</t>
  </si>
  <si>
    <t>1 ضد 18</t>
  </si>
  <si>
    <t>17 ضد 19</t>
  </si>
  <si>
    <t>15 ضد 19</t>
  </si>
  <si>
    <t>13 ضد 19</t>
  </si>
  <si>
    <t>12 ضد 18</t>
  </si>
  <si>
    <t>11 ضد 19</t>
  </si>
  <si>
    <t>10 ضد 18</t>
  </si>
  <si>
    <t>9 ضد 19</t>
  </si>
  <si>
    <t>8 ضد 18</t>
  </si>
  <si>
    <t>7 ضد 19</t>
  </si>
  <si>
    <t>6 ضد 18</t>
  </si>
  <si>
    <t>5 ضد 19</t>
  </si>
  <si>
    <t>4 ضد 18</t>
  </si>
  <si>
    <t>3 ضد 19</t>
  </si>
  <si>
    <t>2 ضد 18</t>
  </si>
  <si>
    <t>18 ضد 19</t>
  </si>
  <si>
    <t>16 ضد 19</t>
  </si>
  <si>
    <t>14 ضد 19</t>
  </si>
  <si>
    <t>12 ضد 19</t>
  </si>
  <si>
    <t>10 ضد 19</t>
  </si>
  <si>
    <t>11 ضد 18</t>
  </si>
  <si>
    <t>8 ضد 19</t>
  </si>
  <si>
    <t>9 ضد 18</t>
  </si>
  <si>
    <t>6 ضد 19</t>
  </si>
  <si>
    <t>7 ضد 18</t>
  </si>
  <si>
    <t>4 ضد 19</t>
  </si>
  <si>
    <t>5 ضد 18</t>
  </si>
  <si>
    <t>1 ضد 20</t>
  </si>
  <si>
    <t>18 ضد 20</t>
  </si>
  <si>
    <t>16 ضد 20</t>
  </si>
  <si>
    <t>14 ضد 20</t>
  </si>
  <si>
    <t>12 ضد 20</t>
  </si>
  <si>
    <t>10 ضد 20</t>
  </si>
  <si>
    <t>8 ضد 20</t>
  </si>
  <si>
    <t>6 ضد 20</t>
  </si>
  <si>
    <t>4 ضد 20</t>
  </si>
  <si>
    <t>2 ضد 20</t>
  </si>
  <si>
    <t>19 ضد 20</t>
  </si>
  <si>
    <t>17 ضد 20</t>
  </si>
  <si>
    <t>15 ضد 20</t>
  </si>
  <si>
    <t>13 ضد 20</t>
  </si>
  <si>
    <t>11 ضد 20</t>
  </si>
  <si>
    <t>9 ضد 20</t>
  </si>
  <si>
    <t>7 ضد 20</t>
  </si>
  <si>
    <t>5 ضد 20</t>
  </si>
  <si>
    <t>3 ضد 20</t>
  </si>
  <si>
    <t>2 ضد 21</t>
  </si>
  <si>
    <t>1 ضد 21</t>
  </si>
  <si>
    <t>19 ضد 21</t>
  </si>
  <si>
    <t>17 ضد 21</t>
  </si>
  <si>
    <t>15 ضد 21</t>
  </si>
  <si>
    <t>13 ضد 21</t>
  </si>
  <si>
    <t>11 ضد 21</t>
  </si>
  <si>
    <t>9 ضد 21</t>
  </si>
  <si>
    <t>7 ضد 21</t>
  </si>
  <si>
    <t>5 ضد 21</t>
  </si>
  <si>
    <t>3 ضد 21</t>
  </si>
  <si>
    <t>20 ضد 21</t>
  </si>
  <si>
    <t>18 ضد 21</t>
  </si>
  <si>
    <t>16 ضد 21</t>
  </si>
  <si>
    <t>14 ضد 21</t>
  </si>
  <si>
    <t>12 ضد 21</t>
  </si>
  <si>
    <t>10 ضد 21</t>
  </si>
  <si>
    <t>8 ضد 21</t>
  </si>
  <si>
    <t>6 ضد 21</t>
  </si>
  <si>
    <t>4 ضد 21</t>
  </si>
  <si>
    <t>1 ضد 22</t>
  </si>
  <si>
    <t>20 ضد 22</t>
  </si>
  <si>
    <t>18 ضد 22</t>
  </si>
  <si>
    <t>16 ضد 22</t>
  </si>
  <si>
    <t>14 ضد 22</t>
  </si>
  <si>
    <t>12 ضد 22</t>
  </si>
  <si>
    <t>10 ضد 22</t>
  </si>
  <si>
    <t>8 ضد 22</t>
  </si>
  <si>
    <t>6 ضد 22</t>
  </si>
  <si>
    <t>4 ضد 22</t>
  </si>
  <si>
    <t>2 ضد 22</t>
  </si>
  <si>
    <t>21 ضد 22</t>
  </si>
  <si>
    <t>19 ضد 22</t>
  </si>
  <si>
    <t>17 ضد 22</t>
  </si>
  <si>
    <t>15 ضد 22</t>
  </si>
  <si>
    <t>13 ضد 22</t>
  </si>
  <si>
    <t>11 ضد 22</t>
  </si>
  <si>
    <t>9 ضد 22</t>
  </si>
  <si>
    <t>7 ضد 22</t>
  </si>
  <si>
    <t>5 ضد 22</t>
  </si>
  <si>
    <t>3 ضد 22</t>
  </si>
  <si>
    <t>18 ضد 23</t>
  </si>
  <si>
    <t>17 ضد 23</t>
  </si>
  <si>
    <t>19 ضد 23</t>
  </si>
  <si>
    <t>22 ضد 23</t>
  </si>
  <si>
    <t>20 ضد 23</t>
  </si>
  <si>
    <t>17 ضد 24</t>
  </si>
  <si>
    <t>22 ضد 24</t>
  </si>
  <si>
    <t>23 ضد 24</t>
  </si>
  <si>
    <t>21 ضد 24</t>
  </si>
  <si>
    <t>19 ضد 24</t>
  </si>
  <si>
    <t>المجموعة 4</t>
  </si>
  <si>
    <t>24 ضد 25</t>
  </si>
  <si>
    <t>22 ضد 25</t>
  </si>
  <si>
    <t>22 ضد 26</t>
  </si>
  <si>
    <t>25 ضد 26</t>
  </si>
  <si>
    <t>23 ضد 26</t>
  </si>
  <si>
    <t>25 ضد 27</t>
  </si>
  <si>
    <t>26 ضد 27</t>
  </si>
  <si>
    <t>24 ضد 27</t>
  </si>
  <si>
    <t>22 ضد 27</t>
  </si>
  <si>
    <t>23 ضد 28</t>
  </si>
  <si>
    <t>22 ضد 28</t>
  </si>
  <si>
    <t>27 ضد 28</t>
  </si>
  <si>
    <t>25 ضد 28</t>
  </si>
  <si>
    <t>25 ضد 29</t>
  </si>
  <si>
    <t>28 ضد 29</t>
  </si>
  <si>
    <t>26 ضد 29</t>
  </si>
  <si>
    <t>المجموعة 5</t>
  </si>
  <si>
    <t>25 ضد 30</t>
  </si>
  <si>
    <t>29 ضد 30</t>
  </si>
  <si>
    <t>27 ضد 30</t>
  </si>
  <si>
    <t>ربع نهائي</t>
  </si>
  <si>
    <t>المتأهل 1 ضد المتأهل 8</t>
  </si>
  <si>
    <t>المتأهل 4 ضد المتأهل 5</t>
  </si>
  <si>
    <t>المتأهل 2 ضد المتأهل 7</t>
  </si>
  <si>
    <t>المتأهل 3 ضد المتأهل 6</t>
  </si>
  <si>
    <t>فائز ر1 ضد فائز ر2</t>
  </si>
  <si>
    <t>فائز ر3 ضد فائز ر4</t>
  </si>
  <si>
    <t>26 ضد 31</t>
  </si>
  <si>
    <t>25 ضد 31</t>
  </si>
  <si>
    <t>29 ضد 31</t>
  </si>
  <si>
    <t>30 ضد 31</t>
  </si>
  <si>
    <t>28 ضد 31</t>
  </si>
  <si>
    <t>31 ضد 32</t>
  </si>
  <si>
    <t>29 ضد 32</t>
  </si>
  <si>
    <t>31 ضد 33</t>
  </si>
  <si>
    <t>29 ضد 33</t>
  </si>
  <si>
    <t>32 ضد 33</t>
  </si>
  <si>
    <t>30 ضد 33</t>
  </si>
  <si>
    <t>33 ضد 34</t>
  </si>
  <si>
    <t>31 ضد 34</t>
  </si>
  <si>
    <t>29 ضد 34</t>
  </si>
  <si>
    <t>31 ضد 35</t>
  </si>
  <si>
    <t>29 ضد 35</t>
  </si>
  <si>
    <t>34 ضد 35</t>
  </si>
  <si>
    <t>32 ضد 35</t>
  </si>
  <si>
    <t>30 ضد 35</t>
  </si>
  <si>
    <t>المجموعة 6</t>
  </si>
  <si>
    <t>31 ضد 36</t>
  </si>
  <si>
    <t>35 ضد 36</t>
  </si>
  <si>
    <t>33 ضد 36</t>
  </si>
  <si>
    <t>37 ضد 38</t>
  </si>
  <si>
    <t>37 ضد 39</t>
  </si>
  <si>
    <t>38 ضد 39</t>
  </si>
  <si>
    <t>39 ضد 40</t>
  </si>
  <si>
    <t>37 ضد 40</t>
  </si>
  <si>
    <t>37 ضد 41</t>
  </si>
  <si>
    <t>40 ضد 41</t>
  </si>
  <si>
    <t>38 ضد 41</t>
  </si>
  <si>
    <t>41 ضد 42</t>
  </si>
  <si>
    <t>39 ضد 42</t>
  </si>
  <si>
    <t>37 ضد 42</t>
  </si>
  <si>
    <t>43 ضد 44</t>
  </si>
  <si>
    <t>43 ضد 45</t>
  </si>
  <si>
    <t>44 ضد 45</t>
  </si>
  <si>
    <t>45 ضد 46</t>
  </si>
  <si>
    <t>43 ضد 46</t>
  </si>
  <si>
    <t>43 ضد 47</t>
  </si>
  <si>
    <t>46 ضد 47</t>
  </si>
  <si>
    <t>44 ضد 47</t>
  </si>
  <si>
    <t>المجموعة 7</t>
  </si>
  <si>
    <t>المجموعة 8</t>
  </si>
  <si>
    <t>43 ضد 48</t>
  </si>
  <si>
    <t>47 ضد 48</t>
  </si>
  <si>
    <t>45 ضد 48</t>
  </si>
  <si>
    <t>عدد الفرق</t>
  </si>
  <si>
    <t>عدد المجموعات</t>
  </si>
  <si>
    <t>نظام الإقصاء</t>
  </si>
  <si>
    <t>أيام الدوري</t>
  </si>
  <si>
    <t>أيام الإقصاء</t>
  </si>
  <si>
    <t>إجمالي الأيام</t>
  </si>
  <si>
    <t>عدد الملاعب القانونية</t>
  </si>
  <si>
    <t>وقت النهاية</t>
  </si>
  <si>
    <t>وقت البداية</t>
  </si>
  <si>
    <t>مباريات كل فريق في الموسم</t>
  </si>
  <si>
    <t>توزيع الفرق في المجموعات</t>
  </si>
  <si>
    <t>أعلى تكرار</t>
  </si>
  <si>
    <t>أقل تكرار</t>
  </si>
  <si>
    <t>فريق \ فريق</t>
  </si>
  <si>
    <t>جدول تكرار لقاء الأزواج — كم مرة يلتقي كل فريقين خلال الموسم</t>
  </si>
  <si>
    <t>ملخص بطولات تحت 14 — الأعداد المطلوبة</t>
  </si>
  <si>
    <t>7 ضد 5</t>
  </si>
  <si>
    <t>14 ضد 12</t>
  </si>
  <si>
    <t>21 ضد 19</t>
  </si>
  <si>
    <t>28 ضد 26</t>
  </si>
  <si>
    <t>35 ضد 33</t>
  </si>
  <si>
    <t>6 ضد 4</t>
  </si>
  <si>
    <t>13 ضد 11</t>
  </si>
  <si>
    <t>20 ضد 18</t>
  </si>
  <si>
    <t>27 ضد 25</t>
  </si>
  <si>
    <t>34 ضد 32</t>
  </si>
  <si>
    <t>7 ضد 3</t>
  </si>
  <si>
    <t>14 ضد 10</t>
  </si>
  <si>
    <t>21 ضد 17</t>
  </si>
  <si>
    <t>28 ضد 24</t>
  </si>
  <si>
    <t>35 ضد 31</t>
  </si>
  <si>
    <t>5 ضد 3</t>
  </si>
  <si>
    <t>12 ضد 10</t>
  </si>
  <si>
    <t>19 ضد 17</t>
  </si>
  <si>
    <t>26 ضد 24</t>
  </si>
  <si>
    <t>33 ضد 31</t>
  </si>
  <si>
    <t>6 ضد 2</t>
  </si>
  <si>
    <t>13 ضد 9</t>
  </si>
  <si>
    <t>20 ضد 16</t>
  </si>
  <si>
    <t>27 ضد 23</t>
  </si>
  <si>
    <t>34 ضد 30</t>
  </si>
  <si>
    <t>4 ضد 2</t>
  </si>
  <si>
    <t>11 ضد 9</t>
  </si>
  <si>
    <t>18 ضد 16</t>
  </si>
  <si>
    <t>25 ضد 23</t>
  </si>
  <si>
    <t>32 ضد 30</t>
  </si>
  <si>
    <t>31 ضد 29</t>
  </si>
  <si>
    <t>30 ضد 28</t>
  </si>
  <si>
    <t>31 ضد 27</t>
  </si>
  <si>
    <t>10 ضد 8</t>
  </si>
  <si>
    <t>21 ضد 15</t>
  </si>
  <si>
    <t>29 ضد 27</t>
  </si>
  <si>
    <t>30 ضد 26</t>
  </si>
  <si>
    <t>19 ضد 15</t>
  </si>
  <si>
    <t>17 ضد 15</t>
  </si>
  <si>
    <t>18 ضد 14</t>
  </si>
  <si>
    <t>8 ضد 6</t>
  </si>
  <si>
    <t>8 ضد 4</t>
  </si>
  <si>
    <t>16 ضد 14</t>
  </si>
  <si>
    <t>8 ضد 2</t>
  </si>
  <si>
    <t>15 ضد 13</t>
  </si>
  <si>
    <t>24 ضد 22</t>
  </si>
  <si>
    <t>16 ضد 12</t>
  </si>
  <si>
    <t>23 ضد 21</t>
  </si>
  <si>
    <t>24 ضد 20</t>
  </si>
  <si>
    <t>15 ضد 11</t>
  </si>
  <si>
    <t>16 ضد 10</t>
  </si>
  <si>
    <t>22 ضد 20</t>
  </si>
  <si>
    <t>23 ضد 19</t>
  </si>
  <si>
    <t>24 ضد 18</t>
  </si>
  <si>
    <t>22 ضد 18</t>
  </si>
  <si>
    <t>12 ضد 8</t>
  </si>
  <si>
    <t>36 ضد 34</t>
  </si>
  <si>
    <t>42 ضد 40</t>
  </si>
  <si>
    <t>48 ضد 46</t>
  </si>
  <si>
    <t>36 ضد 32</t>
  </si>
  <si>
    <t>41 ضد 39</t>
  </si>
  <si>
    <t>42 ضد 38</t>
  </si>
  <si>
    <t>47 ضد 45</t>
  </si>
  <si>
    <t>48 ضد 44</t>
  </si>
  <si>
    <t>40 ضد 38</t>
  </si>
  <si>
    <t>46 ضد 44</t>
  </si>
  <si>
    <t>14 ضد 8</t>
  </si>
  <si>
    <t>لقاءات كل خصم</t>
  </si>
  <si>
    <t>بطولة 6 فرق – تحت 14</t>
  </si>
  <si>
    <t>أقل تكرار (داخل المجموعة)</t>
  </si>
  <si>
    <t>أعلى تكرار (داخل المجموعة)</t>
  </si>
  <si>
    <t>بطولة 7 فرق – تحت 14</t>
  </si>
  <si>
    <t>بطولة 8 فرق – تحت 14</t>
  </si>
  <si>
    <t>بطولة 10 فرق – تحت 14</t>
  </si>
  <si>
    <t>بطولة 13 فريقًا – تحت 14</t>
  </si>
  <si>
    <t>بطولة 14 فريقًا – تحت 14</t>
  </si>
  <si>
    <t>بطولة 15 فريقًا – تحت 14</t>
  </si>
  <si>
    <t>بطولة 16 فريقًا – تحت 14</t>
  </si>
  <si>
    <t>بطولة 18 فريقًا – تحت 14</t>
  </si>
  <si>
    <t>بطولة 19 فريقًا – تحت 14</t>
  </si>
  <si>
    <t>بطولة 20 فريقًا – تحت 14</t>
  </si>
  <si>
    <t>بطولة 21 فريقًا – تحت 14</t>
  </si>
  <si>
    <t>بطولة 22 فريقًا – تحت 14</t>
  </si>
  <si>
    <t>بطولة 23 فريقًا – تحت 14</t>
  </si>
  <si>
    <t>بطولة 31 فريقًا – تحت 14</t>
  </si>
  <si>
    <t>بطولة 35 فريقًا – تحت 14</t>
  </si>
  <si>
    <t>بطولة 48 فريقًا – تحت 14</t>
  </si>
  <si>
    <t>جدول الفترات</t>
  </si>
  <si>
    <t>6 فرق</t>
  </si>
  <si>
    <t>7 فرق</t>
  </si>
  <si>
    <t>8 فرق</t>
  </si>
  <si>
    <t>10 فرق</t>
  </si>
  <si>
    <t>13 فريقًا</t>
  </si>
  <si>
    <t>14 فريقًا</t>
  </si>
  <si>
    <t>15 فريقًا</t>
  </si>
  <si>
    <t>16 فريقًا</t>
  </si>
  <si>
    <t>18 فريقًا</t>
  </si>
  <si>
    <t>19 فريقًا</t>
  </si>
  <si>
    <t>20 فريقًا</t>
  </si>
  <si>
    <t>21 فريقًا</t>
  </si>
  <si>
    <t>22 فريقًا</t>
  </si>
  <si>
    <t>23 فريقًا</t>
  </si>
  <si>
    <t>31 فريقًا</t>
  </si>
  <si>
    <t>35 فريقًا</t>
  </si>
  <si>
    <t>48 فريقًا</t>
  </si>
  <si>
    <t>المتأهلون: متصدرو المجموعات الثلاث + أفضل وصيف (4 متأهلين) → نصف نهائي يوم 22، النهائي يوم 23.</t>
  </si>
  <si>
    <t>المتأهلون: متصدرو المجموعات الأربع (4 متأهلين) → نصف نهائي يوم 22، النهائي يوم 23.</t>
  </si>
  <si>
    <t>المتأهلون: متصدرو المجموعات الثمانية → ربع نهائي يوم 21، نصف نهائي يوم 22، النهائي يوم 23.</t>
  </si>
  <si>
    <t>مبادئ بناء جداول تحت 14 (من 6 إلى 48 فريقًا) — وحالة الالتزام الفعلية</t>
  </si>
  <si>
    <t>#</t>
  </si>
  <si>
    <t>المبدأ</t>
  </si>
  <si>
    <t>الشرح</t>
  </si>
  <si>
    <t>الحالة</t>
  </si>
  <si>
    <t>الاستثناءات والملاحظات</t>
  </si>
  <si>
    <t>لا يلعب الفريق مباراتين ورا بعض</t>
  </si>
  <si>
    <t>القاعدة الأهم في التصميم: يحصل كل فريق على فترة راحة كاملة (15 دقيقة على الأقل، وفعلياً فترة 100 دقيقة كاملة) بين مباراتيه. ويُحقَّق ذلك إما بحجز فترات استراحة كاملة في الأعداد الصغيرة، أو بتوزيع الفرق على فترات وملاعب أكثر في الأعداد الكبيرة.</t>
  </si>
  <si>
    <t>✔ مطبق بالكامل</t>
  </si>
  <si>
    <t>لا استثناء. فحص الـ17 ورقة: صفر حالة فريق يلعب في فترتين متتاليتين في نفس اليوم.</t>
  </si>
  <si>
    <t>لا يوجد تتابع إطلاقاً</t>
  </si>
  <si>
    <t>إذا ضاقت الفترات عن عدد المباريات المطلوبة، يُزاد عدد الملاعب أو تُزاد الأيام، ولا يُضحّى براحة اللاعبين بأي حال.</t>
  </si>
  <si>
    <t>لا استثناء. أيضاً صفر حالة فريق له مباراتان في نفس الفترة.</t>
  </si>
  <si>
    <t>عدالة عدد المباريات</t>
  </si>
  <si>
    <t>كل الفرق تلعب العدد نفسه في اليوم الواحد وفي البطولة ككل — لا فريق يلعب أكثر من آخر.</t>
  </si>
  <si>
    <t>⚠ مطبق باستثناءات</t>
  </si>
  <si>
    <t>عدالة المواجهات</t>
  </si>
  <si>
    <t>تُوزَّع فرص اللقاء على الجميع بدل أن تتكرر بين فرق معيّنة: يُقسم إجمالي المباريات على عدد الأزواج الممكنة، ويُسمح بمستويين فقط فرقهما مباراة واحدة.</t>
  </si>
  <si>
    <t>تقسيم المجموعات عند الأعداد الكبيرة</t>
  </si>
  <si>
    <t>إذا كبر عدد الفرق حتى لم تكفِ مباريات الموسم للقاء الجميع، يُقسم العدد إلى مجموعات متساوية تلعب كل منها على ملاعبها الخاصة في نفس الوقت.</t>
  </si>
  <si>
    <t>أقصى 3 فترات في اليوم</t>
  </si>
  <si>
    <t>اليوم يبدأ 4:00 م وينتهي 8:50 م بثلاث فترات فقط (مباراة 90 دقيقة + 10 دقائق ترتيب الملعب)، ولا يُطال اليوم أكثر من ذلك.</t>
  </si>
  <si>
    <t>لا تجاوز في أي ورقة. الاستثناء للأسفل فقط: بطولة 8 فرق تستخدم فترتين فقط وتنتهي 7:10 م.</t>
  </si>
  <si>
    <t>الحد الأقصى لأيام الدوري = 21 يوماً</t>
  </si>
  <si>
    <t>دوري المجموعات لا يتجاوز 21 يوم مهرجان، وإذا لم تكفِ الأيام يُزاد عدد الملاعب لا الأيام.</t>
  </si>
  <si>
    <t>أعلى قيمة مستخدمة 21 يوماً (معظم البطولات)، وأقلها 18 يوماً (10 فرق). لا تجاوز في أي ورقة.</t>
  </si>
  <si>
    <t>إجمالي أيام البطولة لا يتجاوز 23 يوماً</t>
  </si>
  <si>
    <t>أيام الدوري + أيام الإقصاء معاً في سقف واحد، وأيام الإقصاء تأتي إضافةً بعد انتهاء الدوري.</t>
  </si>
  <si>
    <t>الأقصى المسجل 23 يوماً في 23 و31 و35 و48 فريقًا (21 دوري + 2–3 إقصاء)، والأقل 18 يوماً.</t>
  </si>
  <si>
    <t>الإقصاء فقط عند تعدد المجموعات</t>
  </si>
  <si>
    <t>المجموعة الواحدة تحسم بالدوري بدون إقصاء، وعند تعدد المجموعات يتأهل متصدر كل مجموعة لدور إقصائي بحجم عدد المجموعات.</t>
  </si>
  <si>
    <t>أقل عدد ممكن من الملاعب</t>
  </si>
  <si>
    <t>لا يُفتح ملعب إضافي إلا إذا لم تكفِ الفترات الثلاث وأيام السقف 21 يوماً لتغطية المباريات.</t>
  </si>
  <si>
    <t>كل المجموعات تلعب في نفس الوقت</t>
  </si>
  <si>
    <t>وقت موحد لكل البطولات</t>
  </si>
  <si>
    <t>كل جداول تحت 14 تبدأ 4:00 م وتستخدم نفس الفترات المعرفة في ورقة المدخلات، وأي تعديل في المدخلات ينعكس تلقائياً على كل الأوراق.</t>
  </si>
  <si>
    <t>أعمدة الوقت في كل الأوراق مربوطة بصيغة بورقة المدخلات وليست قيماً ثابتة.</t>
  </si>
  <si>
    <t>3 ضد 1</t>
  </si>
  <si>
    <t>5 ضد 1</t>
  </si>
  <si>
    <t>26 ضد 22</t>
  </si>
  <si>
    <t>33 ضد 29</t>
  </si>
  <si>
    <t>7 ضد 1</t>
  </si>
  <si>
    <t>28 ضد 22</t>
  </si>
  <si>
    <t>35 ضد 29</t>
  </si>
  <si>
    <t>7 ضد 6</t>
  </si>
  <si>
    <t>14 ضد 13</t>
  </si>
  <si>
    <t>21 ضد 20</t>
  </si>
  <si>
    <t>28 ضد 27</t>
  </si>
  <si>
    <t>35 ضد 34</t>
  </si>
  <si>
    <t>23 ضد 25</t>
  </si>
  <si>
    <t>30 ضد 32</t>
  </si>
  <si>
    <t>24 ضد 26</t>
  </si>
  <si>
    <t>23 ضد 27</t>
  </si>
  <si>
    <t>30 ضد 34</t>
  </si>
  <si>
    <t>2 ضد 1</t>
  </si>
  <si>
    <t>9 ضد 8</t>
  </si>
  <si>
    <t>16 ضد 15</t>
  </si>
  <si>
    <t>23 ضد 22</t>
  </si>
  <si>
    <t>30 ضد 29</t>
  </si>
  <si>
    <t>32 ضد 34</t>
  </si>
  <si>
    <t>24 ضد 28</t>
  </si>
  <si>
    <t>3 ضد 2</t>
  </si>
  <si>
    <t>10 ضد 9</t>
  </si>
  <si>
    <t>17 ضد 16</t>
  </si>
  <si>
    <t>24 ضد 23</t>
  </si>
  <si>
    <t>31 ضد 30</t>
  </si>
  <si>
    <t>26 ضد 28</t>
  </si>
  <si>
    <t>33 ضد 35</t>
  </si>
  <si>
    <t>4 ضد 1</t>
  </si>
  <si>
    <t>11 ضد 8</t>
  </si>
  <si>
    <t>18 ضد 15</t>
  </si>
  <si>
    <t>25 ضد 22</t>
  </si>
  <si>
    <t>32 ضد 29</t>
  </si>
  <si>
    <t>4 ضد 3</t>
  </si>
  <si>
    <t>11 ضد 10</t>
  </si>
  <si>
    <t>18 ضد 17</t>
  </si>
  <si>
    <t>25 ضد 24</t>
  </si>
  <si>
    <t>32 ضد 31</t>
  </si>
  <si>
    <t>6 ضد 1</t>
  </si>
  <si>
    <t>13 ضد 8</t>
  </si>
  <si>
    <t>20 ضد 15</t>
  </si>
  <si>
    <t>27 ضد 22</t>
  </si>
  <si>
    <t>34 ضد 29</t>
  </si>
  <si>
    <t>5 ضد 2</t>
  </si>
  <si>
    <t>12 ضد 9</t>
  </si>
  <si>
    <t>19 ضد 16</t>
  </si>
  <si>
    <t>26 ضد 23</t>
  </si>
  <si>
    <t>33 ضد 30</t>
  </si>
  <si>
    <t>5 ضد 4</t>
  </si>
  <si>
    <t>12 ضد 11</t>
  </si>
  <si>
    <t>19 ضد 18</t>
  </si>
  <si>
    <t>26 ضد 25</t>
  </si>
  <si>
    <t>33 ضد 32</t>
  </si>
  <si>
    <t>7 ضد 2</t>
  </si>
  <si>
    <t>14 ضد 9</t>
  </si>
  <si>
    <t>21 ضد 16</t>
  </si>
  <si>
    <t>28 ضد 23</t>
  </si>
  <si>
    <t>35 ضد 30</t>
  </si>
  <si>
    <t>6 ضد 3</t>
  </si>
  <si>
    <t>13 ضد 10</t>
  </si>
  <si>
    <t>20 ضد 17</t>
  </si>
  <si>
    <t>27 ضد 24</t>
  </si>
  <si>
    <t>34 ضد 31</t>
  </si>
  <si>
    <t>6 ضد 5</t>
  </si>
  <si>
    <t>13 ضد 12</t>
  </si>
  <si>
    <t>20 ضد 19</t>
  </si>
  <si>
    <t>27 ضد 26</t>
  </si>
  <si>
    <t>34 ضد 33</t>
  </si>
  <si>
    <t>7 ضد 4</t>
  </si>
  <si>
    <t>14 ضد 11</t>
  </si>
  <si>
    <t>21 ضد 18</t>
  </si>
  <si>
    <t>28 ضد 25</t>
  </si>
  <si>
    <t>35 ضد 32</t>
  </si>
  <si>
    <t>المتأهلون: متصدرو المجموعات الخمس + أفضل 3 وصفاء (8 متأهلين) → ربع النهائي يوم 22 (4:00–5:30 م)، نصف النهائي نفس اليوم (7:20–8:50 م)، والنهائي يوم 23.</t>
  </si>
  <si>
    <t>مطبق بالكامل داخل كل مجموعة وفي اليوم الواحد (تفاوت صفر). الاستثناء بين المجموعات عند الأعداد الفردية: 13 فريقًا (20 و18)، 15 (21 و18)، 23 (21/21/18)، 31 (21/21/21/18). أما 35 فصارت متساوية تماماً (18 لكل الفرق) بعد تقسيمها 5 مجموعات × 7.</t>
  </si>
  <si>
    <t>أقوى من الحد المطلوب: داخل كل مجموعة الفرق بين الأزواج = صفر (كل زوج يلتقي نفس العدد بالضبط) وكل الأزواج مغطاة بلا زوج محروم. الاستثناء الوحيد المتبقي بين المجموعات: 13 فريقًا (4 مقابل 3). و35 فريقًا صارت 3 لقاءات لكل زوج في كل المجموعات.</t>
  </si>
  <si>
    <t>مجموعات متساوية تماماً: 14 (7+7)، 16 (8+8)، 18 (6+6+6)، 35 (7×5)، 48 (6×8). الأعداد الفردية بفرق فريق واحد: 13 (7+6)، 15 (8+7)، 23 (8+8+7)، 31 (8+8+8+7).</t>
  </si>
  <si>
    <t>بدون إقصاء: 6، 7، 8، 10، 19، 20، 21، 22. نهائي مباشر (مجموعتان): 13، 14، 15، 16. نصف نهائي ثم نهائي: 18، 23، 31. ربع نهائي فما بعده: 35، 48.</t>
  </si>
  <si>
    <t>ملعب واحد: 6 و7. ملعبان: 8، 10، 13، 14. ثم يزيد تدريجياً: 3 ملاعب (15–19)، 4 (20–23)، 5 (31 و35)، 8 (48).</t>
  </si>
  <si>
    <t>المجموعات لا تتناوب على الأيام؛ كل المجموعات تلعب في نفس المهرجان ونفس الأيام، وتُوزَّع مبارياتها على الملاعب والفترات المتاحة في اليوم نفسه.</t>
  </si>
  <si>
    <t>متحقق في جميع الأوراق متعددة المجموعات: نفس الأيام لكل المجموعات. ملاحظة: الملاعب لم تُعد مثبَّتة لكل مجموعة، بل تُوزَّع بالتناوب لتحقيق عدالة الفترات (مبدأ 13).</t>
  </si>
  <si>
    <t>عدالة توزيع الفترات</t>
  </si>
  <si>
    <t>لا يُثبَّت فريق أو مجموعة على فترة واحدة طول الموسم؛ تتدوّر فترات المباريات (4:00 / 5:40 / 7:20) بين كل الفرق بالتساوي داخل كل مجموعة.</t>
  </si>
  <si>
    <t>بعد إعادة التوزيع: الفرق بين أي فريقين في عدد مرات اللعب في نفس الفترة لا يتجاوز مباراتين داخل المجموعة الواحدة، وزال تثبيت الفريق 1 على الفترة الأولى وتثبيت المجموعات على فترة واحدة في 31 و48 فريقًا. الفترة الثالثة تُستخدم أقل في بعض الأعداد لأن مباريات اليوم لا تحتاجها (مبدأ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</si>
</sst>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1]h:mm\ AM/PM"/>
  </numFmts>
  <fonts count="22">
    <font>
      <sz val="11"/>
      <color theme="1"/>
      <name val="Calibri"/>
      <family val="2"/>
      <scheme val="minor"/>
    </font>
    <font>
      <b/>
      <sz val="11"/>
      <color theme="1"/>
      <name val="Calibri"/>
      <family val="2"/>
      <scheme val="minor"/>
    </font>
    <font>
      <sz val="11"/>
      <color theme="1"/>
      <name val="Carlito"/>
    </font>
    <font>
      <sz val="11"/>
      <color theme="1"/>
      <name val="Calibri"/>
      <family val="2"/>
      <scheme val="minor"/>
    </font>
    <font>
      <b/>
      <sz val="12"/>
      <color rgb="FFFFFFFF"/>
      <name val="Calibri"/>
      <family val="2"/>
      <scheme val="minor"/>
    </font>
    <font>
      <b/>
      <sz val="11"/>
      <color rgb="FF000000"/>
      <name val="Calibri"/>
      <scheme val="minor"/>
    </font>
    <font>
      <sz val="11"/>
      <color rgb="FF000000"/>
      <name val="Calibri"/>
      <scheme val="minor"/>
    </font>
    <font>
      <b/>
      <sz val="14"/>
      <color rgb="FFFFFFFF"/>
      <name val="Calibri"/>
    </font>
    <font>
      <sz val="11"/>
      <color theme="1"/>
      <name val="Calibri"/>
    </font>
    <font>
      <sz val="11"/>
      <color theme="1"/>
      <name val="Calibri"/>
      <scheme val="minor"/>
    </font>
    <font>
      <b/>
      <sz val="11"/>
      <color theme="1"/>
      <name val="Calibri"/>
    </font>
    <font>
      <b/>
      <sz val="11"/>
      <color theme="1"/>
      <name val="Calibri"/>
      <scheme val="minor"/>
    </font>
    <font>
      <sz val="11"/>
      <color rgb="FF000000"/>
      <name val="Calibri"/>
    </font>
    <font>
      <b/>
      <sz val="11"/>
      <color rgb="FFFFFFFF"/>
      <name val="Calibri"/>
      <scheme val="minor"/>
    </font>
    <font>
      <b/>
      <sz val="14"/>
      <color rgb="FFFFFFFF"/>
      <name val="Calibri"/>
      <scheme val="minor"/>
    </font>
    <font>
      <i/>
      <sz val="11"/>
      <color theme="1"/>
      <name val="Calibri"/>
      <scheme val="minor"/>
    </font>
    <font>
      <b/>
      <sz val="11"/>
      <color rgb="FF0000FF"/>
      <name val="Calibri"/>
    </font>
    <font>
      <b/>
      <i/>
      <sz val="11"/>
      <color theme="1"/>
      <name val="Calibri"/>
      <scheme val="minor"/>
    </font>
    <font>
      <sz val="9"/>
      <color indexed="81"/>
      <name val="Tahoma"/>
    </font>
    <font>
      <b/>
      <sz val="9"/>
      <color indexed="81"/>
      <name val="Tahoma"/>
    </font>
    <font>
      <b/>
      <sz val="11"/>
      <color rgb="FF375623"/>
      <name val="Calibri"/>
      <scheme val="minor"/>
    </font>
    <font>
      <b/>
      <sz val="11"/>
      <color rgb="FFBF8F00"/>
      <name val="Calibri"/>
      <scheme val="minor"/>
    </font>
  </fonts>
  <fills count="8">
    <fill>
      <patternFill patternType="none"/>
    </fill>
    <fill>
      <patternFill patternType="gray125"/>
    </fill>
    <fill>
      <patternFill patternType="solid">
        <fgColor rgb="FF1F4E79"/>
        <bgColor indexed="64"/>
      </patternFill>
    </fill>
    <fill>
      <patternFill patternType="solid">
        <fgColor rgb="FFD9E1F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E2EFDA"/>
        <bgColor indexed="64"/>
      </patternFill>
    </fill>
    <fill>
      <patternFill patternType="solid">
        <fgColor rgb="FFFFF2CC"/>
        <bgColor indexed="64"/>
      </patternFill>
    </fill>
  </fills>
  <borders count="8">
    <border>
      <left/>
      <right/>
      <top/>
      <bottom/>
      <diagonal/>
    </border>
    <border>
      <left style="thin">
        <color rgb="FF8EA9DB"/>
      </left>
      <right style="thin">
        <color rgb="FF8EA9DB"/>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style="thin">
        <color rgb="FF8EA9DB"/>
      </top>
      <bottom style="thin">
        <color rgb="FF8EA9DB"/>
      </bottom>
      <diagonal/>
    </border>
    <border>
      <left style="thin">
        <color rgb="FF8EA9DB"/>
      </left>
      <right/>
      <top/>
      <bottom/>
      <diagonal/>
    </border>
    <border>
      <left style="thin">
        <color rgb="FF8EA9DB"/>
      </left>
      <right style="thin">
        <color rgb="FF8EA9DB"/>
      </right>
      <top style="thin">
        <color rgb="FF8EA9DB"/>
      </top>
      <bottom/>
      <diagonal/>
    </border>
    <border>
      <left style="thin">
        <color rgb="FF8EA9DB"/>
      </left>
      <right style="thin">
        <color rgb="FF8EA9DB"/>
      </right>
      <top/>
      <bottom style="thin">
        <color rgb="FF8EA9DB"/>
      </bottom>
      <diagonal/>
    </border>
    <border>
      <left/>
      <right/>
      <top/>
      <bottom style="thin">
        <color rgb="FF8EA9DB"/>
      </bottom>
      <diagonal/>
    </border>
  </borders>
  <cellStyleXfs count="2">
    <xf numFmtId="0" fontId="0" fillId="0" borderId="0"/>
    <xf numFmtId="0" fontId="3" fillId="0" borderId="0"/>
  </cellStyleXfs>
  <cellXfs count="63">
    <xf numFmtId="0" fontId="0" fillId="0" borderId="0" xfId="0"/>
    <xf numFmtId="0" fontId="11" fillId="3" borderId="1" xfId="0" applyFont="1" applyFill="1" applyBorder="1" applyAlignment="1">
      <alignment horizontal="center" vertical="center"/>
    </xf>
    <xf numFmtId="0" fontId="9" fillId="0" borderId="1" xfId="0" applyFont="1" applyBorder="1" applyAlignment="1">
      <alignment horizontal="center" vertical="center"/>
    </xf>
    <xf numFmtId="0" fontId="13" fillId="2" borderId="1" xfId="0" applyFont="1" applyFill="1" applyBorder="1" applyAlignment="1">
      <alignment horizontal="center" vertical="center"/>
    </xf>
    <xf numFmtId="0" fontId="14" fillId="2" borderId="0" xfId="0" applyFont="1" applyFill="1" applyAlignment="1">
      <alignment horizontal="right" vertical="center" readingOrder="2"/>
    </xf>
    <xf numFmtId="0" fontId="0" fillId="0" borderId="0" xfId="0" applyAlignment="1">
      <alignment readingOrder="2"/>
    </xf>
    <xf numFmtId="0" fontId="8" fillId="0" borderId="0" xfId="0" applyFont="1" applyAlignment="1">
      <alignment horizontal="center" vertical="center" readingOrder="2"/>
    </xf>
    <xf numFmtId="0" fontId="9" fillId="0" borderId="0" xfId="0" applyFont="1" applyAlignment="1">
      <alignment horizontal="center" vertical="center" readingOrder="2"/>
    </xf>
    <xf numFmtId="0" fontId="9" fillId="0" borderId="0" xfId="0" applyFont="1" applyAlignment="1">
      <alignment vertical="center" readingOrder="2"/>
    </xf>
    <xf numFmtId="0" fontId="11" fillId="3" borderId="1" xfId="0" applyFont="1" applyFill="1" applyBorder="1" applyAlignment="1">
      <alignment horizontal="center" vertical="center" readingOrder="2"/>
    </xf>
    <xf numFmtId="0" fontId="11" fillId="3" borderId="3" xfId="0" applyFont="1" applyFill="1" applyBorder="1" applyAlignment="1">
      <alignment horizontal="center" vertical="center" readingOrder="2"/>
    </xf>
    <xf numFmtId="0" fontId="11" fillId="4" borderId="1" xfId="0" applyFont="1" applyFill="1" applyBorder="1" applyAlignment="1">
      <alignment horizontal="center" vertical="center" readingOrder="2"/>
    </xf>
    <xf numFmtId="0" fontId="9" fillId="0" borderId="1" xfId="0" applyFont="1" applyBorder="1" applyAlignment="1">
      <alignment horizontal="center" vertical="center" readingOrder="2"/>
    </xf>
    <xf numFmtId="0" fontId="9" fillId="0" borderId="3" xfId="0" applyFont="1" applyBorder="1" applyAlignment="1">
      <alignment horizontal="center" vertical="center" readingOrder="2"/>
    </xf>
    <xf numFmtId="0" fontId="11" fillId="0" borderId="0" xfId="0" applyFont="1" applyAlignment="1">
      <alignment horizontal="center" readingOrder="2"/>
    </xf>
    <xf numFmtId="0" fontId="2" fillId="0" borderId="0" xfId="0" applyFont="1" applyAlignment="1">
      <alignment readingOrder="2"/>
    </xf>
    <xf numFmtId="0" fontId="17" fillId="3" borderId="4" xfId="0" applyFont="1" applyFill="1" applyBorder="1" applyAlignment="1">
      <alignment horizontal="right" vertical="center" readingOrder="2"/>
    </xf>
    <xf numFmtId="0" fontId="11" fillId="0" borderId="0" xfId="0" applyFont="1" applyAlignment="1">
      <alignment horizontal="right" readingOrder="2"/>
    </xf>
    <xf numFmtId="0" fontId="1" fillId="0" borderId="0" xfId="0" applyFont="1" applyAlignment="1">
      <alignment horizontal="center" readingOrder="2"/>
    </xf>
    <xf numFmtId="0" fontId="13" fillId="2" borderId="1" xfId="0" applyFont="1" applyFill="1" applyBorder="1" applyAlignment="1">
      <alignment horizontal="right" vertical="center" readingOrder="2"/>
    </xf>
    <xf numFmtId="0" fontId="0" fillId="0" borderId="0" xfId="0" applyAlignment="1">
      <alignment horizontal="right" readingOrder="2"/>
    </xf>
    <xf numFmtId="0" fontId="1" fillId="0" borderId="0" xfId="0" applyFont="1" applyAlignment="1">
      <alignment horizontal="right" readingOrder="2"/>
    </xf>
    <xf numFmtId="0" fontId="13" fillId="2" borderId="0" xfId="0" applyFont="1" applyFill="1" applyAlignment="1">
      <alignment horizontal="right" vertical="center" readingOrder="2"/>
    </xf>
    <xf numFmtId="0" fontId="11" fillId="4" borderId="5" xfId="0" applyFont="1" applyFill="1" applyBorder="1" applyAlignment="1">
      <alignment horizontal="center" vertical="center" readingOrder="2"/>
    </xf>
    <xf numFmtId="0" fontId="9" fillId="0" borderId="5" xfId="0" applyFont="1" applyBorder="1" applyAlignment="1">
      <alignment horizontal="center" vertical="center" readingOrder="2"/>
    </xf>
    <xf numFmtId="0" fontId="15" fillId="0" borderId="4" xfId="0" applyFont="1" applyBorder="1" applyAlignment="1">
      <alignment horizontal="right" vertical="center" readingOrder="2"/>
    </xf>
    <xf numFmtId="0" fontId="8" fillId="0" borderId="0" xfId="0" applyFont="1" applyAlignment="1">
      <alignment vertical="center" readingOrder="2"/>
    </xf>
    <xf numFmtId="0" fontId="10" fillId="3" borderId="1" xfId="0" applyFont="1" applyFill="1" applyBorder="1" applyAlignment="1">
      <alignment horizontal="center" vertical="center" readingOrder="2"/>
    </xf>
    <xf numFmtId="0" fontId="11" fillId="3" borderId="1" xfId="0" applyFont="1" applyFill="1" applyBorder="1" applyAlignment="1">
      <alignment horizontal="center" readingOrder="2"/>
    </xf>
    <xf numFmtId="0" fontId="8" fillId="0" borderId="1" xfId="0" applyFont="1" applyBorder="1" applyAlignment="1">
      <alignment horizontal="right" vertical="center" readingOrder="2"/>
    </xf>
    <xf numFmtId="0" fontId="8" fillId="0" borderId="1" xfId="0" applyFont="1" applyBorder="1" applyAlignment="1">
      <alignment horizontal="center" vertical="center" readingOrder="2"/>
    </xf>
    <xf numFmtId="0" fontId="9" fillId="0" borderId="1" xfId="0" applyFont="1" applyBorder="1" applyAlignment="1">
      <alignment horizontal="center" readingOrder="2"/>
    </xf>
    <xf numFmtId="164" fontId="16" fillId="0" borderId="1" xfId="0" applyNumberFormat="1" applyFont="1" applyBorder="1" applyAlignment="1">
      <alignment horizontal="center" vertical="center" readingOrder="2"/>
    </xf>
    <xf numFmtId="1" fontId="16" fillId="0" borderId="1" xfId="0" applyNumberFormat="1" applyFont="1" applyBorder="1" applyAlignment="1">
      <alignment horizontal="center" vertical="center" readingOrder="2"/>
    </xf>
    <xf numFmtId="1" fontId="12" fillId="0" borderId="1" xfId="0" applyNumberFormat="1" applyFont="1" applyBorder="1" applyAlignment="1">
      <alignment horizontal="center" vertical="center" readingOrder="2"/>
    </xf>
    <xf numFmtId="0" fontId="11" fillId="3" borderId="2" xfId="0" applyFont="1" applyFill="1" applyBorder="1" applyAlignment="1">
      <alignment horizontal="center" vertical="center" readingOrder="2"/>
    </xf>
    <xf numFmtId="0" fontId="5" fillId="4" borderId="1" xfId="0" applyFont="1" applyFill="1" applyBorder="1" applyAlignment="1">
      <alignment horizontal="center" vertical="center" readingOrder="2"/>
    </xf>
    <xf numFmtId="0" fontId="6" fillId="0" borderId="1" xfId="0" applyFont="1" applyBorder="1" applyAlignment="1">
      <alignment horizontal="center" vertical="center" readingOrder="2"/>
    </xf>
    <xf numFmtId="0" fontId="6" fillId="0" borderId="3" xfId="0" applyFont="1" applyBorder="1" applyAlignment="1">
      <alignment horizontal="center" vertical="center" readingOrder="2"/>
    </xf>
    <xf numFmtId="0" fontId="6" fillId="0" borderId="2" xfId="0" applyFont="1" applyBorder="1" applyAlignment="1">
      <alignment horizontal="center" vertical="center" readingOrder="2"/>
    </xf>
    <xf numFmtId="0" fontId="6" fillId="0" borderId="6" xfId="0" applyFont="1" applyBorder="1" applyAlignment="1">
      <alignment horizontal="center" vertical="center" readingOrder="2"/>
    </xf>
    <xf numFmtId="0" fontId="6" fillId="5" borderId="1" xfId="0" applyFont="1" applyFill="1" applyBorder="1" applyAlignment="1">
      <alignment horizontal="center" vertical="center" readingOrder="2"/>
    </xf>
    <xf numFmtId="0" fontId="11" fillId="0" borderId="1" xfId="0" applyFont="1" applyBorder="1" applyAlignment="1">
      <alignment horizontal="right" vertical="center"/>
    </xf>
    <xf numFmtId="0" fontId="9" fillId="0" borderId="1" xfId="0" applyFont="1" applyBorder="1" applyAlignment="1">
      <alignment horizontal="right" vertical="center" wrapText="1"/>
    </xf>
    <xf numFmtId="0" fontId="20" fillId="6" borderId="1" xfId="0" applyFont="1" applyFill="1" applyBorder="1" applyAlignment="1">
      <alignment horizontal="center" vertical="center"/>
    </xf>
    <xf numFmtId="0" fontId="21" fillId="7" borderId="1" xfId="0" applyFont="1" applyFill="1" applyBorder="1" applyAlignment="1">
      <alignment horizontal="center" vertical="center"/>
    </xf>
    <xf numFmtId="0" fontId="0" fillId="0" borderId="0" xfId="0" applyAlignment="1">
      <alignment vertical="center" readingOrder="2"/>
    </xf>
    <xf numFmtId="0" fontId="1" fillId="0" borderId="0" xfId="0" applyFont="1" applyAlignment="1">
      <alignment horizontal="right" vertical="center" readingOrder="2"/>
    </xf>
    <xf numFmtId="0" fontId="1" fillId="0" borderId="0" xfId="0" applyFont="1" applyAlignment="1">
      <alignment horizontal="center" vertical="center" readingOrder="2"/>
    </xf>
    <xf numFmtId="0" fontId="7" fillId="2" borderId="0" xfId="0" applyFont="1" applyFill="1" applyAlignment="1">
      <alignment horizontal="right" vertical="center" readingOrder="2"/>
    </xf>
    <xf numFmtId="0" fontId="2" fillId="0" borderId="0" xfId="0" applyFont="1" applyAlignment="1">
      <alignment readingOrder="2"/>
    </xf>
    <xf numFmtId="0" fontId="14" fillId="2" borderId="0" xfId="0" applyFont="1" applyFill="1" applyAlignment="1">
      <alignment horizontal="right" vertical="center"/>
    </xf>
    <xf numFmtId="0" fontId="4" fillId="2" borderId="0" xfId="0" applyFont="1" applyFill="1" applyAlignment="1">
      <alignment horizontal="right" readingOrder="2"/>
    </xf>
    <xf numFmtId="0" fontId="4" fillId="2" borderId="7" xfId="0" applyFont="1" applyFill="1" applyBorder="1" applyAlignment="1">
      <alignment horizontal="right" vertical="center" readingOrder="2"/>
    </xf>
    <xf numFmtId="0" fontId="9" fillId="0" borderId="5" xfId="0" applyFont="1" applyBorder="1" applyAlignment="1">
      <alignment horizontal="center" vertical="center"/>
    </xf>
    <xf numFmtId="0" fontId="9" fillId="0" borderId="3" xfId="0" applyFont="1" applyFill="1" applyBorder="1" applyAlignment="1">
      <alignment horizontal="center" vertical="center"/>
    </xf>
    <xf numFmtId="0" fontId="11" fillId="0" borderId="5" xfId="0" applyFont="1" applyBorder="1" applyAlignment="1">
      <alignment horizontal="right" vertical="center"/>
    </xf>
    <xf numFmtId="0" fontId="11" fillId="0" borderId="3" xfId="0" applyFont="1" applyFill="1" applyBorder="1" applyAlignment="1">
      <alignment horizontal="right" vertical="center"/>
    </xf>
    <xf numFmtId="0" fontId="9" fillId="0" borderId="5" xfId="0" applyFont="1" applyBorder="1" applyAlignment="1">
      <alignment horizontal="right" vertical="center" wrapText="1"/>
    </xf>
    <xf numFmtId="0" fontId="9" fillId="0" borderId="1" xfId="0" applyFont="1" applyFill="1" applyBorder="1" applyAlignment="1">
      <alignment horizontal="right" vertical="center" wrapText="1"/>
    </xf>
    <xf numFmtId="0" fontId="9" fillId="0" borderId="3" xfId="0" applyFont="1" applyFill="1" applyBorder="1" applyAlignment="1">
      <alignment horizontal="right" vertical="center" wrapText="1"/>
    </xf>
    <xf numFmtId="0" fontId="20" fillId="6" borderId="5" xfId="0" applyFont="1" applyFill="1" applyBorder="1" applyAlignment="1">
      <alignment horizontal="center" vertical="center"/>
    </xf>
    <xf numFmtId="0" fontId="20" fillId="6" borderId="3" xfId="0" applyFont="1" applyFill="1" applyBorder="1" applyAlignment="1">
      <alignment horizontal="center" vertical="center"/>
    </xf>
  </cellXfs>
  <cellStyles count="2">
    <cellStyle name="Normal" xfId="0" builtinId="0"/>
    <cellStyle name="Normal 4" xfId="1" xr:uid="{5F2FFF5E-8023-4B51-8D59-49B5B92FAA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EBEFA9-8F6C-4673-8361-3EB58A9EA834}">
  <we:reference id="WA200009404" version="1.0.0.8" store="Omex" storeType="OMEX"/>
  <we:alternateReferences>
    <we:reference id="WA200009404" version="1.0.0.8" store="WA200009404" storeType="OMEX"/>
  </we:alternateReferences>
  <we:properties>
    <we:property name="claude.fileId" value="&quot;8bfbebbe-d21d-447d-afe5-94ec25c2418e&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6EEE-E81C-4DAA-A469-E9A5FFD75BCB}">
  <dimension ref="A1:G9"/>
  <sheetViews>
    <sheetView rightToLeft="1" workbookViewId="0">
      <selection activeCell="B13" sqref="B13"/>
    </sheetView>
  </sheetViews>
  <sheetFormatPr defaultRowHeight="14.5"/>
  <cols>
    <col min="1" max="1" width="22.36328125" style="15" bestFit="1" customWidth="1"/>
    <col min="2" max="2" width="7.6328125" style="15" bestFit="1" customWidth="1"/>
    <col min="3" max="3" width="10.6328125" style="15" bestFit="1" customWidth="1"/>
    <col min="4" max="16384" width="8.7265625" style="5"/>
  </cols>
  <sheetData>
    <row r="1" spans="1:7" ht="18.5">
      <c r="A1" s="49" t="s">
        <v>0</v>
      </c>
      <c r="B1" s="49"/>
      <c r="C1" s="49"/>
      <c r="D1" s="20"/>
      <c r="E1" s="21" t="s">
        <v>452</v>
      </c>
      <c r="F1" s="20"/>
      <c r="G1" s="20"/>
    </row>
    <row r="2" spans="1:7">
      <c r="A2" s="26"/>
      <c r="B2" s="26"/>
      <c r="C2" s="26"/>
    </row>
    <row r="3" spans="1:7">
      <c r="A3" s="27" t="s">
        <v>1</v>
      </c>
      <c r="B3" s="27" t="s">
        <v>2</v>
      </c>
      <c r="C3" s="27" t="s">
        <v>3</v>
      </c>
      <c r="E3" s="28" t="s">
        <v>12</v>
      </c>
      <c r="F3" s="28" t="s">
        <v>37</v>
      </c>
    </row>
    <row r="4" spans="1:7">
      <c r="A4" s="29"/>
      <c r="B4" s="30"/>
      <c r="C4" s="29"/>
      <c r="E4" s="31">
        <v>1</v>
      </c>
      <c r="F4" s="31" t="str">
        <f>MOD(HOUR($B$5+0*$B$8/1440)-1,12)+1&amp;":"&amp;TEXT(MINUTE($B$5+0*$B$8/1440),"00")&amp;"–"&amp;MOD(HOUR($B$5+0*$B$8/1440+$B$6/1440)-1,12)+1&amp;":"&amp;TEXT(MINUTE($B$5+0*$B$8/1440+$B$6/1440),"00")&amp;IF(HOUR($B$5+0*$B$8/1440)&lt;12," ص"," م")</f>
        <v>4:00–5:30 م</v>
      </c>
    </row>
    <row r="5" spans="1:7">
      <c r="A5" s="29" t="s">
        <v>4</v>
      </c>
      <c r="B5" s="32">
        <v>0.66666669999999995</v>
      </c>
      <c r="C5" s="29" t="s">
        <v>9</v>
      </c>
      <c r="E5" s="31">
        <v>2</v>
      </c>
      <c r="F5" s="31" t="str">
        <f>MOD(HOUR($B$5+1*$B$8/1440)-1,12)+1&amp;":"&amp;TEXT(MINUTE($B$5+1*$B$8/1440),"00")&amp;"–"&amp;MOD(HOUR($B$5+1*$B$8/1440+$B$6/1440)-1,12)+1&amp;":"&amp;TEXT(MINUTE($B$5+1*$B$8/1440+$B$6/1440),"00")&amp;IF(HOUR($B$5+1*$B$8/1440)&lt;12," ص"," م")</f>
        <v>5:40–7:10 م</v>
      </c>
    </row>
    <row r="6" spans="1:7">
      <c r="A6" s="29" t="s">
        <v>5</v>
      </c>
      <c r="B6" s="33">
        <v>90</v>
      </c>
      <c r="C6" s="29" t="s">
        <v>9</v>
      </c>
      <c r="E6" s="31">
        <v>3</v>
      </c>
      <c r="F6" s="31" t="str">
        <f>MOD(HOUR($B$5+2*$B$8/1440)-1,12)+1&amp;":"&amp;TEXT(MINUTE($B$5+2*$B$8/1440),"00")&amp;"–"&amp;MOD(HOUR($B$5+2*$B$8/1440+$B$6/1440)-1,12)+1&amp;":"&amp;TEXT(MINUTE($B$5+2*$B$8/1440+$B$6/1440),"00")&amp;IF(HOUR($B$5+2*$B$8/1440)&lt;12," ص"," م")</f>
        <v>7:20–8:50 م</v>
      </c>
    </row>
    <row r="7" spans="1:7">
      <c r="A7" s="29" t="s">
        <v>6</v>
      </c>
      <c r="B7" s="33">
        <v>10</v>
      </c>
      <c r="C7" s="29" t="s">
        <v>9</v>
      </c>
    </row>
    <row r="8" spans="1:7">
      <c r="A8" s="29" t="s">
        <v>7</v>
      </c>
      <c r="B8" s="34">
        <f>B6+B7</f>
        <v>100</v>
      </c>
      <c r="C8" s="29" t="s">
        <v>10</v>
      </c>
    </row>
    <row r="9" spans="1:7">
      <c r="A9" s="29" t="s">
        <v>8</v>
      </c>
      <c r="B9" s="33">
        <v>3</v>
      </c>
      <c r="C9" s="29" t="s">
        <v>9</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1A69-C1DC-427F-AB62-B77281FEC5B8}">
  <dimension ref="A1:E16"/>
  <sheetViews>
    <sheetView showGridLines="0" rightToLeft="1" zoomScale="59" workbookViewId="0">
      <pane ySplit="3" topLeftCell="A4" activePane="bottomLeft" state="frozen"/>
      <selection pane="bottomLeft"/>
    </sheetView>
  </sheetViews>
  <sheetFormatPr defaultRowHeight="14.5"/>
  <cols>
    <col min="1" max="1" width="6.1796875" customWidth="1"/>
    <col min="2" max="2" width="30.90625" customWidth="1"/>
    <col min="3" max="3" width="78.1796875" customWidth="1"/>
    <col min="4" max="4" width="20" customWidth="1"/>
    <col min="5" max="5" width="72.7265625" customWidth="1"/>
  </cols>
  <sheetData>
    <row r="1" spans="1:5" ht="28" customHeight="1">
      <c r="A1" s="51" t="s">
        <v>473</v>
      </c>
      <c r="B1" s="51"/>
      <c r="C1" s="51"/>
      <c r="D1" s="51"/>
      <c r="E1" s="51"/>
    </row>
    <row r="2" spans="1:5" ht="8" customHeight="1"/>
    <row r="3" spans="1:5" ht="24" customHeight="1">
      <c r="A3" s="1" t="s">
        <v>474</v>
      </c>
      <c r="B3" s="1" t="s">
        <v>475</v>
      </c>
      <c r="C3" s="1" t="s">
        <v>476</v>
      </c>
      <c r="D3" s="1" t="s">
        <v>477</v>
      </c>
      <c r="E3" s="1" t="s">
        <v>478</v>
      </c>
    </row>
    <row r="4" spans="1:5" ht="43.5">
      <c r="A4" s="2">
        <v>1</v>
      </c>
      <c r="B4" s="42" t="s">
        <v>479</v>
      </c>
      <c r="C4" s="43" t="s">
        <v>480</v>
      </c>
      <c r="D4" s="44" t="s">
        <v>481</v>
      </c>
      <c r="E4" s="43" t="s">
        <v>482</v>
      </c>
    </row>
    <row r="5" spans="1:5">
      <c r="A5" s="2">
        <v>2</v>
      </c>
      <c r="B5" s="42" t="s">
        <v>483</v>
      </c>
      <c r="C5" s="43" t="s">
        <v>484</v>
      </c>
      <c r="D5" s="44" t="s">
        <v>481</v>
      </c>
      <c r="E5" s="43" t="s">
        <v>485</v>
      </c>
    </row>
    <row r="6" spans="1:5" ht="43.5">
      <c r="A6" s="2">
        <v>3</v>
      </c>
      <c r="B6" s="42" t="s">
        <v>486</v>
      </c>
      <c r="C6" s="43" t="s">
        <v>487</v>
      </c>
      <c r="D6" s="45" t="s">
        <v>488</v>
      </c>
      <c r="E6" s="43" t="s">
        <v>587</v>
      </c>
    </row>
    <row r="7" spans="1:5" ht="43.5">
      <c r="A7" s="2">
        <v>4</v>
      </c>
      <c r="B7" s="42" t="s">
        <v>489</v>
      </c>
      <c r="C7" s="43" t="s">
        <v>490</v>
      </c>
      <c r="D7" s="45" t="s">
        <v>488</v>
      </c>
      <c r="E7" s="43" t="s">
        <v>588</v>
      </c>
    </row>
    <row r="8" spans="1:5" ht="29">
      <c r="A8" s="2">
        <v>5</v>
      </c>
      <c r="B8" s="42" t="s">
        <v>491</v>
      </c>
      <c r="C8" s="43" t="s">
        <v>492</v>
      </c>
      <c r="D8" s="45" t="s">
        <v>488</v>
      </c>
      <c r="E8" s="43" t="s">
        <v>589</v>
      </c>
    </row>
    <row r="9" spans="1:5" ht="29">
      <c r="A9" s="2">
        <v>6</v>
      </c>
      <c r="B9" s="42" t="s">
        <v>493</v>
      </c>
      <c r="C9" s="43" t="s">
        <v>494</v>
      </c>
      <c r="D9" s="44" t="s">
        <v>481</v>
      </c>
      <c r="E9" s="43" t="s">
        <v>495</v>
      </c>
    </row>
    <row r="10" spans="1:5">
      <c r="A10" s="2">
        <v>7</v>
      </c>
      <c r="B10" s="42" t="s">
        <v>496</v>
      </c>
      <c r="C10" s="43" t="s">
        <v>497</v>
      </c>
      <c r="D10" s="44" t="s">
        <v>481</v>
      </c>
      <c r="E10" s="43" t="s">
        <v>498</v>
      </c>
    </row>
    <row r="11" spans="1:5">
      <c r="A11" s="2">
        <v>8</v>
      </c>
      <c r="B11" s="42" t="s">
        <v>499</v>
      </c>
      <c r="C11" s="43" t="s">
        <v>500</v>
      </c>
      <c r="D11" s="44" t="s">
        <v>481</v>
      </c>
      <c r="E11" s="43" t="s">
        <v>501</v>
      </c>
    </row>
    <row r="12" spans="1:5" ht="29">
      <c r="A12" s="2">
        <v>9</v>
      </c>
      <c r="B12" s="42" t="s">
        <v>502</v>
      </c>
      <c r="C12" s="43" t="s">
        <v>503</v>
      </c>
      <c r="D12" s="44" t="s">
        <v>481</v>
      </c>
      <c r="E12" s="43" t="s">
        <v>590</v>
      </c>
    </row>
    <row r="13" spans="1:5" ht="29">
      <c r="A13" s="2">
        <v>10</v>
      </c>
      <c r="B13" s="42" t="s">
        <v>504</v>
      </c>
      <c r="C13" s="43" t="s">
        <v>505</v>
      </c>
      <c r="D13" s="44" t="s">
        <v>481</v>
      </c>
      <c r="E13" s="43" t="s">
        <v>591</v>
      </c>
    </row>
    <row r="14" spans="1:5" ht="29">
      <c r="A14" s="2">
        <v>11</v>
      </c>
      <c r="B14" s="42" t="s">
        <v>506</v>
      </c>
      <c r="C14" s="43" t="s">
        <v>592</v>
      </c>
      <c r="D14" s="44" t="s">
        <v>481</v>
      </c>
      <c r="E14" s="43" t="s">
        <v>593</v>
      </c>
    </row>
    <row r="15" spans="1:5" ht="29">
      <c r="A15" s="54">
        <v>12</v>
      </c>
      <c r="B15" s="56" t="s">
        <v>507</v>
      </c>
      <c r="C15" s="58" t="s">
        <v>508</v>
      </c>
      <c r="D15" s="61" t="s">
        <v>481</v>
      </c>
      <c r="E15" s="58" t="s">
        <v>509</v>
      </c>
    </row>
    <row r="16" spans="1:5" ht="43.5">
      <c r="A16" s="55">
        <v>13</v>
      </c>
      <c r="B16" s="57" t="s">
        <v>594</v>
      </c>
      <c r="C16" s="60" t="s">
        <v>595</v>
      </c>
      <c r="D16" s="62" t="s">
        <v>481</v>
      </c>
      <c r="E16" s="59" t="s">
        <v>596</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0154-93A3-4EEA-B9B7-468C238F450C}">
  <dimension ref="A1:P58"/>
  <sheetViews>
    <sheetView rightToLeft="1" tabSelected="1" zoomScale="65" workbookViewId="0">
      <pane xSplit="2" ySplit="3" topLeftCell="C4" activePane="bottomRight" state="frozen"/>
      <selection sqref="A1:G1"/>
      <selection pane="topRight" sqref="A1:G1"/>
      <selection pane="bottomLeft" sqref="A1:G1"/>
      <selection pane="bottomRight" activeCell="G27" sqref="G27"/>
    </sheetView>
  </sheetViews>
  <sheetFormatPr defaultRowHeight="14.5"/>
  <cols>
    <col min="1" max="1" width="8" style="15" bestFit="1" customWidth="1"/>
    <col min="2" max="2" width="12.26953125" style="15" bestFit="1" customWidth="1"/>
    <col min="3" max="3" width="23.08984375" style="15" bestFit="1" customWidth="1"/>
    <col min="4" max="4" width="39.54296875" style="15" bestFit="1" customWidth="1"/>
    <col min="5" max="5" width="31.81640625" style="15" bestFit="1" customWidth="1"/>
    <col min="6" max="6" width="22.6328125" style="15" bestFit="1" customWidth="1"/>
    <col min="7" max="7" width="8.36328125" style="15" bestFit="1" customWidth="1"/>
    <col min="8" max="8" width="8.81640625" style="15" bestFit="1" customWidth="1"/>
    <col min="9" max="9" width="9.1796875" style="15" bestFit="1" customWidth="1"/>
    <col min="10" max="10" width="9.08984375" style="15" bestFit="1" customWidth="1"/>
    <col min="11" max="11" width="8.90625" style="15" bestFit="1" customWidth="1"/>
    <col min="12" max="12" width="16.1796875" style="15" bestFit="1" customWidth="1"/>
    <col min="13" max="16" width="14.54296875" style="15" customWidth="1"/>
    <col min="17" max="16384" width="8.7265625" style="5"/>
  </cols>
  <sheetData>
    <row r="1" spans="1:16" ht="18.5">
      <c r="A1" s="49" t="s">
        <v>364</v>
      </c>
      <c r="B1" s="49"/>
      <c r="C1" s="49"/>
      <c r="D1" s="49"/>
      <c r="E1" s="49"/>
      <c r="F1" s="49"/>
      <c r="G1" s="49"/>
      <c r="H1" s="49"/>
      <c r="I1" s="49"/>
      <c r="J1" s="49"/>
      <c r="K1" s="49"/>
      <c r="L1" s="49"/>
      <c r="M1" s="50"/>
      <c r="N1" s="50"/>
      <c r="O1" s="50"/>
      <c r="P1" s="50"/>
    </row>
    <row r="2" spans="1:16">
      <c r="A2" s="26"/>
      <c r="B2" s="26"/>
      <c r="C2" s="26"/>
      <c r="D2" s="26"/>
      <c r="E2" s="26"/>
      <c r="F2" s="26"/>
      <c r="G2" s="26"/>
      <c r="H2" s="26"/>
      <c r="I2" s="26"/>
      <c r="J2" s="26"/>
      <c r="K2" s="26"/>
      <c r="L2" s="26"/>
      <c r="N2" s="5"/>
    </row>
    <row r="3" spans="1:16">
      <c r="A3" s="9" t="s">
        <v>349</v>
      </c>
      <c r="B3" s="9" t="s">
        <v>350</v>
      </c>
      <c r="C3" s="9" t="s">
        <v>359</v>
      </c>
      <c r="D3" s="10" t="s">
        <v>432</v>
      </c>
      <c r="E3" s="9" t="s">
        <v>358</v>
      </c>
      <c r="F3" s="9" t="s">
        <v>351</v>
      </c>
      <c r="G3" s="35" t="s">
        <v>352</v>
      </c>
      <c r="H3" s="9" t="s">
        <v>353</v>
      </c>
      <c r="I3" s="9" t="s">
        <v>354</v>
      </c>
      <c r="J3" s="9" t="s">
        <v>357</v>
      </c>
      <c r="K3" s="9" t="s">
        <v>356</v>
      </c>
      <c r="L3" s="9" t="s">
        <v>355</v>
      </c>
      <c r="M3" s="5"/>
      <c r="N3" s="5"/>
      <c r="O3" s="5"/>
      <c r="P3" s="5"/>
    </row>
    <row r="4" spans="1:16">
      <c r="A4" s="36">
        <v>6</v>
      </c>
      <c r="B4" s="37" cm="1">
        <f t="array" ref="B4">ROUND(SUMPRODUCT(1/COUNTIF('بيانات الفرق'!$B$3:$B$8,'بيانات الفرق'!$B$3:$B$8)),0)</f>
        <v>1</v>
      </c>
      <c r="C4" s="37" t="str" cm="1">
        <f t="array" ref="C4">_xlfn.TEXTJOIN(" + ",TRUE,_xlfn._xlws.SORT(COUNTIF('بيانات الفرق'!$B$3:$B$8,"المجموعة "&amp;_xlfn.SEQUENCE(B4))))</f>
        <v>6</v>
      </c>
      <c r="D4" s="38" t="str" cm="1">
        <f t="array" ref="D4">_xlfn.LET(_xlpm.gs,_xlfn.SEQUENCE(B4),_xlpm.ln,_xlfn.MAXIFS('بيانات الفرق'!$D$3:$D$8,'بيانات الفرق'!$B$3:$B$8,"المجموعة "&amp;_xlpm.gs),_xlpm.mn,_xlfn.MINIFS('بيانات الفرق'!$C$3:$C$8,'بيانات الفرق'!$B$3:$B$8,"المجموعة "&amp;_xlpm.gs),_xlpm.mx,_xlfn.MAXIFS('بيانات الفرق'!$C$3:$C$8,'بيانات الفرق'!$B$3:$B$8,"المجموعة "&amp;_xlpm.gs),_xlpm.lo,FLOOR(_xlpm.mn/_xlpm.ln,1),_xlpm.hi,CEILING(_xlpm.mx/_xlpm.ln,1),_xlpm.t,IF(_xlpm.lo=_xlpm.hi,_xlpm.lo&amp;"",_xlpm.lo&amp;"–"&amp;_xlpm.hi),_xlfn.TEXTJOIN(" + ",TRUE,_xlfn.SORTBY(_xlpm.t,_xlpm.ln,1)))</f>
        <v>4</v>
      </c>
      <c r="E4" s="37" t="str" cm="1">
        <f t="array" ref="E4">_xlfn.LET(_xlpm.gs,_xlfn.SEQUENCE(B4),_xlpm.ln,_xlfn.MAXIFS('بيانات الفرق'!$D$3:$D$8,'بيانات الفرق'!$B$3:$B$8,"المجموعة "&amp;_xlpm.gs),_xlpm.mn,_xlfn.MINIFS('بيانات الفرق'!$C$3:$C$8,'بيانات الفرق'!$B$3:$B$8,"المجموعة "&amp;_xlpm.gs),_xlpm.mx,_xlfn.MAXIFS('بيانات الفرق'!$C$3:$C$8,'بيانات الفرق'!$B$3:$B$8,"المجموعة "&amp;_xlpm.gs),_xlpm.t,IF(_xlpm.mn=_xlpm.mx,_xlpm.mn&amp;"",_xlpm.mn&amp;"–"&amp;_xlpm.mx),_xlfn.TEXTJOIN(" + ",TRUE,_xlfn.SORTBY(_xlpm.t,_xlpm.ln,1)))</f>
        <v>20</v>
      </c>
      <c r="F4" s="37" t="str">
        <f>"—"</f>
        <v>—</v>
      </c>
      <c r="G4" s="39">
        <f>MAX('6 فرق'!$A$4:$A$63)</f>
        <v>20</v>
      </c>
      <c r="H4" s="37">
        <f>MAX('6 فرق'!$A$4:$A$63)-G4</f>
        <v>0</v>
      </c>
      <c r="I4" s="37">
        <f>MAX('6 فرق'!$A$4:$A$63)</f>
        <v>20</v>
      </c>
      <c r="J4" s="37" t="str">
        <f>MOD(HOUR(المدخلات!$B$5)-1,12)+1&amp;":"&amp;TEXT(MINUTE(المدخلات!$B$5),"00")&amp;IF(HOUR(المدخلات!$B$5)&lt;12," ص"," م")</f>
        <v>4:00 م</v>
      </c>
      <c r="K4" s="37" t="str" cm="1">
        <f t="array" ref="K4">MOD(HOUR(المدخلات!$B$5+((ROUND(SUMPRODUCT(1/COUNTIF('6 فرق'!$B$4:$B$63,'6 فرق'!$B$4:$B$63)),0)-1)*المدخلات!$B$8+المدخلات!$B$6)/1440)-1,12)+1&amp;":"&amp;TEXT(MINUTE(المدخلات!$B$5+((ROUND(SUMPRODUCT(1/COUNTIF('6 فرق'!$B$4:$B$63,'6 فرق'!$B$4:$B$63)),0)-1)*المدخلات!$B$8+المدخلات!$B$6)/1440),"00")&amp;IF(HOUR(المدخلات!$B$5+((ROUND(SUMPRODUCT(1/COUNTIF('6 فرق'!$B$4:$B$63,'6 فرق'!$B$4:$B$63)),0)-1)*المدخلات!$B$8+المدخلات!$B$6)/1440)&lt;12," ص"," م")</f>
        <v>8:50 م</v>
      </c>
      <c r="L4" s="37">
        <f>MAX('6 فرق'!$C$4:$C$63)</f>
        <v>1</v>
      </c>
      <c r="M4" s="5"/>
      <c r="N4" s="5"/>
      <c r="O4" s="5"/>
      <c r="P4" s="5"/>
    </row>
    <row r="5" spans="1:16">
      <c r="A5" s="36">
        <v>7</v>
      </c>
      <c r="B5" s="37" cm="1">
        <f t="array" ref="B5">ROUND(SUMPRODUCT(1/COUNTIF('بيانات الفرق'!$G$3:$G$9,'بيانات الفرق'!$G$3:$G$9)),0)</f>
        <v>1</v>
      </c>
      <c r="C5" s="37" t="str" cm="1">
        <f t="array" ref="C5">_xlfn.TEXTJOIN(" + ",TRUE,_xlfn._xlws.SORT(COUNTIF('بيانات الفرق'!$G$3:$G$9,"المجموعة "&amp;_xlfn.SEQUENCE(B5))))</f>
        <v>7</v>
      </c>
      <c r="D5" s="38" t="str" cm="1">
        <f t="array" ref="D5">_xlfn.LET(_xlpm.gs,_xlfn.SEQUENCE(B5),_xlpm.ln,_xlfn.MAXIFS('بيانات الفرق'!$I$3:$I$9,'بيانات الفرق'!$G$3:$G$9,"المجموعة "&amp;_xlpm.gs),_xlpm.mn,_xlfn.MINIFS('بيانات الفرق'!$H$3:$H$9,'بيانات الفرق'!$G$3:$G$9,"المجموعة "&amp;_xlpm.gs),_xlpm.mx,_xlfn.MAXIFS('بيانات الفرق'!$H$3:$H$9,'بيانات الفرق'!$G$3:$G$9,"المجموعة "&amp;_xlpm.gs),_xlpm.lo,FLOOR(_xlpm.mn/_xlpm.ln,1),_xlpm.hi,CEILING(_xlpm.mx/_xlpm.ln,1),_xlpm.t,IF(_xlpm.lo=_xlpm.hi,_xlpm.lo&amp;"",_xlpm.lo&amp;"–"&amp;_xlpm.hi),_xlfn.TEXTJOIN(" + ",TRUE,_xlfn.SORTBY(_xlpm.t,_xlpm.ln,1)))</f>
        <v>3</v>
      </c>
      <c r="E5" s="37" t="str" cm="1">
        <f t="array" ref="E5">_xlfn.LET(_xlpm.gs,_xlfn.SEQUENCE(B5),_xlpm.ln,_xlfn.MAXIFS('بيانات الفرق'!$I$3:$I$9,'بيانات الفرق'!$G$3:$G$9,"المجموعة "&amp;_xlpm.gs),_xlpm.mn,_xlfn.MINIFS('بيانات الفرق'!$H$3:$H$9,'بيانات الفرق'!$G$3:$G$9,"المجموعة "&amp;_xlpm.gs),_xlpm.mx,_xlfn.MAXIFS('بيانات الفرق'!$H$3:$H$9,'بيانات الفرق'!$G$3:$G$9,"المجموعة "&amp;_xlpm.gs),_xlpm.t,IF(_xlpm.mn=_xlpm.mx,_xlpm.mn&amp;"",_xlpm.mn&amp;"–"&amp;_xlpm.mx),_xlfn.TEXTJOIN(" + ",TRUE,_xlfn.SORTBY(_xlpm.t,_xlpm.ln,1)))</f>
        <v>18</v>
      </c>
      <c r="F5" s="37" t="str">
        <f>"—"</f>
        <v>—</v>
      </c>
      <c r="G5" s="39">
        <f>MAX('7 فرق'!$A$4:$A$66)</f>
        <v>21</v>
      </c>
      <c r="H5" s="37">
        <f>MAX('7 فرق'!$A$4:$A$66)-G5</f>
        <v>0</v>
      </c>
      <c r="I5" s="37">
        <f>MAX('7 فرق'!$A$4:$A$66)</f>
        <v>21</v>
      </c>
      <c r="J5" s="37" t="str">
        <f>MOD(HOUR(المدخلات!$B$5)-1,12)+1&amp;":"&amp;TEXT(MINUTE(المدخلات!$B$5),"00")&amp;IF(HOUR(المدخلات!$B$5)&lt;12," ص"," م")</f>
        <v>4:00 م</v>
      </c>
      <c r="K5" s="37" t="str" cm="1">
        <f t="array" ref="K5">MOD(HOUR(المدخلات!$B$5+((ROUND(SUMPRODUCT(1/COUNTIF('7 فرق'!$B$4:$B$66,'7 فرق'!$B$4:$B$66)),0)-1)*المدخلات!$B$8+المدخلات!$B$6)/1440)-1,12)+1&amp;":"&amp;TEXT(MINUTE(المدخلات!$B$5+((ROUND(SUMPRODUCT(1/COUNTIF('7 فرق'!$B$4:$B$66,'7 فرق'!$B$4:$B$66)),0)-1)*المدخلات!$B$8+المدخلات!$B$6)/1440),"00")&amp;IF(HOUR(المدخلات!$B$5+((ROUND(SUMPRODUCT(1/COUNTIF('7 فرق'!$B$4:$B$66,'7 فرق'!$B$4:$B$66)),0)-1)*المدخلات!$B$8+المدخلات!$B$6)/1440)&lt;12," ص"," م")</f>
        <v>8:50 م</v>
      </c>
      <c r="L5" s="37">
        <f>MAX('7 فرق'!$C$4:$C$66)</f>
        <v>1</v>
      </c>
      <c r="M5" s="5"/>
      <c r="N5" s="5"/>
      <c r="O5" s="5"/>
      <c r="P5" s="5"/>
    </row>
    <row r="6" spans="1:16">
      <c r="A6" s="36">
        <v>8</v>
      </c>
      <c r="B6" s="37" cm="1">
        <f t="array" ref="B6">ROUND(SUMPRODUCT(1/COUNTIF('بيانات الفرق'!$L$3:$L$10,'بيانات الفرق'!$L$3:$L$10)),0)</f>
        <v>1</v>
      </c>
      <c r="C6" s="37" t="str" cm="1">
        <f t="array" ref="C6">_xlfn.TEXTJOIN(" + ",TRUE,_xlfn._xlws.SORT(COUNTIF('بيانات الفرق'!$L$3:$L$10,"المجموعة "&amp;_xlfn.SEQUENCE(B6))))</f>
        <v>8</v>
      </c>
      <c r="D6" s="38" t="str" cm="1">
        <f t="array" ref="D6">_xlfn.LET(_xlpm.gs,_xlfn.SEQUENCE(B6),_xlpm.ln,_xlfn.MAXIFS('بيانات الفرق'!$N$3:$N$10,'بيانات الفرق'!$L$3:$L$10,"المجموعة "&amp;_xlpm.gs),_xlpm.mn,_xlfn.MINIFS('بيانات الفرق'!$M$3:$M$10,'بيانات الفرق'!$L$3:$L$10,"المجموعة "&amp;_xlpm.gs),_xlpm.mx,_xlfn.MAXIFS('بيانات الفرق'!$M$3:$M$10,'بيانات الفرق'!$L$3:$L$10,"المجموعة "&amp;_xlpm.gs),_xlpm.lo,FLOOR(_xlpm.mn/_xlpm.ln,1),_xlpm.hi,CEILING(_xlpm.mx/_xlpm.ln,1),_xlpm.t,IF(_xlpm.lo=_xlpm.hi,_xlpm.lo&amp;"",_xlpm.lo&amp;"–"&amp;_xlpm.hi),_xlfn.TEXTJOIN(" + ",TRUE,_xlfn.SORTBY(_xlpm.t,_xlpm.ln,1)))</f>
        <v>3</v>
      </c>
      <c r="E6" s="37" t="str" cm="1">
        <f t="array" ref="E6">_xlfn.LET(_xlpm.gs,_xlfn.SEQUENCE(B6),_xlpm.ln,_xlfn.MAXIFS('بيانات الفرق'!$N$3:$N$10,'بيانات الفرق'!$L$3:$L$10,"المجموعة "&amp;_xlpm.gs),_xlpm.mn,_xlfn.MINIFS('بيانات الفرق'!$M$3:$M$10,'بيانات الفرق'!$L$3:$L$10,"المجموعة "&amp;_xlpm.gs),_xlpm.mx,_xlfn.MAXIFS('بيانات الفرق'!$M$3:$M$10,'بيانات الفرق'!$L$3:$L$10,"المجموعة "&amp;_xlpm.gs),_xlpm.t,IF(_xlpm.mn=_xlpm.mx,_xlpm.mn&amp;"",_xlpm.mn&amp;"–"&amp;_xlpm.mx),_xlfn.TEXTJOIN(" + ",TRUE,_xlfn.SORTBY(_xlpm.t,_xlpm.ln,1)))</f>
        <v>21</v>
      </c>
      <c r="F6" s="37" t="str">
        <f>"—"</f>
        <v>—</v>
      </c>
      <c r="G6" s="39">
        <f>MAX('8 فرق'!$A$4:$A$87)</f>
        <v>21</v>
      </c>
      <c r="H6" s="37">
        <f>MAX('8 فرق'!$A$4:$A$87)-G6</f>
        <v>0</v>
      </c>
      <c r="I6" s="37">
        <f>MAX('8 فرق'!$A$4:$A$87)</f>
        <v>21</v>
      </c>
      <c r="J6" s="37" t="str">
        <f>MOD(HOUR(المدخلات!$B$5)-1,12)+1&amp;":"&amp;TEXT(MINUTE(المدخلات!$B$5),"00")&amp;IF(HOUR(المدخلات!$B$5)&lt;12," ص"," م")</f>
        <v>4:00 م</v>
      </c>
      <c r="K6" s="37" t="str" cm="1">
        <f t="array" ref="K6">MOD(HOUR(المدخلات!$B$5+((ROUND(SUMPRODUCT(1/COUNTIF('8 فرق'!$B$4:$B$87,'8 فرق'!$B$4:$B$87)),0)-1)*المدخلات!$B$8+المدخلات!$B$6)/1440)-1,12)+1&amp;":"&amp;TEXT(MINUTE(المدخلات!$B$5+((ROUND(SUMPRODUCT(1/COUNTIF('8 فرق'!$B$4:$B$87,'8 فرق'!$B$4:$B$87)),0)-1)*المدخلات!$B$8+المدخلات!$B$6)/1440),"00")&amp;IF(HOUR(المدخلات!$B$5+((ROUND(SUMPRODUCT(1/COUNTIF('8 فرق'!$B$4:$B$87,'8 فرق'!$B$4:$B$87)),0)-1)*المدخلات!$B$8+المدخلات!$B$6)/1440)&lt;12," ص"," م")</f>
        <v>7:10 م</v>
      </c>
      <c r="L6" s="37">
        <f>MAX('8 فرق'!$C$4:$C$87)</f>
        <v>2</v>
      </c>
      <c r="M6" s="5"/>
      <c r="N6" s="5"/>
      <c r="O6" s="5"/>
      <c r="P6" s="5"/>
    </row>
    <row r="7" spans="1:16">
      <c r="A7" s="36">
        <v>10</v>
      </c>
      <c r="B7" s="37" cm="1">
        <f t="array" ref="B7">ROUND(SUMPRODUCT(1/COUNTIF('بيانات الفرق'!$Q$3:$Q$12,'بيانات الفرق'!$Q$3:$Q$12)),0)</f>
        <v>1</v>
      </c>
      <c r="C7" s="37" t="str" cm="1">
        <f t="array" ref="C7">_xlfn.TEXTJOIN(" + ",TRUE,_xlfn._xlws.SORT(COUNTIF('بيانات الفرق'!$Q$3:$Q$12,"المجموعة "&amp;_xlfn.SEQUENCE(B7))))</f>
        <v>10</v>
      </c>
      <c r="D7" s="38" t="str" cm="1">
        <f t="array" ref="D7">_xlfn.LET(_xlpm.gs,_xlfn.SEQUENCE(B7),_xlpm.ln,_xlfn.MAXIFS('بيانات الفرق'!$S$3:$S$12,'بيانات الفرق'!$Q$3:$Q$12,"المجموعة "&amp;_xlpm.gs),_xlpm.mn,_xlfn.MINIFS('بيانات الفرق'!$R$3:$R$12,'بيانات الفرق'!$Q$3:$Q$12,"المجموعة "&amp;_xlpm.gs),_xlpm.mx,_xlfn.MAXIFS('بيانات الفرق'!$R$3:$R$12,'بيانات الفرق'!$Q$3:$Q$12,"المجموعة "&amp;_xlpm.gs),_xlpm.lo,FLOOR(_xlpm.mn/_xlpm.ln,1),_xlpm.hi,CEILING(_xlpm.mx/_xlpm.ln,1),_xlpm.t,IF(_xlpm.lo=_xlpm.hi,_xlpm.lo&amp;"",_xlpm.lo&amp;"–"&amp;_xlpm.hi),_xlfn.TEXTJOIN(" + ",TRUE,_xlfn.SORTBY(_xlpm.t,_xlpm.ln,1)))</f>
        <v>2</v>
      </c>
      <c r="E7" s="37" t="str" cm="1">
        <f t="array" ref="E7">_xlfn.LET(_xlpm.gs,_xlfn.SEQUENCE(B7),_xlpm.ln,_xlfn.MAXIFS('بيانات الفرق'!$S$3:$S$12,'بيانات الفرق'!$Q$3:$Q$12,"المجموعة "&amp;_xlpm.gs),_xlpm.mn,_xlfn.MINIFS('بيانات الفرق'!$R$3:$R$12,'بيانات الفرق'!$Q$3:$Q$12,"المجموعة "&amp;_xlpm.gs),_xlpm.mx,_xlfn.MAXIFS('بيانات الفرق'!$R$3:$R$12,'بيانات الفرق'!$Q$3:$Q$12,"المجموعة "&amp;_xlpm.gs),_xlpm.t,IF(_xlpm.mn=_xlpm.mx,_xlpm.mn&amp;"",_xlpm.mn&amp;"–"&amp;_xlpm.mx),_xlfn.TEXTJOIN(" + ",TRUE,_xlfn.SORTBY(_xlpm.t,_xlpm.ln,1)))</f>
        <v>18</v>
      </c>
      <c r="F7" s="37" t="str">
        <f>"—"</f>
        <v>—</v>
      </c>
      <c r="G7" s="39">
        <f>MAX('10 فرق'!$A$4:$A$93)</f>
        <v>18</v>
      </c>
      <c r="H7" s="37">
        <f>MAX('10 فرق'!$A$4:$A$93)-G7</f>
        <v>0</v>
      </c>
      <c r="I7" s="37">
        <f>MAX('10 فرق'!$A$4:$A$93)</f>
        <v>18</v>
      </c>
      <c r="J7" s="37" t="str">
        <f>MOD(HOUR(المدخلات!$B$5)-1,12)+1&amp;":"&amp;TEXT(MINUTE(المدخلات!$B$5),"00")&amp;IF(HOUR(المدخلات!$B$5)&lt;12," ص"," م")</f>
        <v>4:00 م</v>
      </c>
      <c r="K7" s="37" t="str" cm="1">
        <f t="array" ref="K7">MOD(HOUR(المدخلات!$B$5+((ROUND(SUMPRODUCT(1/COUNTIF('10 فرق'!$B$4:$B$93,'10 فرق'!$B$4:$B$93)),0)-1)*المدخلات!$B$8+المدخلات!$B$6)/1440)-1,12)+1&amp;":"&amp;TEXT(MINUTE(المدخلات!$B$5+((ROUND(SUMPRODUCT(1/COUNTIF('10 فرق'!$B$4:$B$93,'10 فرق'!$B$4:$B$93)),0)-1)*المدخلات!$B$8+المدخلات!$B$6)/1440),"00")&amp;IF(HOUR(المدخلات!$B$5+((ROUND(SUMPRODUCT(1/COUNTIF('10 فرق'!$B$4:$B$93,'10 فرق'!$B$4:$B$93)),0)-1)*المدخلات!$B$8+المدخلات!$B$6)/1440)&lt;12," ص"," م")</f>
        <v>8:50 م</v>
      </c>
      <c r="L7" s="37">
        <f>MAX('10 فرق'!$C$4:$C$93)</f>
        <v>2</v>
      </c>
      <c r="M7" s="5"/>
      <c r="N7" s="5"/>
      <c r="O7" s="5"/>
      <c r="P7" s="5"/>
    </row>
    <row r="8" spans="1:16">
      <c r="A8" s="36">
        <v>13</v>
      </c>
      <c r="B8" s="37" cm="1">
        <f t="array" ref="B8">ROUND(SUMPRODUCT(1/COUNTIF('بيانات الفرق'!$V$3:$V$15,'بيانات الفرق'!$V$3:$V$15)),0)</f>
        <v>2</v>
      </c>
      <c r="C8" s="37" t="str" cm="1">
        <f t="array" ref="C8">_xlfn.TEXTJOIN(" + ",TRUE,_xlfn._xlws.SORT(COUNTIF('بيانات الفرق'!$V$3:$V$15,"المجموعة "&amp;_xlfn.SEQUENCE(B8))))</f>
        <v>6 + 7</v>
      </c>
      <c r="D8" s="37" t="str" cm="1">
        <f t="array" ref="D8">_xlfn.LET(_xlpm.gs,_xlfn.SEQUENCE(B8),_xlpm.ln,_xlfn.MAXIFS('بيانات الفرق'!$X$3:$X$15,'بيانات الفرق'!$V$3:$V$15,"المجموعة "&amp;_xlpm.gs),_xlpm.mn,_xlfn.MINIFS('بيانات الفرق'!$W$3:$W$15,'بيانات الفرق'!$V$3:$V$15,"المجموعة "&amp;_xlpm.gs),_xlpm.mx,_xlfn.MAXIFS('بيانات الفرق'!$W$3:$W$15,'بيانات الفرق'!$V$3:$V$15,"المجموعة "&amp;_xlpm.gs),_xlpm.lo,FLOOR(_xlpm.mn/_xlpm.ln,1),_xlpm.hi,CEILING(_xlpm.mx/_xlpm.ln,1),_xlpm.t,IF(_xlpm.lo=_xlpm.hi,_xlpm.lo&amp;"",_xlpm.lo&amp;"–"&amp;_xlpm.hi),_xlfn.TEXTJOIN(" + ",TRUE,_xlfn.SORTBY(_xlpm.t,_xlpm.ln,1)))</f>
        <v>4 + 3</v>
      </c>
      <c r="E8" s="40" t="str" cm="1">
        <f t="array" ref="E8">_xlfn.LET(_xlpm.gs,_xlfn.SEQUENCE(B8),_xlpm.ln,_xlfn.MAXIFS('بيانات الفرق'!$X$3:$X$15,'بيانات الفرق'!$V$3:$V$15,"المجموعة "&amp;_xlpm.gs),_xlpm.mn,_xlfn.MINIFS('بيانات الفرق'!$W$3:$W$15,'بيانات الفرق'!$V$3:$V$15,"المجموعة "&amp;_xlpm.gs),_xlpm.mx,_xlfn.MAXIFS('بيانات الفرق'!$W$3:$W$15,'بيانات الفرق'!$V$3:$V$15,"المجموعة "&amp;_xlpm.gs),_xlpm.t,IF(_xlpm.mn=_xlpm.mx,_xlpm.mn&amp;"",_xlpm.mn&amp;"–"&amp;_xlpm.mx),_xlfn.TEXTJOIN(" + ",TRUE,_xlfn.SORTBY(_xlpm.t,_xlpm.ln,1)))</f>
        <v>20 + 18</v>
      </c>
      <c r="F8" s="40" t="str">
        <f>IF(COUNTIF('13 فريقًا'!$D$4:$D$127,"نهائي")=0,"—",IF(COUNTIF('13 فريقًا'!$D$4:$D$127,"ربع نهائي")&gt;0,"ربع نهائي ثم نصف نهائي ثم نهائي",IF(COUNTIF('13 فريقًا'!$D$4:$D$127,"نصف نهائي")&gt;0,"نصف نهائي ثم نهائي","نهائي مباشر")))</f>
        <v>نهائي مباشر</v>
      </c>
      <c r="G8" s="37">
        <f>_xlfn.MAXIFS('13 فريقًا'!$A$4:$A$127,'13 فريقًا'!$D$4:$D$127,"المجموعة*")</f>
        <v>21</v>
      </c>
      <c r="H8" s="37">
        <f>MAX('13 فريقًا'!$A$4:$A$127)-G8</f>
        <v>1</v>
      </c>
      <c r="I8" s="37">
        <f>MAX('13 فريقًا'!$A$4:$A$127)</f>
        <v>22</v>
      </c>
      <c r="J8" s="37" t="str">
        <f>MOD(HOUR(المدخلات!$B$5)-1,12)+1&amp;":"&amp;TEXT(MINUTE(المدخلات!$B$5),"00")&amp;IF(HOUR(المدخلات!$B$5)&lt;12," ص"," م")</f>
        <v>4:00 م</v>
      </c>
      <c r="K8" s="37" t="str" cm="1">
        <f t="array" ref="K8">MOD(HOUR(المدخلات!$B$5+((ROUND(SUMPRODUCT(1/COUNTIF('13 فريقًا'!$B$4:$B$127,'13 فريقًا'!$B$4:$B$127)),0)-1)*المدخلات!$B$8+المدخلات!$B$6)/1440)-1,12)+1&amp;":"&amp;TEXT(MINUTE(المدخلات!$B$5+((ROUND(SUMPRODUCT(1/COUNTIF('13 فريقًا'!$B$4:$B$127,'13 فريقًا'!$B$4:$B$127)),0)-1)*المدخلات!$B$8+المدخلات!$B$6)/1440),"00")&amp;IF(HOUR(المدخلات!$B$5+((ROUND(SUMPRODUCT(1/COUNTIF('13 فريقًا'!$B$4:$B$127,'13 فريقًا'!$B$4:$B$127)),0)-1)*المدخلات!$B$8+المدخلات!$B$6)/1440)&lt;12," ص"," م")</f>
        <v>8:50 م</v>
      </c>
      <c r="L8" s="37">
        <f>MAX('13 فريقًا'!$C$4:$C$127)</f>
        <v>2</v>
      </c>
      <c r="M8" s="5"/>
      <c r="N8" s="5"/>
      <c r="O8" s="5"/>
      <c r="P8" s="5"/>
    </row>
    <row r="9" spans="1:16">
      <c r="A9" s="36">
        <v>14</v>
      </c>
      <c r="B9" s="37" cm="1">
        <f t="array" ref="B9">ROUND(SUMPRODUCT(1/COUNTIF('بيانات الفرق'!$AA$3:$AA$16,'بيانات الفرق'!$AA$3:$AA$16)),0)</f>
        <v>2</v>
      </c>
      <c r="C9" s="37" t="str" cm="1">
        <f t="array" ref="C9">_xlfn.TEXTJOIN(" + ",TRUE,_xlfn._xlws.SORT(COUNTIF('بيانات الفرق'!$AA$3:$AA$16,"المجموعة "&amp;_xlfn.SEQUENCE(B9))))</f>
        <v>7 + 7</v>
      </c>
      <c r="D9" s="37" t="str" cm="1">
        <f t="array" ref="D9">_xlfn.LET(_xlpm.gs,_xlfn.SEQUENCE(B9),_xlpm.ln,_xlfn.MAXIFS('بيانات الفرق'!$AC$3:$AC$16,'بيانات الفرق'!$AA$3:$AA$16,"المجموعة "&amp;_xlpm.gs),_xlpm.mn,_xlfn.MINIFS('بيانات الفرق'!$AB$3:$AB$16,'بيانات الفرق'!$AA$3:$AA$16,"المجموعة "&amp;_xlpm.gs),_xlpm.mx,_xlfn.MAXIFS('بيانات الفرق'!$AB$3:$AB$16,'بيانات الفرق'!$AA$3:$AA$16,"المجموعة "&amp;_xlpm.gs),_xlpm.lo,FLOOR(_xlpm.mn/_xlpm.ln,1),_xlpm.hi,CEILING(_xlpm.mx/_xlpm.ln,1),_xlpm.t,IF(_xlpm.lo=_xlpm.hi,_xlpm.lo&amp;"",_xlpm.lo&amp;"–"&amp;_xlpm.hi),_xlfn.TEXTJOIN(" + ",TRUE,_xlfn.SORTBY(_xlpm.t,_xlpm.ln,1)))</f>
        <v>3 + 3</v>
      </c>
      <c r="E9" s="37" t="str" cm="1">
        <f t="array" ref="E9">_xlfn.LET(_xlpm.gs,_xlfn.SEQUENCE(B9),_xlpm.ln,_xlfn.MAXIFS('بيانات الفرق'!$AC$3:$AC$16,'بيانات الفرق'!$AA$3:$AA$16,"المجموعة "&amp;_xlpm.gs),_xlpm.mn,_xlfn.MINIFS('بيانات الفرق'!$AB$3:$AB$16,'بيانات الفرق'!$AA$3:$AA$16,"المجموعة "&amp;_xlpm.gs),_xlpm.mx,_xlfn.MAXIFS('بيانات الفرق'!$AB$3:$AB$16,'بيانات الفرق'!$AA$3:$AA$16,"المجموعة "&amp;_xlpm.gs),_xlpm.t,IF(_xlpm.mn=_xlpm.mx,_xlpm.mn&amp;"",_xlpm.mn&amp;"–"&amp;_xlpm.mx),_xlfn.TEXTJOIN(" + ",TRUE,_xlfn.SORTBY(_xlpm.t,_xlpm.ln,1)))</f>
        <v>18 + 18</v>
      </c>
      <c r="F9" s="37" t="str">
        <f>IF(COUNTIF('14 فريقًا'!$D$4:$D$130,"نهائي")=0,"—",IF(COUNTIF('14 فريقًا'!$D$4:$D$130,"ربع نهائي")&gt;0,"ربع نهائي ثم نصف نهائي ثم نهائي",IF(COUNTIF('14 فريقًا'!$D$4:$D$130,"نصف نهائي")&gt;0,"نصف نهائي ثم نهائي","نهائي مباشر")))</f>
        <v>نهائي مباشر</v>
      </c>
      <c r="G9" s="37">
        <f>_xlfn.MAXIFS('14 فريقًا'!$A$4:$A$130,'14 فريقًا'!$D$4:$D$130,"المجموعة*")</f>
        <v>21</v>
      </c>
      <c r="H9" s="37">
        <f>MAX('14 فريقًا'!$A$4:$A$130)-G9</f>
        <v>1</v>
      </c>
      <c r="I9" s="37">
        <f>MAX('14 فريقًا'!$A$4:$A$130)</f>
        <v>22</v>
      </c>
      <c r="J9" s="37" t="str">
        <f>MOD(HOUR(المدخلات!$B$5)-1,12)+1&amp;":"&amp;TEXT(MINUTE(المدخلات!$B$5),"00")&amp;IF(HOUR(المدخلات!$B$5)&lt;12," ص"," م")</f>
        <v>4:00 م</v>
      </c>
      <c r="K9" s="37" t="str" cm="1">
        <f t="array" ref="K9">MOD(HOUR(المدخلات!$B$5+((ROUND(SUMPRODUCT(1/COUNTIF('14 فريقًا'!$B$4:$B$130,'14 فريقًا'!$B$4:$B$130)),0)-1)*المدخلات!$B$8+المدخلات!$B$6)/1440)-1,12)+1&amp;":"&amp;TEXT(MINUTE(المدخلات!$B$5+((ROUND(SUMPRODUCT(1/COUNTIF('14 فريقًا'!$B$4:$B$130,'14 فريقًا'!$B$4:$B$130)),0)-1)*المدخلات!$B$8+المدخلات!$B$6)/1440),"00")&amp;IF(HOUR(المدخلات!$B$5+((ROUND(SUMPRODUCT(1/COUNTIF('14 فريقًا'!$B$4:$B$130,'14 فريقًا'!$B$4:$B$130)),0)-1)*المدخلات!$B$8+المدخلات!$B$6)/1440)&lt;12," ص"," م")</f>
        <v>8:50 م</v>
      </c>
      <c r="L9" s="37">
        <f>MAX('14 فريقًا'!$C$4:$C$130)</f>
        <v>2</v>
      </c>
      <c r="M9" s="5"/>
      <c r="N9" s="5"/>
      <c r="O9" s="5"/>
      <c r="P9" s="5"/>
    </row>
    <row r="10" spans="1:16">
      <c r="A10" s="36">
        <v>15</v>
      </c>
      <c r="B10" s="37" cm="1">
        <f t="array" ref="B10">ROUND(SUMPRODUCT(1/COUNTIF('بيانات الفرق'!$AF$3:$AF$17,'بيانات الفرق'!$AF$3:$AF$17)),0)</f>
        <v>2</v>
      </c>
      <c r="C10" s="37" t="str" cm="1">
        <f t="array" ref="C10">_xlfn.TEXTJOIN(" + ",TRUE,_xlfn._xlws.SORT(COUNTIF('بيانات الفرق'!$AF$3:$AF$17,"المجموعة "&amp;_xlfn.SEQUENCE(B10))))</f>
        <v>7 + 8</v>
      </c>
      <c r="D10" s="37" t="str" cm="1">
        <f t="array" ref="D10">_xlfn.LET(_xlpm.gs,_xlfn.SEQUENCE(B10),_xlpm.ln,_xlfn.MAXIFS('بيانات الفرق'!$AH$3:$AH$17,'بيانات الفرق'!$AF$3:$AF$17,"المجموعة "&amp;_xlpm.gs),_xlpm.mn,_xlfn.MINIFS('بيانات الفرق'!$AG$3:$AG$17,'بيانات الفرق'!$AF$3:$AF$17,"المجموعة "&amp;_xlpm.gs),_xlpm.mx,_xlfn.MAXIFS('بيانات الفرق'!$AG$3:$AG$17,'بيانات الفرق'!$AF$3:$AF$17,"المجموعة "&amp;_xlpm.gs),_xlpm.lo,FLOOR(_xlpm.mn/_xlpm.ln,1),_xlpm.hi,CEILING(_xlpm.mx/_xlpm.ln,1),_xlpm.t,IF(_xlpm.lo=_xlpm.hi,_xlpm.lo&amp;"",_xlpm.lo&amp;"–"&amp;_xlpm.hi),_xlfn.TEXTJOIN(" + ",TRUE,_xlfn.SORTBY(_xlpm.t,_xlpm.ln,1)))</f>
        <v>3 + 3</v>
      </c>
      <c r="E10" s="37" t="str" cm="1">
        <f t="array" ref="E10">_xlfn.LET(_xlpm.gs,_xlfn.SEQUENCE(B10),_xlpm.ln,_xlfn.MAXIFS('بيانات الفرق'!$AH$3:$AH$17,'بيانات الفرق'!$AF$3:$AF$17,"المجموعة "&amp;_xlpm.gs),_xlpm.mn,_xlfn.MINIFS('بيانات الفرق'!$AG$3:$AG$17,'بيانات الفرق'!$AF$3:$AF$17,"المجموعة "&amp;_xlpm.gs),_xlpm.mx,_xlfn.MAXIFS('بيانات الفرق'!$AG$3:$AG$17,'بيانات الفرق'!$AF$3:$AF$17,"المجموعة "&amp;_xlpm.gs),_xlpm.t,IF(_xlpm.mn=_xlpm.mx,_xlpm.mn&amp;"",_xlpm.mn&amp;"–"&amp;_xlpm.mx),_xlfn.TEXTJOIN(" + ",TRUE,_xlfn.SORTBY(_xlpm.t,_xlpm.ln,1)))</f>
        <v>18 + 21</v>
      </c>
      <c r="F10" s="37" t="str">
        <f>IF(COUNTIF('15 فريقًا'!$D$4:$D$151,"نهائي")=0,"—",IF(COUNTIF('15 فريقًا'!$D$4:$D$151,"ربع نهائي")&gt;0,"ربع نهائي ثم نصف نهائي ثم نهائي",IF(COUNTIF('15 فريقًا'!$D$4:$D$151,"نصف نهائي")&gt;0,"نصف نهائي ثم نهائي","نهائي مباشر")))</f>
        <v>نهائي مباشر</v>
      </c>
      <c r="G10" s="37">
        <f>_xlfn.MAXIFS('15 فريقًا'!$A$4:$A$151,'15 فريقًا'!$D$4:$D$151,"المجموعة*")</f>
        <v>21</v>
      </c>
      <c r="H10" s="37">
        <f>MAX('15 فريقًا'!$A$4:$A$151)-G10</f>
        <v>1</v>
      </c>
      <c r="I10" s="37">
        <f>MAX('15 فريقًا'!$A$4:$A$151)</f>
        <v>22</v>
      </c>
      <c r="J10" s="37" t="str">
        <f>MOD(HOUR(المدخلات!$B$5)-1,12)+1&amp;":"&amp;TEXT(MINUTE(المدخلات!$B$5),"00")&amp;IF(HOUR(المدخلات!$B$5)&lt;12," ص"," م")</f>
        <v>4:00 م</v>
      </c>
      <c r="K10" s="37" t="str" cm="1">
        <f t="array" ref="K10">MOD(HOUR(المدخلات!$B$5+((ROUND(SUMPRODUCT(1/COUNTIF('15 فريقًا'!$B$4:$B$151,'15 فريقًا'!$B$4:$B$151)),0)-1)*المدخلات!$B$8+المدخلات!$B$6)/1440)-1,12)+1&amp;":"&amp;TEXT(MINUTE(المدخلات!$B$5+((ROUND(SUMPRODUCT(1/COUNTIF('15 فريقًا'!$B$4:$B$151,'15 فريقًا'!$B$4:$B$151)),0)-1)*المدخلات!$B$8+المدخلات!$B$6)/1440),"00")&amp;IF(HOUR(المدخلات!$B$5+((ROUND(SUMPRODUCT(1/COUNTIF('15 فريقًا'!$B$4:$B$151,'15 فريقًا'!$B$4:$B$151)),0)-1)*المدخلات!$B$8+المدخلات!$B$6)/1440)&lt;12," ص"," م")</f>
        <v>8:50 م</v>
      </c>
      <c r="L10" s="37">
        <f>MAX('15 فريقًا'!$C$4:$C$151)</f>
        <v>3</v>
      </c>
      <c r="M10" s="5"/>
      <c r="N10" s="5"/>
      <c r="O10" s="5"/>
      <c r="P10" s="5"/>
    </row>
    <row r="11" spans="1:16">
      <c r="A11" s="36">
        <v>16</v>
      </c>
      <c r="B11" s="37" cm="1">
        <f t="array" ref="B11">ROUND(SUMPRODUCT(1/COUNTIF('بيانات الفرق'!$AK$3:$AK$18,'بيانات الفرق'!$AK$3:$AK$18)),0)</f>
        <v>2</v>
      </c>
      <c r="C11" s="37" t="str" cm="1">
        <f t="array" ref="C11">_xlfn.TEXTJOIN(" + ",TRUE,_xlfn._xlws.SORT(COUNTIF('بيانات الفرق'!$AK$3:$AK$18,"المجموعة "&amp;_xlfn.SEQUENCE(B11))))</f>
        <v>8 + 8</v>
      </c>
      <c r="D11" s="37" t="str" cm="1">
        <f t="array" ref="D11">_xlfn.LET(_xlpm.gs,_xlfn.SEQUENCE(B11),_xlpm.ln,_xlfn.MAXIFS('بيانات الفرق'!$AM$3:$AM$18,'بيانات الفرق'!$AK$3:$AK$18,"المجموعة "&amp;_xlpm.gs),_xlpm.mn,_xlfn.MINIFS('بيانات الفرق'!$AL$3:$AL$18,'بيانات الفرق'!$AK$3:$AK$18,"المجموعة "&amp;_xlpm.gs),_xlpm.mx,_xlfn.MAXIFS('بيانات الفرق'!$AL$3:$AL$18,'بيانات الفرق'!$AK$3:$AK$18,"المجموعة "&amp;_xlpm.gs),_xlpm.lo,FLOOR(_xlpm.mn/_xlpm.ln,1),_xlpm.hi,CEILING(_xlpm.mx/_xlpm.ln,1),_xlpm.t,IF(_xlpm.lo=_xlpm.hi,_xlpm.lo&amp;"",_xlpm.lo&amp;"–"&amp;_xlpm.hi),_xlfn.TEXTJOIN(" + ",TRUE,_xlfn.SORTBY(_xlpm.t,_xlpm.ln,1)))</f>
        <v>3 + 3</v>
      </c>
      <c r="E11" s="37" t="str" cm="1">
        <f t="array" ref="E11">_xlfn.LET(_xlpm.gs,_xlfn.SEQUENCE(B11),_xlpm.ln,_xlfn.MAXIFS('بيانات الفرق'!$AM$3:$AM$18,'بيانات الفرق'!$AK$3:$AK$18,"المجموعة "&amp;_xlpm.gs),_xlpm.mn,_xlfn.MINIFS('بيانات الفرق'!$AL$3:$AL$18,'بيانات الفرق'!$AK$3:$AK$18,"المجموعة "&amp;_xlpm.gs),_xlpm.mx,_xlfn.MAXIFS('بيانات الفرق'!$AL$3:$AL$18,'بيانات الفرق'!$AK$3:$AK$18,"المجموعة "&amp;_xlpm.gs),_xlpm.t,IF(_xlpm.mn=_xlpm.mx,_xlpm.mn&amp;"",_xlpm.mn&amp;"–"&amp;_xlpm.mx),_xlfn.TEXTJOIN(" + ",TRUE,_xlfn.SORTBY(_xlpm.t,_xlpm.ln,1)))</f>
        <v>21 + 21</v>
      </c>
      <c r="F11" s="37" t="str">
        <f>IF(COUNTIF('16 فريقًا'!$D$4:$D$172,"نهائي")=0,"—",IF(COUNTIF('16 فريقًا'!$D$4:$D$172,"ربع نهائي")&gt;0,"ربع نهائي ثم نصف نهائي ثم نهائي",IF(COUNTIF('16 فريقًا'!$D$4:$D$172,"نصف نهائي")&gt;0,"نصف نهائي ثم نهائي","نهائي مباشر")))</f>
        <v>نهائي مباشر</v>
      </c>
      <c r="G11" s="37">
        <f>_xlfn.MAXIFS('16 فريقًا'!$A$4:$A$172,'16 فريقًا'!$D$4:$D$172,"المجموعة*")</f>
        <v>21</v>
      </c>
      <c r="H11" s="37">
        <f>MAX('16 فريقًا'!$A$4:$A$172)-G11</f>
        <v>1</v>
      </c>
      <c r="I11" s="37">
        <f>MAX('16 فريقًا'!$A$4:$A$172)</f>
        <v>22</v>
      </c>
      <c r="J11" s="37" t="str">
        <f>MOD(HOUR(المدخلات!$B$5)-1,12)+1&amp;":"&amp;TEXT(MINUTE(المدخلات!$B$5),"00")&amp;IF(HOUR(المدخلات!$B$5)&lt;12," ص"," م")</f>
        <v>4:00 م</v>
      </c>
      <c r="K11" s="37" t="str" cm="1">
        <f t="array" ref="K11">MOD(HOUR(المدخلات!$B$5+((ROUND(SUMPRODUCT(1/COUNTIF('16 فريقًا'!$B$4:$B$172,'16 فريقًا'!$B$4:$B$172)),0)-1)*المدخلات!$B$8+المدخلات!$B$6)/1440)-1,12)+1&amp;":"&amp;TEXT(MINUTE(المدخلات!$B$5+((ROUND(SUMPRODUCT(1/COUNTIF('16 فريقًا'!$B$4:$B$172,'16 فريقًا'!$B$4:$B$172)),0)-1)*المدخلات!$B$8+المدخلات!$B$6)/1440),"00")&amp;IF(HOUR(المدخلات!$B$5+((ROUND(SUMPRODUCT(1/COUNTIF('16 فريقًا'!$B$4:$B$172,'16 فريقًا'!$B$4:$B$172)),0)-1)*المدخلات!$B$8+المدخلات!$B$6)/1440)&lt;12," ص"," م")</f>
        <v>8:50 م</v>
      </c>
      <c r="L11" s="37">
        <f>MAX('16 فريقًا'!$C$4:$C$172)</f>
        <v>3</v>
      </c>
      <c r="M11" s="5"/>
      <c r="N11" s="5"/>
      <c r="O11" s="5"/>
      <c r="P11" s="5"/>
    </row>
    <row r="12" spans="1:16">
      <c r="A12" s="36">
        <v>18</v>
      </c>
      <c r="B12" s="37" cm="1">
        <f t="array" ref="B12">ROUND(SUMPRODUCT(1/COUNTIF('بيانات الفرق'!$AP$3:$AP$20,'بيانات الفرق'!$AP$3:$AP$20)),0)</f>
        <v>3</v>
      </c>
      <c r="C12" s="37" t="str" cm="1">
        <f t="array" ref="C12">_xlfn.TEXTJOIN(" + ",TRUE,_xlfn._xlws.SORT(COUNTIF('بيانات الفرق'!$AP$3:$AP$20,"المجموعة "&amp;_xlfn.SEQUENCE(B12))))</f>
        <v>6 + 6 + 6</v>
      </c>
      <c r="D12" s="37" t="str" cm="1">
        <f t="array" ref="D12">_xlfn.LET(_xlpm.gs,_xlfn.SEQUENCE(B12),_xlpm.ln,_xlfn.MAXIFS('بيانات الفرق'!$AR$3:$AR$20,'بيانات الفرق'!$AP$3:$AP$20,"المجموعة "&amp;_xlpm.gs),_xlpm.mn,_xlfn.MINIFS('بيانات الفرق'!$AQ$3:$AQ$20,'بيانات الفرق'!$AP$3:$AP$20,"المجموعة "&amp;_xlpm.gs),_xlpm.mx,_xlfn.MAXIFS('بيانات الفرق'!$AQ$3:$AQ$20,'بيانات الفرق'!$AP$3:$AP$20,"المجموعة "&amp;_xlpm.gs),_xlpm.lo,FLOOR(_xlpm.mn/_xlpm.ln,1),_xlpm.hi,CEILING(_xlpm.mx/_xlpm.ln,1),_xlpm.t,IF(_xlpm.lo=_xlpm.hi,_xlpm.lo&amp;"",_xlpm.lo&amp;"–"&amp;_xlpm.hi),_xlfn.TEXTJOIN(" + ",TRUE,_xlfn.SORTBY(_xlpm.t,_xlpm.ln,1)))</f>
        <v>4 + 4 + 4</v>
      </c>
      <c r="E12" s="37" t="str" cm="1">
        <f t="array" ref="E12">_xlfn.LET(_xlpm.gs,_xlfn.SEQUENCE(B12),_xlpm.ln,_xlfn.MAXIFS('بيانات الفرق'!$AR$3:$AR$20,'بيانات الفرق'!$AP$3:$AP$20,"المجموعة "&amp;_xlpm.gs),_xlpm.mn,_xlfn.MINIFS('بيانات الفرق'!$AQ$3:$AQ$20,'بيانات الفرق'!$AP$3:$AP$20,"المجموعة "&amp;_xlpm.gs),_xlpm.mx,_xlfn.MAXIFS('بيانات الفرق'!$AQ$3:$AQ$20,'بيانات الفرق'!$AP$3:$AP$20,"المجموعة "&amp;_xlpm.gs),_xlpm.t,IF(_xlpm.mn=_xlpm.mx,_xlpm.mn&amp;"",_xlpm.mn&amp;"–"&amp;_xlpm.mx),_xlfn.TEXTJOIN(" + ",TRUE,_xlfn.SORTBY(_xlpm.t,_xlpm.ln,1)))</f>
        <v>20 + 20 + 20</v>
      </c>
      <c r="F12" s="37" t="str">
        <f>IF(COUNTIF('18 فريقًا'!$D$4:$D$186,"نهائي")=0,"—",IF(COUNTIF('18 فريقًا'!$D$4:$D$186,"ربع نهائي")&gt;0,"ربع نهائي ثم نصف نهائي ثم نهائي",IF(COUNTIF('18 فريقًا'!$D$4:$D$186,"نصف نهائي")&gt;0,"نصف نهائي ثم نهائي","نهائي مباشر")))</f>
        <v>نصف نهائي ثم نهائي</v>
      </c>
      <c r="G12" s="37">
        <f>_xlfn.MAXIFS('18 فريقًا'!$A$4:$A$186,'18 فريقًا'!$D$4:$D$186,"المجموعة*")</f>
        <v>20</v>
      </c>
      <c r="H12" s="37">
        <f>MAX('18 فريقًا'!$A$4:$A$186)-G12</f>
        <v>2</v>
      </c>
      <c r="I12" s="37">
        <f>MAX('18 فريقًا'!$A$4:$A$186)</f>
        <v>22</v>
      </c>
      <c r="J12" s="37" t="str">
        <f>MOD(HOUR(المدخلات!$B$5)-1,12)+1&amp;":"&amp;TEXT(MINUTE(المدخلات!$B$5),"00")&amp;IF(HOUR(المدخلات!$B$5)&lt;12," ص"," م")</f>
        <v>4:00 م</v>
      </c>
      <c r="K12" s="37" t="str" cm="1">
        <f t="array" ref="K12">MOD(HOUR(المدخلات!$B$5+((ROUND(SUMPRODUCT(1/COUNTIF('18 فريقًا'!$B$4:$B$186,'18 فريقًا'!$B$4:$B$186)),0)-1)*المدخلات!$B$8+المدخلات!$B$6)/1440)-1,12)+1&amp;":"&amp;TEXT(MINUTE(المدخلات!$B$5+((ROUND(SUMPRODUCT(1/COUNTIF('18 فريقًا'!$B$4:$B$186,'18 فريقًا'!$B$4:$B$186)),0)-1)*المدخلات!$B$8+المدخلات!$B$6)/1440),"00")&amp;IF(HOUR(المدخلات!$B$5+((ROUND(SUMPRODUCT(1/COUNTIF('18 فريقًا'!$B$4:$B$186,'18 فريقًا'!$B$4:$B$186)),0)-1)*المدخلات!$B$8+المدخلات!$B$6)/1440)&lt;12," ص"," م")</f>
        <v>8:50 م</v>
      </c>
      <c r="L12" s="37">
        <f>MAX('18 فريقًا'!$C$4:$C$186)</f>
        <v>3</v>
      </c>
      <c r="M12" s="5"/>
      <c r="N12" s="5"/>
      <c r="O12" s="5"/>
      <c r="P12" s="5"/>
    </row>
    <row r="13" spans="1:16">
      <c r="A13" s="36">
        <v>19</v>
      </c>
      <c r="B13" s="37" cm="1">
        <f t="array" ref="B13">ROUND(SUMPRODUCT(1/COUNTIF('بيانات الفرق'!$AU$3:$AU$21,'بيانات الفرق'!$AU$3:$AU$21)),0)</f>
        <v>1</v>
      </c>
      <c r="C13" s="37" t="str" cm="1">
        <f t="array" ref="C13">_xlfn.TEXTJOIN(" + ",TRUE,_xlfn._xlws.SORT(COUNTIF('بيانات الفرق'!$AU$3:$AU$21,"المجموعة "&amp;_xlfn.SEQUENCE(B13))))</f>
        <v>19</v>
      </c>
      <c r="D13" s="37" t="str" cm="1">
        <f t="array" ref="D13">_xlfn.LET(_xlpm.gs,_xlfn.SEQUENCE(B13),_xlpm.ln,_xlfn.MAXIFS('بيانات الفرق'!$AW$3:$AW$21,'بيانات الفرق'!$AU$3:$AU$21,"المجموعة "&amp;_xlpm.gs),_xlpm.mn,_xlfn.MINIFS('بيانات الفرق'!$AV$3:$AV$21,'بيانات الفرق'!$AU$3:$AU$21,"المجموعة "&amp;_xlpm.gs),_xlpm.mx,_xlfn.MAXIFS('بيانات الفرق'!$AV$3:$AV$21,'بيانات الفرق'!$AU$3:$AU$21,"المجموعة "&amp;_xlpm.gs),_xlpm.lo,FLOOR(_xlpm.mn/_xlpm.ln,1),_xlpm.hi,CEILING(_xlpm.mx/_xlpm.ln,1),_xlpm.t,IF(_xlpm.lo=_xlpm.hi,_xlpm.lo&amp;"",_xlpm.lo&amp;"–"&amp;_xlpm.hi),_xlfn.TEXTJOIN(" + ",TRUE,_xlfn.SORTBY(_xlpm.t,_xlpm.ln,1)))</f>
        <v>1</v>
      </c>
      <c r="E13" s="37" t="str" cm="1">
        <f t="array" ref="E13">_xlfn.LET(_xlpm.gs,_xlfn.SEQUENCE(B13),_xlpm.ln,_xlfn.MAXIFS('بيانات الفرق'!$AW$3:$AW$21,'بيانات الفرق'!$AU$3:$AU$21,"المجموعة "&amp;_xlpm.gs),_xlpm.mn,_xlfn.MINIFS('بيانات الفرق'!$AV$3:$AV$21,'بيانات الفرق'!$AU$3:$AU$21,"المجموعة "&amp;_xlpm.gs),_xlpm.mx,_xlfn.MAXIFS('بيانات الفرق'!$AV$3:$AV$21,'بيانات الفرق'!$AU$3:$AU$21,"المجموعة "&amp;_xlpm.gs),_xlpm.t,IF(_xlpm.mn=_xlpm.mx,_xlpm.mn&amp;"",_xlpm.mn&amp;"–"&amp;_xlpm.mx),_xlfn.TEXTJOIN(" + ",TRUE,_xlfn.SORTBY(_xlpm.t,_xlpm.ln,1)))</f>
        <v>18</v>
      </c>
      <c r="F13" s="37" t="str">
        <f>"—"</f>
        <v>—</v>
      </c>
      <c r="G13" s="37">
        <f>MAX('19 فريقًا'!$A$4:$A$174)</f>
        <v>19</v>
      </c>
      <c r="H13" s="37">
        <f>MAX('19 فريقًا'!$A$4:$A$174)-G13</f>
        <v>0</v>
      </c>
      <c r="I13" s="37">
        <f>MAX('19 فريقًا'!$A$4:$A$174)</f>
        <v>19</v>
      </c>
      <c r="J13" s="37" t="str">
        <f>MOD(HOUR(المدخلات!$B$5)-1,12)+1&amp;":"&amp;TEXT(MINUTE(المدخلات!$B$5),"00")&amp;IF(HOUR(المدخلات!$B$5)&lt;12," ص"," م")</f>
        <v>4:00 م</v>
      </c>
      <c r="K13" s="37" t="str" cm="1">
        <f t="array" ref="K13">MOD(HOUR(المدخلات!$B$5+((ROUND(SUMPRODUCT(1/COUNTIF('19 فريقًا'!$B$4:$B$174,'19 فريقًا'!$B$4:$B$174)),0)-1)*المدخلات!$B$8+المدخلات!$B$6)/1440)-1,12)+1&amp;":"&amp;TEXT(MINUTE(المدخلات!$B$5+((ROUND(SUMPRODUCT(1/COUNTIF('19 فريقًا'!$B$4:$B$174,'19 فريقًا'!$B$4:$B$174)),0)-1)*المدخلات!$B$8+المدخلات!$B$6)/1440),"00")&amp;IF(HOUR(المدخلات!$B$5+((ROUND(SUMPRODUCT(1/COUNTIF('19 فريقًا'!$B$4:$B$174,'19 فريقًا'!$B$4:$B$174)),0)-1)*المدخلات!$B$8+المدخلات!$B$6)/1440)&lt;12," ص"," م")</f>
        <v>8:50 م</v>
      </c>
      <c r="L13" s="37">
        <f>MAX('19 فريقًا'!$C$4:$C$174)</f>
        <v>3</v>
      </c>
      <c r="M13" s="5"/>
      <c r="N13" s="5"/>
      <c r="O13" s="5"/>
      <c r="P13" s="5"/>
    </row>
    <row r="14" spans="1:16">
      <c r="A14" s="36">
        <v>20</v>
      </c>
      <c r="B14" s="37" cm="1">
        <f t="array" ref="B14">ROUND(SUMPRODUCT(1/COUNTIF('بيانات الفرق'!$AZ$3:$AZ$22,'بيانات الفرق'!$AZ$3:$AZ$22)),0)</f>
        <v>1</v>
      </c>
      <c r="C14" s="37" t="str" cm="1">
        <f t="array" ref="C14">_xlfn.TEXTJOIN(" + ",TRUE,_xlfn._xlws.SORT(COUNTIF('بيانات الفرق'!$AZ$3:$AZ$22,"المجموعة "&amp;_xlfn.SEQUENCE(B14))))</f>
        <v>20</v>
      </c>
      <c r="D14" s="37" t="str" cm="1">
        <f t="array" ref="D14">_xlfn.LET(_xlpm.gs,_xlfn.SEQUENCE(B14),_xlpm.ln,_xlfn.MAXIFS('بيانات الفرق'!$BB$3:$BB$22,'بيانات الفرق'!$AZ$3:$AZ$22,"المجموعة "&amp;_xlpm.gs),_xlpm.mn,_xlfn.MINIFS('بيانات الفرق'!$BA$3:$BA$22,'بيانات الفرق'!$AZ$3:$AZ$22,"المجموعة "&amp;_xlpm.gs),_xlpm.mx,_xlfn.MAXIFS('بيانات الفرق'!$BA$3:$BA$22,'بيانات الفرق'!$AZ$3:$AZ$22,"المجموعة "&amp;_xlpm.gs),_xlpm.lo,FLOOR(_xlpm.mn/_xlpm.ln,1),_xlpm.hi,CEILING(_xlpm.mx/_xlpm.ln,1),_xlpm.t,IF(_xlpm.lo=_xlpm.hi,_xlpm.lo&amp;"",_xlpm.lo&amp;"–"&amp;_xlpm.hi),_xlfn.TEXTJOIN(" + ",TRUE,_xlfn.SORTBY(_xlpm.t,_xlpm.ln,1)))</f>
        <v>1</v>
      </c>
      <c r="E14" s="37" t="str" cm="1">
        <f t="array" ref="E14">_xlfn.LET(_xlpm.gs,_xlfn.SEQUENCE(B14),_xlpm.ln,_xlfn.MAXIFS('بيانات الفرق'!$BB$3:$BB$22,'بيانات الفرق'!$AZ$3:$AZ$22,"المجموعة "&amp;_xlpm.gs),_xlpm.mn,_xlfn.MINIFS('بيانات الفرق'!$BA$3:$BA$22,'بيانات الفرق'!$AZ$3:$AZ$22,"المجموعة "&amp;_xlpm.gs),_xlpm.mx,_xlfn.MAXIFS('بيانات الفرق'!$BA$3:$BA$22,'بيانات الفرق'!$AZ$3:$AZ$22,"المجموعة "&amp;_xlpm.gs),_xlpm.t,IF(_xlpm.mn=_xlpm.mx,_xlpm.mn&amp;"",_xlpm.mn&amp;"–"&amp;_xlpm.mx),_xlfn.TEXTJOIN(" + ",TRUE,_xlfn.SORTBY(_xlpm.t,_xlpm.ln,1)))</f>
        <v>19</v>
      </c>
      <c r="F14" s="37" t="str">
        <f>"—"</f>
        <v>—</v>
      </c>
      <c r="G14" s="37">
        <f>MAX('20 فريقًا'!$A$4:$A$193)</f>
        <v>19</v>
      </c>
      <c r="H14" s="37">
        <f>MAX('20 فريقًا'!$A$4:$A$193)-G14</f>
        <v>0</v>
      </c>
      <c r="I14" s="37">
        <f>MAX('20 فريقًا'!$A$4:$A$193)</f>
        <v>19</v>
      </c>
      <c r="J14" s="37" t="str">
        <f>MOD(HOUR(المدخلات!$B$5)-1,12)+1&amp;":"&amp;TEXT(MINUTE(المدخلات!$B$5),"00")&amp;IF(HOUR(المدخلات!$B$5)&lt;12," ص"," م")</f>
        <v>4:00 م</v>
      </c>
      <c r="K14" s="37" t="str" cm="1">
        <f t="array" ref="K14">MOD(HOUR(المدخلات!$B$5+((ROUND(SUMPRODUCT(1/COUNTIF('20 فريقًا'!$B$4:$B$193,'20 فريقًا'!$B$4:$B$193)),0)-1)*المدخلات!$B$8+المدخلات!$B$6)/1440)-1,12)+1&amp;":"&amp;TEXT(MINUTE(المدخلات!$B$5+((ROUND(SUMPRODUCT(1/COUNTIF('20 فريقًا'!$B$4:$B$193,'20 فريقًا'!$B$4:$B$193)),0)-1)*المدخلات!$B$8+المدخلات!$B$6)/1440),"00")&amp;IF(HOUR(المدخلات!$B$5+((ROUND(SUMPRODUCT(1/COUNTIF('20 فريقًا'!$B$4:$B$193,'20 فريقًا'!$B$4:$B$193)),0)-1)*المدخلات!$B$8+المدخلات!$B$6)/1440)&lt;12," ص"," م")</f>
        <v>8:50 م</v>
      </c>
      <c r="L14" s="37">
        <f>MAX('20 فريقًا'!$C$4:$C$193)</f>
        <v>4</v>
      </c>
      <c r="M14" s="5"/>
      <c r="N14" s="5"/>
      <c r="O14" s="5"/>
      <c r="P14" s="5"/>
    </row>
    <row r="15" spans="1:16">
      <c r="A15" s="36">
        <v>21</v>
      </c>
      <c r="B15" s="37" cm="1">
        <f t="array" ref="B15">ROUND(SUMPRODUCT(1/COUNTIF('بيانات الفرق'!$BE$3:$BE$23,'بيانات الفرق'!$BE$3:$BE$23)),0)</f>
        <v>1</v>
      </c>
      <c r="C15" s="37" t="str" cm="1">
        <f t="array" ref="C15">_xlfn.TEXTJOIN(" + ",TRUE,_xlfn._xlws.SORT(COUNTIF('بيانات الفرق'!$BE$3:$BE$23,"المجموعة "&amp;_xlfn.SEQUENCE(B15))))</f>
        <v>21</v>
      </c>
      <c r="D15" s="37" t="str" cm="1">
        <f t="array" ref="D15">_xlfn.LET(_xlpm.gs,_xlfn.SEQUENCE(B15),_xlpm.ln,_xlfn.MAXIFS('بيانات الفرق'!$BG$3:$BG$23,'بيانات الفرق'!$BE$3:$BE$23,"المجموعة "&amp;_xlpm.gs),_xlpm.mn,_xlfn.MINIFS('بيانات الفرق'!$BF$3:$BF$23,'بيانات الفرق'!$BE$3:$BE$23,"المجموعة "&amp;_xlpm.gs),_xlpm.mx,_xlfn.MAXIFS('بيانات الفرق'!$BF$3:$BF$23,'بيانات الفرق'!$BE$3:$BE$23,"المجموعة "&amp;_xlpm.gs),_xlpm.lo,FLOOR(_xlpm.mn/_xlpm.ln,1),_xlpm.hi,CEILING(_xlpm.mx/_xlpm.ln,1),_xlpm.t,IF(_xlpm.lo=_xlpm.hi,_xlpm.lo&amp;"",_xlpm.lo&amp;"–"&amp;_xlpm.hi),_xlfn.TEXTJOIN(" + ",TRUE,_xlfn.SORTBY(_xlpm.t,_xlpm.ln,1)))</f>
        <v>1</v>
      </c>
      <c r="E15" s="37" t="str" cm="1">
        <f t="array" ref="E15">_xlfn.LET(_xlpm.gs,_xlfn.SEQUENCE(B15),_xlpm.ln,_xlfn.MAXIFS('بيانات الفرق'!$BG$3:$BG$23,'بيانات الفرق'!$BE$3:$BE$23,"المجموعة "&amp;_xlpm.gs),_xlpm.mn,_xlfn.MINIFS('بيانات الفرق'!$BF$3:$BF$23,'بيانات الفرق'!$BE$3:$BE$23,"المجموعة "&amp;_xlpm.gs),_xlpm.mx,_xlfn.MAXIFS('بيانات الفرق'!$BF$3:$BF$23,'بيانات الفرق'!$BE$3:$BE$23,"المجموعة "&amp;_xlpm.gs),_xlpm.t,IF(_xlpm.mn=_xlpm.mx,_xlpm.mn&amp;"",_xlpm.mn&amp;"–"&amp;_xlpm.mx),_xlfn.TEXTJOIN(" + ",TRUE,_xlfn.SORTBY(_xlpm.t,_xlpm.ln,1)))</f>
        <v>20</v>
      </c>
      <c r="F15" s="37" t="str">
        <f>"—"</f>
        <v>—</v>
      </c>
      <c r="G15" s="37">
        <f>MAX('21 فريقًا'!$A$4:$A$213)</f>
        <v>21</v>
      </c>
      <c r="H15" s="37">
        <f>MAX('21 فريقًا'!$A$4:$A$213)-G15</f>
        <v>0</v>
      </c>
      <c r="I15" s="37">
        <f>MAX('21 فريقًا'!$A$4:$A$213)</f>
        <v>21</v>
      </c>
      <c r="J15" s="37" t="str">
        <f>MOD(HOUR(المدخلات!$B$5)-1,12)+1&amp;":"&amp;TEXT(MINUTE(المدخلات!$B$5),"00")&amp;IF(HOUR(المدخلات!$B$5)&lt;12," ص"," م")</f>
        <v>4:00 م</v>
      </c>
      <c r="K15" s="37" t="str" cm="1">
        <f t="array" ref="K15">MOD(HOUR(المدخلات!$B$5+((ROUND(SUMPRODUCT(1/COUNTIF('21 فريقًا'!$B$4:$B$213,'21 فريقًا'!$B$4:$B$213)),0)-1)*المدخلات!$B$8+المدخلات!$B$6)/1440)-1,12)+1&amp;":"&amp;TEXT(MINUTE(المدخلات!$B$5+((ROUND(SUMPRODUCT(1/COUNTIF('21 فريقًا'!$B$4:$B$213,'21 فريقًا'!$B$4:$B$213)),0)-1)*المدخلات!$B$8+المدخلات!$B$6)/1440),"00")&amp;IF(HOUR(المدخلات!$B$5+((ROUND(SUMPRODUCT(1/COUNTIF('21 فريقًا'!$B$4:$B$213,'21 فريقًا'!$B$4:$B$213)),0)-1)*المدخلات!$B$8+المدخلات!$B$6)/1440)&lt;12," ص"," م")</f>
        <v>8:50 م</v>
      </c>
      <c r="L15" s="37">
        <f>MAX('21 فريقًا'!$C$4:$C$213)</f>
        <v>4</v>
      </c>
      <c r="M15" s="5"/>
      <c r="N15" s="5"/>
      <c r="O15" s="5"/>
      <c r="P15" s="5"/>
    </row>
    <row r="16" spans="1:16">
      <c r="A16" s="36">
        <v>22</v>
      </c>
      <c r="B16" s="37" cm="1">
        <f t="array" ref="B16">ROUND(SUMPRODUCT(1/COUNTIF('بيانات الفرق'!$BJ$3:$BJ$24,'بيانات الفرق'!$BJ$3:$BJ$24)),0)</f>
        <v>1</v>
      </c>
      <c r="C16" s="37" t="str" cm="1">
        <f t="array" ref="C16">_xlfn.TEXTJOIN(" + ",TRUE,_xlfn._xlws.SORT(COUNTIF('بيانات الفرق'!$BJ$3:$BJ$24,"المجموعة "&amp;_xlfn.SEQUENCE(B16))))</f>
        <v>22</v>
      </c>
      <c r="D16" s="37" t="str" cm="1">
        <f t="array" ref="D16">_xlfn.LET(_xlpm.gs,_xlfn.SEQUENCE(B16),_xlpm.ln,_xlfn.MAXIFS('بيانات الفرق'!$BL$3:$BL$24,'بيانات الفرق'!$BJ$3:$BJ$24,"المجموعة "&amp;_xlpm.gs),_xlpm.mn,_xlfn.MINIFS('بيانات الفرق'!$BK$3:$BK$24,'بيانات الفرق'!$BJ$3:$BJ$24,"المجموعة "&amp;_xlpm.gs),_xlpm.mx,_xlfn.MAXIFS('بيانات الفرق'!$BK$3:$BK$24,'بيانات الفرق'!$BJ$3:$BJ$24,"المجموعة "&amp;_xlpm.gs),_xlpm.lo,FLOOR(_xlpm.mn/_xlpm.ln,1),_xlpm.hi,CEILING(_xlpm.mx/_xlpm.ln,1),_xlpm.t,IF(_xlpm.lo=_xlpm.hi,_xlpm.lo&amp;"",_xlpm.lo&amp;"–"&amp;_xlpm.hi),_xlfn.TEXTJOIN(" + ",TRUE,_xlfn.SORTBY(_xlpm.t,_xlpm.ln,1)))</f>
        <v>1</v>
      </c>
      <c r="E16" s="37" t="str" cm="1">
        <f t="array" ref="E16">_xlfn.LET(_xlpm.gs,_xlfn.SEQUENCE(B16),_xlpm.ln,_xlfn.MAXIFS('بيانات الفرق'!$BL$3:$BL$24,'بيانات الفرق'!$BJ$3:$BJ$24,"المجموعة "&amp;_xlpm.gs),_xlpm.mn,_xlfn.MINIFS('بيانات الفرق'!$BK$3:$BK$24,'بيانات الفرق'!$BJ$3:$BJ$24,"المجموعة "&amp;_xlpm.gs),_xlpm.mx,_xlfn.MAXIFS('بيانات الفرق'!$BK$3:$BK$24,'بيانات الفرق'!$BJ$3:$BJ$24,"المجموعة "&amp;_xlpm.gs),_xlpm.t,IF(_xlpm.mn=_xlpm.mx,_xlpm.mn&amp;"",_xlpm.mn&amp;"–"&amp;_xlpm.mx),_xlfn.TEXTJOIN(" + ",TRUE,_xlfn.SORTBY(_xlpm.t,_xlpm.ln,1)))</f>
        <v>21</v>
      </c>
      <c r="F16" s="37" t="str">
        <f>"—"</f>
        <v>—</v>
      </c>
      <c r="G16" s="37">
        <f>MAX('22 فريقًا'!$A$4:$A$234)</f>
        <v>21</v>
      </c>
      <c r="H16" s="37">
        <f>MAX('22 فريقًا'!$A$4:$A$234)-G16</f>
        <v>0</v>
      </c>
      <c r="I16" s="37">
        <f>MAX('22 فريقًا'!$A$4:$A$234)</f>
        <v>21</v>
      </c>
      <c r="J16" s="37" t="str">
        <f>MOD(HOUR(المدخلات!$B$5)-1,12)+1&amp;":"&amp;TEXT(MINUTE(المدخلات!$B$5),"00")&amp;IF(HOUR(المدخلات!$B$5)&lt;12," ص"," م")</f>
        <v>4:00 م</v>
      </c>
      <c r="K16" s="37" t="str" cm="1">
        <f t="array" ref="K16">MOD(HOUR(المدخلات!$B$5+((ROUND(SUMPRODUCT(1/COUNTIF('22 فريقًا'!$B$4:$B$234,'22 فريقًا'!$B$4:$B$234)),0)-1)*المدخلات!$B$8+المدخلات!$B$6)/1440)-1,12)+1&amp;":"&amp;TEXT(MINUTE(المدخلات!$B$5+((ROUND(SUMPRODUCT(1/COUNTIF('22 فريقًا'!$B$4:$B$234,'22 فريقًا'!$B$4:$B$234)),0)-1)*المدخلات!$B$8+المدخلات!$B$6)/1440),"00")&amp;IF(HOUR(المدخلات!$B$5+((ROUND(SUMPRODUCT(1/COUNTIF('22 فريقًا'!$B$4:$B$234,'22 فريقًا'!$B$4:$B$234)),0)-1)*المدخلات!$B$8+المدخلات!$B$6)/1440)&lt;12," ص"," م")</f>
        <v>8:50 م</v>
      </c>
      <c r="L16" s="37">
        <f>MAX('22 فريقًا'!$C$4:$C$234)</f>
        <v>4</v>
      </c>
      <c r="M16" s="5"/>
      <c r="N16" s="5"/>
      <c r="O16" s="5"/>
      <c r="P16" s="5"/>
    </row>
    <row r="17" spans="1:16">
      <c r="A17" s="36">
        <v>23</v>
      </c>
      <c r="B17" s="37" cm="1">
        <f t="array" ref="B17">ROUND(SUMPRODUCT(1/COUNTIF('بيانات الفرق'!$BO$3:$BO$25,'بيانات الفرق'!$BO$3:$BO$25)),0)</f>
        <v>3</v>
      </c>
      <c r="C17" s="37" t="str" cm="1">
        <f t="array" ref="C17">_xlfn.TEXTJOIN(" + ",TRUE,_xlfn._xlws.SORT(COUNTIF('بيانات الفرق'!$BO$3:$BO$25,"المجموعة "&amp;_xlfn.SEQUENCE(B17))))</f>
        <v>7 + 8 + 8</v>
      </c>
      <c r="D17" s="37" t="str" cm="1">
        <f t="array" ref="D17">_xlfn.LET(_xlpm.gs,_xlfn.SEQUENCE(B17),_xlpm.ln,_xlfn.MAXIFS('بيانات الفرق'!$BQ$3:$BQ$25,'بيانات الفرق'!$BO$3:$BO$25,"المجموعة "&amp;_xlpm.gs),_xlpm.mn,_xlfn.MINIFS('بيانات الفرق'!$BP$3:$BP$25,'بيانات الفرق'!$BO$3:$BO$25,"المجموعة "&amp;_xlpm.gs),_xlpm.mx,_xlfn.MAXIFS('بيانات الفرق'!$BP$3:$BP$25,'بيانات الفرق'!$BO$3:$BO$25,"المجموعة "&amp;_xlpm.gs),_xlpm.lo,FLOOR(_xlpm.mn/_xlpm.ln,1),_xlpm.hi,CEILING(_xlpm.mx/_xlpm.ln,1),_xlpm.t,IF(_xlpm.lo=_xlpm.hi,_xlpm.lo&amp;"",_xlpm.lo&amp;"–"&amp;_xlpm.hi),_xlfn.TEXTJOIN(" + ",TRUE,_xlfn.SORTBY(_xlpm.t,_xlpm.ln,1)))</f>
        <v>3 + 3 + 3</v>
      </c>
      <c r="E17" s="37" t="str" cm="1">
        <f t="array" ref="E17">_xlfn.LET(_xlpm.gs,_xlfn.SEQUENCE(B17),_xlpm.ln,_xlfn.MAXIFS('بيانات الفرق'!$BQ$3:$BQ$25,'بيانات الفرق'!$BO$3:$BO$25,"المجموعة "&amp;_xlpm.gs),_xlpm.mn,_xlfn.MINIFS('بيانات الفرق'!$BP$3:$BP$25,'بيانات الفرق'!$BO$3:$BO$25,"المجموعة "&amp;_xlpm.gs),_xlpm.mx,_xlfn.MAXIFS('بيانات الفرق'!$BP$3:$BP$25,'بيانات الفرق'!$BO$3:$BO$25,"المجموعة "&amp;_xlpm.gs),_xlpm.t,IF(_xlpm.mn=_xlpm.mx,_xlpm.mn&amp;"",_xlpm.mn&amp;"–"&amp;_xlpm.mx),_xlfn.TEXTJOIN(" + ",TRUE,_xlfn.SORTBY(_xlpm.t,_xlpm.ln,1)))</f>
        <v>18 + 21 + 21</v>
      </c>
      <c r="F17" s="37" t="str">
        <f>IF(COUNTIF('23 فريقًا'!$D$4:$D$237,"نهائي")=0,"—",IF(COUNTIF('23 فريقًا'!$D$4:$D$237,"ربع نهائي")&gt;0,"ربع نهائي ثم نصف نهائي ثم نهائي",IF(COUNTIF('23 فريقًا'!$D$4:$D$237,"نصف نهائي")&gt;0,"نصف نهائي ثم نهائي","نهائي مباشر")))</f>
        <v>نصف نهائي ثم نهائي</v>
      </c>
      <c r="G17" s="37">
        <f>_xlfn.MAXIFS('23 فريقًا'!$A$4:$A$237,'23 فريقًا'!$D$4:$D$237,"المجموعة*")</f>
        <v>21</v>
      </c>
      <c r="H17" s="37">
        <f>MAX('23 فريقًا'!$A$4:$A$237)-G17</f>
        <v>2</v>
      </c>
      <c r="I17" s="41">
        <f>MAX('23 فريقًا'!$A$4:$A$237)</f>
        <v>23</v>
      </c>
      <c r="J17" s="37" t="str">
        <f>MOD(HOUR(المدخلات!$B$5)-1,12)+1&amp;":"&amp;TEXT(MINUTE(المدخلات!$B$5),"00")&amp;IF(HOUR(المدخلات!$B$5)&lt;12," ص"," م")</f>
        <v>4:00 م</v>
      </c>
      <c r="K17" s="37" t="str" cm="1">
        <f t="array" ref="K17">MOD(HOUR(المدخلات!$B$5+((ROUND(SUMPRODUCT(1/COUNTIF('23 فريقًا'!$B$4:$B$237,'23 فريقًا'!$B$4:$B$237)),0)-1)*المدخلات!$B$8+المدخلات!$B$6)/1440)-1,12)+1&amp;":"&amp;TEXT(MINUTE(المدخلات!$B$5+((ROUND(SUMPRODUCT(1/COUNTIF('23 فريقًا'!$B$4:$B$237,'23 فريقًا'!$B$4:$B$237)),0)-1)*المدخلات!$B$8+المدخلات!$B$6)/1440),"00")&amp;IF(HOUR(المدخلات!$B$5+((ROUND(SUMPRODUCT(1/COUNTIF('23 فريقًا'!$B$4:$B$237,'23 فريقًا'!$B$4:$B$237)),0)-1)*المدخلات!$B$8+المدخلات!$B$6)/1440)&lt;12," ص"," م")</f>
        <v>8:50 م</v>
      </c>
      <c r="L17" s="37">
        <f>MAX('23 فريقًا'!$C$4:$C$237)</f>
        <v>4</v>
      </c>
      <c r="M17" s="5"/>
      <c r="N17" s="5"/>
      <c r="O17" s="5"/>
      <c r="P17" s="5"/>
    </row>
    <row r="18" spans="1:16">
      <c r="A18" s="36">
        <v>31</v>
      </c>
      <c r="B18" s="37" cm="1">
        <f t="array" ref="B18">ROUND(SUMPRODUCT(1/COUNTIF('بيانات الفرق'!$BT$3:$BT$33,'بيانات الفرق'!$BT$3:$BT$33)),0)</f>
        <v>4</v>
      </c>
      <c r="C18" s="37" t="str" cm="1">
        <f t="array" ref="C18">_xlfn.TEXTJOIN(" + ",TRUE,_xlfn._xlws.SORT(COUNTIF('بيانات الفرق'!$BT$3:$BT$33,"المجموعة "&amp;_xlfn.SEQUENCE(B18))))</f>
        <v>7 + 8 + 8 + 8</v>
      </c>
      <c r="D18" s="37" t="str" cm="1">
        <f t="array" ref="D18">_xlfn.LET(_xlpm.gs,_xlfn.SEQUENCE(B18),_xlpm.ln,_xlfn.MAXIFS('بيانات الفرق'!$BV$3:$BV$33,'بيانات الفرق'!$BT$3:$BT$33,"المجموعة "&amp;_xlpm.gs),_xlpm.mn,_xlfn.MINIFS('بيانات الفرق'!$BU$3:$BU$33,'بيانات الفرق'!$BT$3:$BT$33,"المجموعة "&amp;_xlpm.gs),_xlpm.mx,_xlfn.MAXIFS('بيانات الفرق'!$BU$3:$BU$33,'بيانات الفرق'!$BT$3:$BT$33,"المجموعة "&amp;_xlpm.gs),_xlpm.lo,FLOOR(_xlpm.mn/_xlpm.ln,1),_xlpm.hi,CEILING(_xlpm.mx/_xlpm.ln,1),_xlpm.t,IF(_xlpm.lo=_xlpm.hi,_xlpm.lo&amp;"",_xlpm.lo&amp;"–"&amp;_xlpm.hi),_xlfn.TEXTJOIN(" + ",TRUE,_xlfn.SORTBY(_xlpm.t,_xlpm.ln,1)))</f>
        <v>3 + 3 + 3 + 3</v>
      </c>
      <c r="E18" s="37" t="str" cm="1">
        <f t="array" ref="E18">_xlfn.LET(_xlpm.gs,_xlfn.SEQUENCE(B18),_xlpm.ln,_xlfn.MAXIFS('بيانات الفرق'!$BV$3:$BV$33,'بيانات الفرق'!$BT$3:$BT$33,"المجموعة "&amp;_xlpm.gs),_xlpm.mn,_xlfn.MINIFS('بيانات الفرق'!$BU$3:$BU$33,'بيانات الفرق'!$BT$3:$BT$33,"المجموعة "&amp;_xlpm.gs),_xlpm.mx,_xlfn.MAXIFS('بيانات الفرق'!$BU$3:$BU$33,'بيانات الفرق'!$BT$3:$BT$33,"المجموعة "&amp;_xlpm.gs),_xlpm.t,IF(_xlpm.mn=_xlpm.mx,_xlpm.mn&amp;"",_xlpm.mn&amp;"–"&amp;_xlpm.mx),_xlfn.TEXTJOIN(" + ",TRUE,_xlfn.SORTBY(_xlpm.t,_xlpm.ln,1)))</f>
        <v>18 + 21 + 21 + 21</v>
      </c>
      <c r="F18" s="37" t="str">
        <f>IF(COUNTIF('31 فريقًا'!$D$4:$D$321,"نهائي")=0,"—",IF(COUNTIF('31 فريقًا'!$D$4:$D$321,"ربع نهائي")&gt;0,"ربع نهائي ثم نصف نهائي ثم نهائي",IF(COUNTIF('31 فريقًا'!$D$4:$D$321,"نصف نهائي")&gt;0,"نصف نهائي ثم نهائي","نهائي مباشر")))</f>
        <v>نصف نهائي ثم نهائي</v>
      </c>
      <c r="G18" s="37">
        <f>_xlfn.MAXIFS('31 فريقًا'!$A$4:$A$321,'31 فريقًا'!$D$4:$D$321,"المجموعة*")</f>
        <v>21</v>
      </c>
      <c r="H18" s="37">
        <f>MAX('31 فريقًا'!$A$4:$A$321)-G18</f>
        <v>2</v>
      </c>
      <c r="I18" s="41">
        <f>MAX('31 فريقًا'!$A$4:$A$321)</f>
        <v>23</v>
      </c>
      <c r="J18" s="37" t="str">
        <f>MOD(HOUR(المدخلات!$B$5)-1,12)+1&amp;":"&amp;TEXT(MINUTE(المدخلات!$B$5),"00")&amp;IF(HOUR(المدخلات!$B$5)&lt;12," ص"," م")</f>
        <v>4:00 م</v>
      </c>
      <c r="K18" s="37" t="str" cm="1">
        <f t="array" ref="K18">MOD(HOUR(المدخلات!$B$5+((ROUND(SUMPRODUCT(1/COUNTIF('31 فريقًا'!$B$4:$B$321,'31 فريقًا'!$B$4:$B$321)),0)-1)*المدخلات!$B$8+المدخلات!$B$6)/1440)-1,12)+1&amp;":"&amp;TEXT(MINUTE(المدخلات!$B$5+((ROUND(SUMPRODUCT(1/COUNTIF('31 فريقًا'!$B$4:$B$321,'31 فريقًا'!$B$4:$B$321)),0)-1)*المدخلات!$B$8+المدخلات!$B$6)/1440),"00")&amp;IF(HOUR(المدخلات!$B$5+((ROUND(SUMPRODUCT(1/COUNTIF('31 فريقًا'!$B$4:$B$321,'31 فريقًا'!$B$4:$B$321)),0)-1)*المدخلات!$B$8+المدخلات!$B$6)/1440)&lt;12," ص"," م")</f>
        <v>8:50 م</v>
      </c>
      <c r="L18" s="37">
        <f>MAX('31 فريقًا'!$C$4:$C$321)</f>
        <v>5</v>
      </c>
      <c r="M18" s="5"/>
      <c r="N18" s="5"/>
      <c r="O18" s="5"/>
      <c r="P18" s="5"/>
    </row>
    <row r="19" spans="1:16">
      <c r="A19" s="36">
        <v>35</v>
      </c>
      <c r="B19" s="37" cm="1">
        <f t="array" ref="B19">ROUND(SUMPRODUCT(1/COUNTIF('بيانات الفرق'!$BY$3:$BY$37,'بيانات الفرق'!$BY$3:$BY$37)),0)</f>
        <v>5</v>
      </c>
      <c r="C19" s="37" t="str" cm="1">
        <f t="array" ref="C19">_xlfn.TEXTJOIN(" + ",TRUE,_xlfn._xlws.SORT(COUNTIF('بيانات الفرق'!$BY$3:$BY$37,"المجموعة "&amp;_xlfn.SEQUENCE(B19))))</f>
        <v>7 + 7 + 7 + 7 + 7</v>
      </c>
      <c r="D19" s="37" t="str" cm="1">
        <f t="array" ref="D19">_xlfn.LET(_xlpm.gs,_xlfn.SEQUENCE(B19),_xlpm.ln,_xlfn.MAXIFS('بيانات الفرق'!$CA$3:$CA$37,'بيانات الفرق'!$BY$3:$BY$37,"المجموعة "&amp;_xlpm.gs),_xlpm.mn,_xlfn.MINIFS('بيانات الفرق'!$BZ$3:$BZ$37,'بيانات الفرق'!$BY$3:$BY$37,"المجموعة "&amp;_xlpm.gs),_xlpm.mx,_xlfn.MAXIFS('بيانات الفرق'!$BZ$3:$BZ$37,'بيانات الفرق'!$BY$3:$BY$37,"المجموعة "&amp;_xlpm.gs),_xlpm.lo,FLOOR(_xlpm.mn/_xlpm.ln,1),_xlpm.hi,CEILING(_xlpm.mx/_xlpm.ln,1),_xlpm.t,IF(_xlpm.lo=_xlpm.hi,_xlpm.lo&amp;"",_xlpm.lo&amp;"–"&amp;_xlpm.hi),_xlfn.TEXTJOIN(" + ",TRUE,_xlfn.SORTBY(_xlpm.t,_xlpm.ln,1)))</f>
        <v>3 + 3 + 3 + 3 + 3</v>
      </c>
      <c r="E19" s="37" t="str" cm="1">
        <f t="array" ref="E19">_xlfn.LET(_xlpm.gs,_xlfn.SEQUENCE(B19),_xlpm.ln,_xlfn.MAXIFS('بيانات الفرق'!$CA$3:$CA$37,'بيانات الفرق'!$BY$3:$BY$37,"المجموعة "&amp;_xlpm.gs),_xlpm.mn,_xlfn.MINIFS('بيانات الفرق'!$BZ$3:$BZ$37,'بيانات الفرق'!$BY$3:$BY$37,"المجموعة "&amp;_xlpm.gs),_xlpm.mx,_xlfn.MAXIFS('بيانات الفرق'!$BZ$3:$BZ$37,'بيانات الفرق'!$BY$3:$BY$37,"المجموعة "&amp;_xlpm.gs),_xlpm.t,IF(_xlpm.mn=_xlpm.mx,_xlpm.mn&amp;"",_xlpm.mn&amp;"–"&amp;_xlpm.mx),_xlfn.TEXTJOIN(" + ",TRUE,_xlfn.SORTBY(_xlpm.t,_xlpm.ln,1)))</f>
        <v>18 + 18 + 18 + 18 + 18</v>
      </c>
      <c r="F19" s="37" t="str">
        <f>IF(COUNTIF('35 فريقًا'!$D$4:$D$325,"نهائي")=0,"—",IF(COUNTIF('35 فريقًا'!$D$4:$D$325,"ربع نهائي")&gt;0,"ربع نهائي ثم نصف نهائي ثم نهائي",IF(COUNTIF('35 فريقًا'!$D$4:$D$325,"نصف نهائي")&gt;0,"نصف نهائي ثم نهائي","نهائي مباشر")))</f>
        <v>ربع نهائي ثم نصف نهائي ثم نهائي</v>
      </c>
      <c r="G19" s="37">
        <f>_xlfn.MAXIFS('35 فريقًا'!$A$4:$A$325,'35 فريقًا'!$D$4:$D$325,"المجموعة*")</f>
        <v>21</v>
      </c>
      <c r="H19" s="37">
        <f>MAX('35 فريقًا'!$A$4:$A$325)-G19</f>
        <v>2</v>
      </c>
      <c r="I19" s="41">
        <f>MAX('35 فريقًا'!$A$4:$A$325)</f>
        <v>23</v>
      </c>
      <c r="J19" s="37" t="str">
        <f>MOD(HOUR(المدخلات!$B$5)-1,12)+1&amp;":"&amp;TEXT(MINUTE(المدخلات!$B$5),"00")&amp;IF(HOUR(المدخلات!$B$5)&lt;12," ص"," م")</f>
        <v>4:00 م</v>
      </c>
      <c r="K19" s="37" t="str" cm="1">
        <f t="array" ref="K19">MOD(HOUR(المدخلات!$B$5+((ROUND(SUMPRODUCT(1/COUNTIF('35 فريقًا'!$B$4:$B$325,'35 فريقًا'!$B$4:$B$325)),0)-1)*المدخلات!$B$8+المدخلات!$B$6)/1440)-1,12)+1&amp;":"&amp;TEXT(MINUTE(المدخلات!$B$5+((ROUND(SUMPRODUCT(1/COUNTIF('35 فريقًا'!$B$4:$B$325,'35 فريقًا'!$B$4:$B$325)),0)-1)*المدخلات!$B$8+المدخلات!$B$6)/1440),"00")&amp;IF(HOUR(المدخلات!$B$5+((ROUND(SUMPRODUCT(1/COUNTIF('35 فريقًا'!$B$4:$B$325,'35 فريقًا'!$B$4:$B$325)),0)-1)*المدخلات!$B$8+المدخلات!$B$6)/1440)&lt;12," ص"," م")</f>
        <v>8:50 م</v>
      </c>
      <c r="L19" s="37">
        <f>MAX('35 فريقًا'!$C$4:$C$325)</f>
        <v>5</v>
      </c>
      <c r="M19" s="5"/>
      <c r="N19" s="5"/>
      <c r="O19" s="5"/>
      <c r="P19" s="5"/>
    </row>
    <row r="20" spans="1:16">
      <c r="A20" s="36">
        <v>48</v>
      </c>
      <c r="B20" s="37" cm="1">
        <f t="array" ref="B20">ROUND(SUMPRODUCT(1/COUNTIF('بيانات الفرق'!$CD$3:$CD$50,'بيانات الفرق'!$CD$3:$CD$50)),0)</f>
        <v>8</v>
      </c>
      <c r="C20" s="37" t="str" cm="1">
        <f t="array" ref="C20">_xlfn.TEXTJOIN(" + ",TRUE,_xlfn._xlws.SORT(COUNTIF('بيانات الفرق'!$CD$3:$CD$50,"المجموعة "&amp;_xlfn.SEQUENCE(B20))))</f>
        <v>6 + 6 + 6 + 6 + 6 + 6 + 6 + 6</v>
      </c>
      <c r="D20" s="37" t="str" cm="1">
        <f t="array" ref="D20">_xlfn.LET(_xlpm.gs,_xlfn.SEQUENCE(B20),_xlpm.ln,_xlfn.MAXIFS('بيانات الفرق'!$CF$3:$CF$50,'بيانات الفرق'!$CD$3:$CD$50,"المجموعة "&amp;_xlpm.gs),_xlpm.mn,_xlfn.MINIFS('بيانات الفرق'!$CE$3:$CE$50,'بيانات الفرق'!$CD$3:$CD$50,"المجموعة "&amp;_xlpm.gs),_xlpm.mx,_xlfn.MAXIFS('بيانات الفرق'!$CE$3:$CE$50,'بيانات الفرق'!$CD$3:$CD$50,"المجموعة "&amp;_xlpm.gs),_xlpm.lo,FLOOR(_xlpm.mn/_xlpm.ln,1),_xlpm.hi,CEILING(_xlpm.mx/_xlpm.ln,1),_xlpm.t,IF(_xlpm.lo=_xlpm.hi,_xlpm.lo&amp;"",_xlpm.lo&amp;"–"&amp;_xlpm.hi),_xlfn.TEXTJOIN(" + ",TRUE,_xlfn.SORTBY(_xlpm.t,_xlpm.ln,1)))</f>
        <v>4 + 4 + 4 + 4 + 4 + 4 + 4 + 4</v>
      </c>
      <c r="E20" s="37" t="str" cm="1">
        <f t="array" ref="E20">_xlfn.LET(_xlpm.gs,_xlfn.SEQUENCE(B20),_xlpm.ln,_xlfn.MAXIFS('بيانات الفرق'!$CF$3:$CF$50,'بيانات الفرق'!$CD$3:$CD$50,"المجموعة "&amp;_xlpm.gs),_xlpm.mn,_xlfn.MINIFS('بيانات الفرق'!$CE$3:$CE$50,'بيانات الفرق'!$CD$3:$CD$50,"المجموعة "&amp;_xlpm.gs),_xlpm.mx,_xlfn.MAXIFS('بيانات الفرق'!$CE$3:$CE$50,'بيانات الفرق'!$CD$3:$CD$50,"المجموعة "&amp;_xlpm.gs),_xlpm.t,IF(_xlpm.mn=_xlpm.mx,_xlpm.mn&amp;"",_xlpm.mn&amp;"–"&amp;_xlpm.mx),_xlfn.TEXTJOIN(" + ",TRUE,_xlfn.SORTBY(_xlpm.t,_xlpm.ln,1)))</f>
        <v>20 + 20 + 20 + 20 + 20 + 20 + 20 + 20</v>
      </c>
      <c r="F20" s="37" t="str">
        <f>IF(COUNTIF('48 فريقًا'!$D$4:$D$490,"نهائي")=0,"—",IF(COUNTIF('48 فريقًا'!$D$4:$D$490,"ربع نهائي")&gt;0,"ربع نهائي ثم نصف نهائي ثم نهائي",IF(COUNTIF('48 فريقًا'!$D$4:$D$490,"نصف نهائي")&gt;0,"نصف نهائي ثم نهائي","نهائي مباشر")))</f>
        <v>ربع نهائي ثم نصف نهائي ثم نهائي</v>
      </c>
      <c r="G20" s="37">
        <f>_xlfn.MAXIFS('48 فريقًا'!$A$4:$A$490,'48 فريقًا'!$D$4:$D$490,"المجموعة*")</f>
        <v>20</v>
      </c>
      <c r="H20" s="37">
        <f>MAX('48 فريقًا'!$A$4:$A$490)-G20</f>
        <v>3</v>
      </c>
      <c r="I20" s="41">
        <f>MAX('48 فريقًا'!$A$4:$A$490)</f>
        <v>23</v>
      </c>
      <c r="J20" s="37" t="str">
        <f>MOD(HOUR(المدخلات!$B$5)-1,12)+1&amp;":"&amp;TEXT(MINUTE(المدخلات!$B$5),"00")&amp;IF(HOUR(المدخلات!$B$5)&lt;12," ص"," م")</f>
        <v>4:00 م</v>
      </c>
      <c r="K20" s="37" t="str" cm="1">
        <f t="array" ref="K20">MOD(HOUR(المدخلات!$B$5+((ROUND(SUMPRODUCT(1/COUNTIF('48 فريقًا'!$B$4:$B$490,'48 فريقًا'!$B$4:$B$490)),0)-1)*المدخلات!$B$8+المدخلات!$B$6)/1440)-1,12)+1&amp;":"&amp;TEXT(MINUTE(المدخلات!$B$5+((ROUND(SUMPRODUCT(1/COUNTIF('48 فريقًا'!$B$4:$B$490,'48 فريقًا'!$B$4:$B$490)),0)-1)*المدخلات!$B$8+المدخلات!$B$6)/1440),"00")&amp;IF(HOUR(المدخلات!$B$5+((ROUND(SUMPRODUCT(1/COUNTIF('48 فريقًا'!$B$4:$B$490,'48 فريقًا'!$B$4:$B$490)),0)-1)*المدخلات!$B$8+المدخلات!$B$6)/1440)&lt;12," ص"," م")</f>
        <v>8:50 م</v>
      </c>
      <c r="L20" s="37">
        <f>MAX('48 فريقًا'!$C$4:$C$490)</f>
        <v>8</v>
      </c>
      <c r="M20" s="5"/>
      <c r="N20" s="5"/>
      <c r="O20" s="5"/>
      <c r="P20" s="5"/>
    </row>
    <row r="21" spans="1:16">
      <c r="A21" s="5"/>
      <c r="B21" s="5"/>
      <c r="C21" s="5"/>
      <c r="D21" s="5"/>
      <c r="E21" s="5"/>
      <c r="F21" s="5"/>
      <c r="G21" s="5"/>
      <c r="H21" s="5"/>
      <c r="I21" s="5"/>
      <c r="J21" s="5"/>
      <c r="K21" s="5"/>
      <c r="L21" s="5"/>
      <c r="M21" s="5"/>
      <c r="N21" s="5"/>
      <c r="O21" s="5"/>
      <c r="P21" s="5"/>
    </row>
    <row r="22" spans="1:16">
      <c r="A22" s="5"/>
      <c r="B22" s="5"/>
      <c r="C22" s="5"/>
      <c r="D22" s="5"/>
      <c r="E22" s="5"/>
      <c r="F22" s="5"/>
      <c r="G22" s="5"/>
      <c r="H22" s="5"/>
      <c r="I22" s="5"/>
      <c r="J22" s="5"/>
      <c r="K22" s="5"/>
      <c r="L22" s="5"/>
      <c r="M22" s="5"/>
      <c r="N22" s="5"/>
      <c r="O22" s="5"/>
      <c r="P22" s="5"/>
    </row>
    <row r="23" spans="1:16">
      <c r="A23" s="5"/>
      <c r="B23" s="5"/>
      <c r="C23" s="5"/>
      <c r="D23" s="5"/>
      <c r="E23" s="5"/>
      <c r="F23" s="5"/>
      <c r="G23" s="5"/>
      <c r="H23" s="5"/>
      <c r="I23" s="5"/>
      <c r="J23" s="5"/>
      <c r="K23" s="5"/>
      <c r="L23" s="5"/>
      <c r="M23" s="5"/>
      <c r="N23" s="5"/>
      <c r="O23" s="5"/>
      <c r="P23" s="5"/>
    </row>
    <row r="24" spans="1:16">
      <c r="A24" s="5"/>
      <c r="B24" s="5"/>
      <c r="C24" s="5"/>
      <c r="D24" s="5"/>
      <c r="E24" s="5"/>
      <c r="F24" s="5"/>
      <c r="G24" s="5"/>
      <c r="H24" s="5"/>
      <c r="I24" s="5"/>
      <c r="J24" s="5"/>
      <c r="K24" s="5"/>
      <c r="L24" s="5"/>
      <c r="M24" s="5"/>
      <c r="N24" s="5"/>
      <c r="O24" s="5"/>
      <c r="P24" s="5"/>
    </row>
    <row r="25" spans="1:16">
      <c r="A25" s="5"/>
      <c r="B25" s="5"/>
      <c r="C25" s="5"/>
      <c r="D25" s="5"/>
      <c r="E25" s="5"/>
      <c r="F25" s="5"/>
      <c r="G25" s="5"/>
      <c r="H25" s="5"/>
      <c r="I25" s="5"/>
      <c r="J25" s="5"/>
      <c r="K25" s="5"/>
      <c r="L25" s="5"/>
      <c r="M25" s="5"/>
      <c r="N25" s="5"/>
      <c r="O25" s="5"/>
      <c r="P25" s="5"/>
    </row>
    <row r="26" spans="1:16">
      <c r="A26" s="5"/>
      <c r="B26" s="5"/>
      <c r="C26" s="5"/>
      <c r="D26" s="5"/>
      <c r="E26" s="5"/>
      <c r="F26" s="5"/>
      <c r="G26" s="5"/>
      <c r="H26" s="5"/>
      <c r="I26" s="5"/>
      <c r="J26" s="5"/>
      <c r="K26" s="5"/>
      <c r="L26" s="5"/>
      <c r="M26" s="5"/>
      <c r="N26" s="5"/>
      <c r="O26" s="5"/>
      <c r="P26" s="5"/>
    </row>
    <row r="27" spans="1:16">
      <c r="A27" s="5"/>
      <c r="B27" s="5"/>
      <c r="C27" s="5"/>
      <c r="D27" s="5"/>
      <c r="E27" s="5"/>
      <c r="F27" s="5"/>
      <c r="G27" s="5"/>
      <c r="H27" s="5"/>
      <c r="I27" s="5"/>
      <c r="J27" s="5"/>
      <c r="K27" s="5"/>
      <c r="L27" s="5"/>
      <c r="M27" s="5"/>
      <c r="N27" s="5"/>
      <c r="O27" s="5"/>
      <c r="P27" s="5"/>
    </row>
    <row r="28" spans="1:16">
      <c r="A28" s="5"/>
      <c r="B28" s="5"/>
      <c r="C28" s="5"/>
      <c r="D28" s="5"/>
      <c r="E28" s="5"/>
      <c r="F28" s="5"/>
      <c r="G28" s="5"/>
      <c r="H28" s="5"/>
      <c r="I28" s="5"/>
      <c r="J28" s="5"/>
      <c r="K28" s="5"/>
      <c r="L28" s="5"/>
      <c r="M28" s="5"/>
      <c r="N28" s="5"/>
      <c r="O28" s="5"/>
      <c r="P28" s="5"/>
    </row>
    <row r="29" spans="1:16">
      <c r="A29" s="5"/>
      <c r="B29" s="5"/>
      <c r="C29" s="5"/>
      <c r="D29" s="5"/>
      <c r="E29" s="5"/>
      <c r="F29" s="5"/>
      <c r="G29" s="5"/>
      <c r="H29" s="5"/>
      <c r="I29" s="5"/>
      <c r="J29" s="5"/>
      <c r="K29" s="5"/>
      <c r="L29" s="5"/>
      <c r="M29" s="5"/>
      <c r="N29" s="5"/>
      <c r="O29" s="5"/>
      <c r="P29" s="5"/>
    </row>
    <row r="30" spans="1:16">
      <c r="A30" s="5"/>
      <c r="B30" s="5"/>
      <c r="C30" s="5"/>
      <c r="D30" s="5"/>
      <c r="E30" s="5"/>
      <c r="F30" s="5"/>
      <c r="G30" s="5"/>
      <c r="H30" s="5"/>
      <c r="I30" s="5"/>
      <c r="J30" s="5"/>
      <c r="K30" s="5"/>
      <c r="L30" s="5"/>
      <c r="M30" s="5"/>
      <c r="N30" s="5"/>
      <c r="O30" s="5"/>
      <c r="P30" s="5"/>
    </row>
    <row r="31" spans="1:16">
      <c r="A31" s="5"/>
      <c r="B31" s="5"/>
      <c r="C31" s="5"/>
      <c r="D31" s="5"/>
      <c r="E31" s="5"/>
      <c r="F31" s="5"/>
      <c r="G31" s="5"/>
      <c r="H31" s="5"/>
      <c r="I31" s="5"/>
      <c r="J31" s="5"/>
      <c r="K31" s="5"/>
      <c r="L31" s="5"/>
      <c r="M31" s="5"/>
      <c r="N31" s="5"/>
      <c r="O31" s="5"/>
      <c r="P31" s="5"/>
    </row>
    <row r="32" spans="1:16">
      <c r="A32" s="5"/>
      <c r="B32" s="5"/>
      <c r="C32" s="5"/>
      <c r="D32" s="5"/>
      <c r="E32" s="5"/>
      <c r="F32" s="5"/>
      <c r="G32" s="5"/>
      <c r="H32" s="5"/>
      <c r="I32" s="5"/>
      <c r="J32" s="5"/>
      <c r="K32" s="5"/>
      <c r="L32" s="5"/>
      <c r="M32" s="5"/>
      <c r="N32" s="5"/>
      <c r="O32" s="5"/>
      <c r="P32" s="5"/>
    </row>
    <row r="33" s="5" customFormat="1"/>
    <row r="34" s="5" customFormat="1"/>
    <row r="35" s="5" customFormat="1"/>
    <row r="36" s="5" customFormat="1"/>
    <row r="37" s="5" customFormat="1"/>
    <row r="38" s="5" customFormat="1"/>
    <row r="39" s="5" customFormat="1"/>
    <row r="40" s="5" customFormat="1"/>
    <row r="41" s="5" customFormat="1"/>
    <row r="42" s="5" customFormat="1"/>
    <row r="43" s="5" customFormat="1"/>
    <row r="44" s="5" customFormat="1"/>
    <row r="45" s="5" customFormat="1"/>
    <row r="46" s="5" customFormat="1"/>
    <row r="47" s="5" customFormat="1"/>
    <row r="48" s="5" customFormat="1"/>
    <row r="49" s="5" customFormat="1"/>
    <row r="50" s="5" customFormat="1"/>
    <row r="51" s="5" customFormat="1"/>
    <row r="52" s="5" customFormat="1"/>
    <row r="53" s="5" customFormat="1"/>
    <row r="54" s="5" customFormat="1"/>
    <row r="55" s="5" customFormat="1"/>
    <row r="56" s="5" customFormat="1"/>
    <row r="57" s="5" customFormat="1"/>
    <row r="58" s="5" customFormat="1"/>
  </sheetData>
  <mergeCells count="1">
    <mergeCell ref="A1:P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B5FF-47E5-49AA-842E-AAFF03EB1D05}">
  <dimension ref="A1:P699"/>
  <sheetViews>
    <sheetView rightToLeft="1" workbookViewId="0">
      <selection activeCell="A64" sqref="A64:XFD64"/>
    </sheetView>
  </sheetViews>
  <sheetFormatPr defaultRowHeight="14.5"/>
  <cols>
    <col min="1" max="1" width="4.08984375" style="15" bestFit="1" customWidth="1"/>
    <col min="2" max="2" width="10.1796875" style="15" bestFit="1" customWidth="1"/>
    <col min="3" max="3" width="5.81640625" style="15" bestFit="1" customWidth="1"/>
    <col min="4" max="4" width="6.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433</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10" t="s">
        <v>16</v>
      </c>
      <c r="E3" s="7"/>
      <c r="F3" s="5"/>
      <c r="G3" s="5"/>
    </row>
    <row r="4" spans="1:16">
      <c r="A4" s="11">
        <v>1</v>
      </c>
      <c r="B4" s="12" t="str">
        <f>المدخلات!$F$4</f>
        <v>4:00–5:30 م</v>
      </c>
      <c r="C4" s="12">
        <v>1</v>
      </c>
      <c r="D4" s="13" t="s">
        <v>18</v>
      </c>
      <c r="E4" s="7"/>
      <c r="F4" s="5"/>
      <c r="G4" s="5"/>
    </row>
    <row r="5" spans="1:16">
      <c r="A5" s="11">
        <v>1</v>
      </c>
      <c r="B5" s="12" t="str">
        <f>المدخلات!$F$5</f>
        <v>5:40–7:10 م</v>
      </c>
      <c r="C5" s="12">
        <v>1</v>
      </c>
      <c r="D5" s="13" t="s">
        <v>19</v>
      </c>
      <c r="E5" s="7"/>
      <c r="F5" s="5"/>
      <c r="G5" s="5"/>
    </row>
    <row r="6" spans="1:16">
      <c r="A6" s="11">
        <v>1</v>
      </c>
      <c r="B6" s="12" t="str">
        <f>المدخلات!$F$6</f>
        <v>7:20–8:50 م</v>
      </c>
      <c r="C6" s="12">
        <v>1</v>
      </c>
      <c r="D6" s="13" t="s">
        <v>20</v>
      </c>
      <c r="E6" s="7"/>
      <c r="F6" s="5"/>
      <c r="G6" s="5"/>
    </row>
    <row r="7" spans="1:16">
      <c r="A7" s="11">
        <v>2</v>
      </c>
      <c r="B7" s="12" t="str">
        <f>المدخلات!$F$4</f>
        <v>4:00–5:30 م</v>
      </c>
      <c r="C7" s="12">
        <v>1</v>
      </c>
      <c r="D7" s="12" t="s">
        <v>23</v>
      </c>
      <c r="E7" s="7"/>
      <c r="F7" s="5"/>
      <c r="G7" s="5"/>
    </row>
    <row r="8" spans="1:16">
      <c r="A8" s="11">
        <v>2</v>
      </c>
      <c r="B8" s="12" t="str">
        <f>المدخلات!$F$5</f>
        <v>5:40–7:10 م</v>
      </c>
      <c r="C8" s="12">
        <v>1</v>
      </c>
      <c r="D8" s="12" t="s">
        <v>22</v>
      </c>
      <c r="E8" s="7"/>
      <c r="F8" s="5"/>
      <c r="G8" s="5"/>
    </row>
    <row r="9" spans="1:16">
      <c r="A9" s="11">
        <v>2</v>
      </c>
      <c r="B9" s="12" t="str">
        <f>المدخلات!$F$6</f>
        <v>7:20–8:50 م</v>
      </c>
      <c r="C9" s="12">
        <v>1</v>
      </c>
      <c r="D9" s="12" t="s">
        <v>21</v>
      </c>
      <c r="E9" s="7"/>
      <c r="F9" s="5"/>
      <c r="G9" s="5"/>
    </row>
    <row r="10" spans="1:16">
      <c r="A10" s="11">
        <v>3</v>
      </c>
      <c r="B10" s="12" t="str">
        <f>المدخلات!$F$4</f>
        <v>4:00–5:30 م</v>
      </c>
      <c r="C10" s="12">
        <v>1</v>
      </c>
      <c r="D10" s="12" t="s">
        <v>24</v>
      </c>
      <c r="E10" s="7"/>
      <c r="F10" s="5"/>
      <c r="G10" s="5"/>
    </row>
    <row r="11" spans="1:16">
      <c r="A11" s="11">
        <v>3</v>
      </c>
      <c r="B11" s="12" t="str">
        <f>المدخلات!$F$5</f>
        <v>5:40–7:10 م</v>
      </c>
      <c r="C11" s="12">
        <v>1</v>
      </c>
      <c r="D11" s="12" t="s">
        <v>25</v>
      </c>
      <c r="E11" s="7"/>
      <c r="F11" s="5"/>
      <c r="G11" s="5"/>
    </row>
    <row r="12" spans="1:16">
      <c r="A12" s="11">
        <v>3</v>
      </c>
      <c r="B12" s="12" t="str">
        <f>المدخلات!$F$6</f>
        <v>7:20–8:50 م</v>
      </c>
      <c r="C12" s="12">
        <v>1</v>
      </c>
      <c r="D12" s="12" t="s">
        <v>26</v>
      </c>
      <c r="E12" s="7"/>
      <c r="F12" s="5"/>
      <c r="G12" s="5"/>
    </row>
    <row r="13" spans="1:16">
      <c r="A13" s="11">
        <v>4</v>
      </c>
      <c r="B13" s="12" t="str">
        <f>المدخلات!$F$4</f>
        <v>4:00–5:30 م</v>
      </c>
      <c r="C13" s="12">
        <v>1</v>
      </c>
      <c r="D13" s="12" t="s">
        <v>29</v>
      </c>
      <c r="E13" s="7"/>
      <c r="F13" s="5"/>
      <c r="G13" s="5"/>
    </row>
    <row r="14" spans="1:16">
      <c r="A14" s="11">
        <v>4</v>
      </c>
      <c r="B14" s="12" t="str">
        <f>المدخلات!$F$5</f>
        <v>5:40–7:10 م</v>
      </c>
      <c r="C14" s="12">
        <v>1</v>
      </c>
      <c r="D14" s="12" t="s">
        <v>27</v>
      </c>
      <c r="E14" s="7"/>
      <c r="F14" s="5"/>
      <c r="G14" s="5"/>
    </row>
    <row r="15" spans="1:16">
      <c r="A15" s="11">
        <v>4</v>
      </c>
      <c r="B15" s="12" t="str">
        <f>المدخلات!$F$6</f>
        <v>7:20–8:50 م</v>
      </c>
      <c r="C15" s="12">
        <v>1</v>
      </c>
      <c r="D15" s="12" t="s">
        <v>28</v>
      </c>
      <c r="E15" s="7"/>
      <c r="F15" s="5"/>
      <c r="G15" s="5"/>
    </row>
    <row r="16" spans="1:16">
      <c r="A16" s="11">
        <v>5</v>
      </c>
      <c r="B16" s="12" t="str">
        <f>المدخلات!$F$4</f>
        <v>4:00–5:30 م</v>
      </c>
      <c r="C16" s="12">
        <v>1</v>
      </c>
      <c r="D16" s="12" t="s">
        <v>32</v>
      </c>
      <c r="E16" s="7"/>
      <c r="F16" s="5"/>
      <c r="G16" s="5"/>
    </row>
    <row r="17" spans="1:7">
      <c r="A17" s="11">
        <v>5</v>
      </c>
      <c r="B17" s="12" t="str">
        <f>المدخلات!$F$5</f>
        <v>5:40–7:10 م</v>
      </c>
      <c r="C17" s="12">
        <v>1</v>
      </c>
      <c r="D17" s="12" t="s">
        <v>30</v>
      </c>
      <c r="E17" s="7"/>
      <c r="F17" s="5"/>
      <c r="G17" s="5"/>
    </row>
    <row r="18" spans="1:7">
      <c r="A18" s="11">
        <v>5</v>
      </c>
      <c r="B18" s="12" t="str">
        <f>المدخلات!$F$6</f>
        <v>7:20–8:50 م</v>
      </c>
      <c r="C18" s="12">
        <v>1</v>
      </c>
      <c r="D18" s="12" t="s">
        <v>31</v>
      </c>
      <c r="E18" s="7"/>
      <c r="F18" s="5"/>
      <c r="G18" s="5"/>
    </row>
    <row r="19" spans="1:7">
      <c r="A19" s="11">
        <v>6</v>
      </c>
      <c r="B19" s="12" t="str">
        <f>المدخلات!$F$4</f>
        <v>4:00–5:30 م</v>
      </c>
      <c r="C19" s="12">
        <v>1</v>
      </c>
      <c r="D19" s="12" t="s">
        <v>30</v>
      </c>
      <c r="E19" s="7"/>
      <c r="F19" s="5"/>
      <c r="G19" s="5"/>
    </row>
    <row r="20" spans="1:7">
      <c r="A20" s="11">
        <v>6</v>
      </c>
      <c r="B20" s="12" t="str">
        <f>المدخلات!$F$5</f>
        <v>5:40–7:10 م</v>
      </c>
      <c r="C20" s="12">
        <v>1</v>
      </c>
      <c r="D20" s="12" t="s">
        <v>31</v>
      </c>
      <c r="E20" s="7"/>
      <c r="F20" s="5"/>
      <c r="G20" s="5"/>
    </row>
    <row r="21" spans="1:7">
      <c r="A21" s="11">
        <v>6</v>
      </c>
      <c r="B21" s="12" t="str">
        <f>المدخلات!$F$6</f>
        <v>7:20–8:50 م</v>
      </c>
      <c r="C21" s="12">
        <v>1</v>
      </c>
      <c r="D21" s="12" t="s">
        <v>32</v>
      </c>
      <c r="E21" s="7"/>
      <c r="F21" s="5"/>
      <c r="G21" s="5"/>
    </row>
    <row r="22" spans="1:7">
      <c r="A22" s="11">
        <v>7</v>
      </c>
      <c r="B22" s="12" t="str">
        <f>المدخلات!$F$4</f>
        <v>4:00–5:30 م</v>
      </c>
      <c r="C22" s="12">
        <v>1</v>
      </c>
      <c r="D22" s="12" t="s">
        <v>20</v>
      </c>
      <c r="E22" s="7"/>
      <c r="F22" s="5"/>
      <c r="G22" s="5"/>
    </row>
    <row r="23" spans="1:7">
      <c r="A23" s="11">
        <v>7</v>
      </c>
      <c r="B23" s="12" t="str">
        <f>المدخلات!$F$5</f>
        <v>5:40–7:10 م</v>
      </c>
      <c r="C23" s="12">
        <v>1</v>
      </c>
      <c r="D23" s="12" t="s">
        <v>19</v>
      </c>
      <c r="E23" s="7"/>
      <c r="F23" s="5"/>
      <c r="G23" s="5"/>
    </row>
    <row r="24" spans="1:7">
      <c r="A24" s="11">
        <v>7</v>
      </c>
      <c r="B24" s="12" t="str">
        <f>المدخلات!$F$6</f>
        <v>7:20–8:50 م</v>
      </c>
      <c r="C24" s="12">
        <v>1</v>
      </c>
      <c r="D24" s="12" t="s">
        <v>18</v>
      </c>
      <c r="E24" s="7"/>
      <c r="F24" s="5"/>
      <c r="G24" s="5"/>
    </row>
    <row r="25" spans="1:7">
      <c r="A25" s="11">
        <v>8</v>
      </c>
      <c r="B25" s="12" t="str">
        <f>المدخلات!$F$4</f>
        <v>4:00–5:30 م</v>
      </c>
      <c r="C25" s="12">
        <v>1</v>
      </c>
      <c r="D25" s="12" t="s">
        <v>23</v>
      </c>
      <c r="E25" s="7"/>
      <c r="F25" s="5"/>
      <c r="G25" s="5"/>
    </row>
    <row r="26" spans="1:7">
      <c r="A26" s="11">
        <v>8</v>
      </c>
      <c r="B26" s="12" t="str">
        <f>المدخلات!$F$5</f>
        <v>5:40–7:10 م</v>
      </c>
      <c r="C26" s="12">
        <v>1</v>
      </c>
      <c r="D26" s="12" t="s">
        <v>22</v>
      </c>
      <c r="E26" s="7"/>
      <c r="F26" s="5"/>
      <c r="G26" s="5"/>
    </row>
    <row r="27" spans="1:7">
      <c r="A27" s="11">
        <v>8</v>
      </c>
      <c r="B27" s="12" t="str">
        <f>المدخلات!$F$6</f>
        <v>7:20–8:50 م</v>
      </c>
      <c r="C27" s="12">
        <v>1</v>
      </c>
      <c r="D27" s="12" t="s">
        <v>21</v>
      </c>
      <c r="E27" s="7"/>
      <c r="F27" s="5"/>
      <c r="G27" s="5"/>
    </row>
    <row r="28" spans="1:7">
      <c r="A28" s="11">
        <v>9</v>
      </c>
      <c r="B28" s="12" t="str">
        <f>المدخلات!$F$4</f>
        <v>4:00–5:30 م</v>
      </c>
      <c r="C28" s="12">
        <v>1</v>
      </c>
      <c r="D28" s="12" t="s">
        <v>25</v>
      </c>
      <c r="E28" s="7"/>
      <c r="F28" s="5"/>
      <c r="G28" s="5"/>
    </row>
    <row r="29" spans="1:7">
      <c r="A29" s="11">
        <v>9</v>
      </c>
      <c r="B29" s="12" t="str">
        <f>المدخلات!$F$5</f>
        <v>5:40–7:10 م</v>
      </c>
      <c r="C29" s="12">
        <v>1</v>
      </c>
      <c r="D29" s="12" t="s">
        <v>24</v>
      </c>
      <c r="E29" s="7"/>
      <c r="F29" s="5"/>
      <c r="G29" s="5"/>
    </row>
    <row r="30" spans="1:7">
      <c r="A30" s="11">
        <v>9</v>
      </c>
      <c r="B30" s="12" t="str">
        <f>المدخلات!$F$6</f>
        <v>7:20–8:50 م</v>
      </c>
      <c r="C30" s="12">
        <v>1</v>
      </c>
      <c r="D30" s="12" t="s">
        <v>26</v>
      </c>
      <c r="E30" s="7"/>
      <c r="F30" s="5"/>
      <c r="G30" s="5"/>
    </row>
    <row r="31" spans="1:7">
      <c r="A31" s="11">
        <v>10</v>
      </c>
      <c r="B31" s="12" t="str">
        <f>المدخلات!$F$4</f>
        <v>4:00–5:30 م</v>
      </c>
      <c r="C31" s="12">
        <v>1</v>
      </c>
      <c r="D31" s="12" t="s">
        <v>29</v>
      </c>
      <c r="E31" s="7"/>
      <c r="F31" s="5"/>
      <c r="G31" s="5"/>
    </row>
    <row r="32" spans="1:7">
      <c r="A32" s="11">
        <v>10</v>
      </c>
      <c r="B32" s="12" t="str">
        <f>المدخلات!$F$5</f>
        <v>5:40–7:10 م</v>
      </c>
      <c r="C32" s="12">
        <v>1</v>
      </c>
      <c r="D32" s="12" t="s">
        <v>28</v>
      </c>
      <c r="E32" s="7"/>
      <c r="F32" s="5"/>
      <c r="G32" s="5"/>
    </row>
    <row r="33" spans="1:7">
      <c r="A33" s="11">
        <v>10</v>
      </c>
      <c r="B33" s="12" t="str">
        <f>المدخلات!$F$6</f>
        <v>7:20–8:50 م</v>
      </c>
      <c r="C33" s="12">
        <v>1</v>
      </c>
      <c r="D33" s="12" t="s">
        <v>27</v>
      </c>
      <c r="E33" s="7"/>
      <c r="F33" s="5"/>
      <c r="G33" s="5"/>
    </row>
    <row r="34" spans="1:7">
      <c r="A34" s="11">
        <v>11</v>
      </c>
      <c r="B34" s="12" t="str">
        <f>المدخلات!$F$4</f>
        <v>4:00–5:30 م</v>
      </c>
      <c r="C34" s="12">
        <v>1</v>
      </c>
      <c r="D34" s="12" t="s">
        <v>28</v>
      </c>
      <c r="E34" s="7"/>
      <c r="F34" s="5"/>
      <c r="G34" s="5"/>
    </row>
    <row r="35" spans="1:7">
      <c r="A35" s="11">
        <v>11</v>
      </c>
      <c r="B35" s="12" t="str">
        <f>المدخلات!$F$5</f>
        <v>5:40–7:10 م</v>
      </c>
      <c r="C35" s="12">
        <v>1</v>
      </c>
      <c r="D35" s="12" t="s">
        <v>27</v>
      </c>
      <c r="E35" s="7"/>
      <c r="F35" s="5"/>
      <c r="G35" s="5"/>
    </row>
    <row r="36" spans="1:7">
      <c r="A36" s="11">
        <v>11</v>
      </c>
      <c r="B36" s="12" t="str">
        <f>المدخلات!$F$6</f>
        <v>7:20–8:50 م</v>
      </c>
      <c r="C36" s="12">
        <v>1</v>
      </c>
      <c r="D36" s="12" t="s">
        <v>29</v>
      </c>
      <c r="E36" s="7"/>
      <c r="F36" s="5"/>
      <c r="G36" s="5"/>
    </row>
    <row r="37" spans="1:7">
      <c r="A37" s="11">
        <v>12</v>
      </c>
      <c r="B37" s="12" t="str">
        <f>المدخلات!$F$4</f>
        <v>4:00–5:30 م</v>
      </c>
      <c r="C37" s="12">
        <v>1</v>
      </c>
      <c r="D37" s="12" t="s">
        <v>30</v>
      </c>
      <c r="E37" s="7"/>
      <c r="F37" s="5"/>
      <c r="G37" s="5"/>
    </row>
    <row r="38" spans="1:7">
      <c r="A38" s="11">
        <v>12</v>
      </c>
      <c r="B38" s="12" t="str">
        <f>المدخلات!$F$5</f>
        <v>5:40–7:10 م</v>
      </c>
      <c r="C38" s="12">
        <v>1</v>
      </c>
      <c r="D38" s="12" t="s">
        <v>31</v>
      </c>
      <c r="E38" s="7"/>
      <c r="F38" s="5"/>
      <c r="G38" s="5"/>
    </row>
    <row r="39" spans="1:7">
      <c r="A39" s="11">
        <v>12</v>
      </c>
      <c r="B39" s="12" t="str">
        <f>المدخلات!$F$6</f>
        <v>7:20–8:50 م</v>
      </c>
      <c r="C39" s="12">
        <v>1</v>
      </c>
      <c r="D39" s="12" t="s">
        <v>32</v>
      </c>
      <c r="E39" s="7"/>
      <c r="F39" s="5"/>
      <c r="G39" s="5"/>
    </row>
    <row r="40" spans="1:7">
      <c r="A40" s="11">
        <v>13</v>
      </c>
      <c r="B40" s="12" t="str">
        <f>المدخلات!$F$4</f>
        <v>4:00–5:30 م</v>
      </c>
      <c r="C40" s="12">
        <v>1</v>
      </c>
      <c r="D40" s="12" t="s">
        <v>18</v>
      </c>
      <c r="E40" s="7"/>
      <c r="F40" s="5"/>
      <c r="G40" s="5"/>
    </row>
    <row r="41" spans="1:7">
      <c r="A41" s="11">
        <v>13</v>
      </c>
      <c r="B41" s="12" t="str">
        <f>المدخلات!$F$5</f>
        <v>5:40–7:10 م</v>
      </c>
      <c r="C41" s="12">
        <v>1</v>
      </c>
      <c r="D41" s="12" t="s">
        <v>19</v>
      </c>
      <c r="E41" s="7"/>
      <c r="F41" s="5"/>
      <c r="G41" s="5"/>
    </row>
    <row r="42" spans="1:7">
      <c r="A42" s="11">
        <v>13</v>
      </c>
      <c r="B42" s="12" t="str">
        <f>المدخلات!$F$6</f>
        <v>7:20–8:50 م</v>
      </c>
      <c r="C42" s="12">
        <v>1</v>
      </c>
      <c r="D42" s="12" t="s">
        <v>20</v>
      </c>
      <c r="E42" s="7"/>
      <c r="F42" s="5"/>
      <c r="G42" s="5"/>
    </row>
    <row r="43" spans="1:7">
      <c r="A43" s="11">
        <v>14</v>
      </c>
      <c r="B43" s="12" t="str">
        <f>المدخلات!$F$4</f>
        <v>4:00–5:30 م</v>
      </c>
      <c r="C43" s="12">
        <v>1</v>
      </c>
      <c r="D43" s="12" t="s">
        <v>22</v>
      </c>
      <c r="E43" s="7"/>
      <c r="F43" s="5"/>
      <c r="G43" s="5"/>
    </row>
    <row r="44" spans="1:7">
      <c r="A44" s="11">
        <v>14</v>
      </c>
      <c r="B44" s="12" t="str">
        <f>المدخلات!$F$5</f>
        <v>5:40–7:10 م</v>
      </c>
      <c r="C44" s="12">
        <v>1</v>
      </c>
      <c r="D44" s="12" t="s">
        <v>21</v>
      </c>
      <c r="E44" s="7"/>
      <c r="F44" s="5"/>
      <c r="G44" s="5"/>
    </row>
    <row r="45" spans="1:7">
      <c r="A45" s="11">
        <v>14</v>
      </c>
      <c r="B45" s="12" t="str">
        <f>المدخلات!$F$6</f>
        <v>7:20–8:50 م</v>
      </c>
      <c r="C45" s="12">
        <v>1</v>
      </c>
      <c r="D45" s="12" t="s">
        <v>23</v>
      </c>
      <c r="E45" s="7"/>
      <c r="F45" s="5"/>
      <c r="G45" s="5"/>
    </row>
    <row r="46" spans="1:7">
      <c r="A46" s="11">
        <v>15</v>
      </c>
      <c r="B46" s="12" t="str">
        <f>المدخلات!$F$4</f>
        <v>4:00–5:30 م</v>
      </c>
      <c r="C46" s="12">
        <v>1</v>
      </c>
      <c r="D46" s="12" t="s">
        <v>25</v>
      </c>
      <c r="E46" s="7"/>
      <c r="F46" s="5"/>
      <c r="G46" s="5"/>
    </row>
    <row r="47" spans="1:7">
      <c r="A47" s="11">
        <v>15</v>
      </c>
      <c r="B47" s="12" t="str">
        <f>المدخلات!$F$5</f>
        <v>5:40–7:10 م</v>
      </c>
      <c r="C47" s="12">
        <v>1</v>
      </c>
      <c r="D47" s="12" t="s">
        <v>24</v>
      </c>
      <c r="E47" s="7"/>
      <c r="F47" s="5"/>
      <c r="G47" s="5"/>
    </row>
    <row r="48" spans="1:7">
      <c r="A48" s="11">
        <v>15</v>
      </c>
      <c r="B48" s="12" t="str">
        <f>المدخلات!$F$6</f>
        <v>7:20–8:50 م</v>
      </c>
      <c r="C48" s="12">
        <v>1</v>
      </c>
      <c r="D48" s="12" t="s">
        <v>26</v>
      </c>
      <c r="E48" s="7"/>
      <c r="F48" s="5"/>
      <c r="G48" s="5"/>
    </row>
    <row r="49" spans="1:7">
      <c r="A49" s="11">
        <v>16</v>
      </c>
      <c r="B49" s="12" t="str">
        <f>المدخلات!$F$4</f>
        <v>4:00–5:30 م</v>
      </c>
      <c r="C49" s="12">
        <v>1</v>
      </c>
      <c r="D49" s="12" t="s">
        <v>25</v>
      </c>
      <c r="E49" s="7"/>
      <c r="F49" s="5"/>
      <c r="G49" s="5"/>
    </row>
    <row r="50" spans="1:7">
      <c r="A50" s="11">
        <v>16</v>
      </c>
      <c r="B50" s="12" t="str">
        <f>المدخلات!$F$5</f>
        <v>5:40–7:10 م</v>
      </c>
      <c r="C50" s="12">
        <v>1</v>
      </c>
      <c r="D50" s="12" t="s">
        <v>26</v>
      </c>
      <c r="E50" s="7"/>
      <c r="F50" s="5"/>
      <c r="G50" s="5"/>
    </row>
    <row r="51" spans="1:7">
      <c r="A51" s="11">
        <v>16</v>
      </c>
      <c r="B51" s="12" t="str">
        <f>المدخلات!$F$6</f>
        <v>7:20–8:50 م</v>
      </c>
      <c r="C51" s="12">
        <v>1</v>
      </c>
      <c r="D51" s="12" t="s">
        <v>24</v>
      </c>
      <c r="E51" s="7"/>
      <c r="F51" s="5"/>
      <c r="G51" s="5"/>
    </row>
    <row r="52" spans="1:7">
      <c r="A52" s="11">
        <v>17</v>
      </c>
      <c r="B52" s="12" t="str">
        <f>المدخلات!$F$4</f>
        <v>4:00–5:30 م</v>
      </c>
      <c r="C52" s="12">
        <v>1</v>
      </c>
      <c r="D52" s="12" t="s">
        <v>28</v>
      </c>
      <c r="E52" s="7"/>
      <c r="F52" s="5"/>
      <c r="G52" s="5"/>
    </row>
    <row r="53" spans="1:7">
      <c r="A53" s="11">
        <v>17</v>
      </c>
      <c r="B53" s="12" t="str">
        <f>المدخلات!$F$5</f>
        <v>5:40–7:10 م</v>
      </c>
      <c r="C53" s="12">
        <v>1</v>
      </c>
      <c r="D53" s="12" t="s">
        <v>29</v>
      </c>
      <c r="E53" s="7"/>
      <c r="F53" s="5"/>
      <c r="G53" s="5"/>
    </row>
    <row r="54" spans="1:7">
      <c r="A54" s="11">
        <v>17</v>
      </c>
      <c r="B54" s="12" t="str">
        <f>المدخلات!$F$6</f>
        <v>7:20–8:50 م</v>
      </c>
      <c r="C54" s="12">
        <v>1</v>
      </c>
      <c r="D54" s="12" t="s">
        <v>27</v>
      </c>
      <c r="E54" s="7"/>
      <c r="F54" s="5"/>
      <c r="G54" s="5"/>
    </row>
    <row r="55" spans="1:7">
      <c r="A55" s="11">
        <v>18</v>
      </c>
      <c r="B55" s="12" t="str">
        <f>المدخلات!$F$4</f>
        <v>4:00–5:30 م</v>
      </c>
      <c r="C55" s="12">
        <v>1</v>
      </c>
      <c r="D55" s="12" t="s">
        <v>30</v>
      </c>
      <c r="E55" s="7"/>
      <c r="F55" s="5"/>
      <c r="G55" s="5"/>
    </row>
    <row r="56" spans="1:7">
      <c r="A56" s="11">
        <v>18</v>
      </c>
      <c r="B56" s="12" t="str">
        <f>المدخلات!$F$5</f>
        <v>5:40–7:10 م</v>
      </c>
      <c r="C56" s="12">
        <v>1</v>
      </c>
      <c r="D56" s="12" t="s">
        <v>31</v>
      </c>
      <c r="E56" s="7"/>
      <c r="F56" s="5"/>
      <c r="G56" s="5"/>
    </row>
    <row r="57" spans="1:7">
      <c r="A57" s="11">
        <v>18</v>
      </c>
      <c r="B57" s="12" t="str">
        <f>المدخلات!$F$6</f>
        <v>7:20–8:50 م</v>
      </c>
      <c r="C57" s="12">
        <v>1</v>
      </c>
      <c r="D57" s="12" t="s">
        <v>32</v>
      </c>
      <c r="E57" s="7"/>
      <c r="F57" s="5"/>
      <c r="G57" s="5"/>
    </row>
    <row r="58" spans="1:7">
      <c r="A58" s="11">
        <v>19</v>
      </c>
      <c r="B58" s="12" t="str">
        <f>المدخلات!$F$4</f>
        <v>4:00–5:30 م</v>
      </c>
      <c r="C58" s="12">
        <v>1</v>
      </c>
      <c r="D58" s="12" t="s">
        <v>18</v>
      </c>
      <c r="E58" s="7"/>
      <c r="F58" s="5"/>
      <c r="G58" s="5"/>
    </row>
    <row r="59" spans="1:7">
      <c r="A59" s="11">
        <v>19</v>
      </c>
      <c r="B59" s="12" t="str">
        <f>المدخلات!$F$5</f>
        <v>5:40–7:10 م</v>
      </c>
      <c r="C59" s="12">
        <v>1</v>
      </c>
      <c r="D59" s="12" t="s">
        <v>20</v>
      </c>
      <c r="E59" s="7"/>
      <c r="F59" s="5"/>
      <c r="G59" s="5"/>
    </row>
    <row r="60" spans="1:7">
      <c r="A60" s="11">
        <v>19</v>
      </c>
      <c r="B60" s="12" t="str">
        <f>المدخلات!$F$6</f>
        <v>7:20–8:50 م</v>
      </c>
      <c r="C60" s="12">
        <v>1</v>
      </c>
      <c r="D60" s="12" t="s">
        <v>19</v>
      </c>
      <c r="E60" s="7"/>
      <c r="F60" s="5"/>
      <c r="G60" s="5"/>
    </row>
    <row r="61" spans="1:7">
      <c r="A61" s="11">
        <v>20</v>
      </c>
      <c r="B61" s="12" t="str">
        <f>المدخلات!$F$4</f>
        <v>4:00–5:30 م</v>
      </c>
      <c r="C61" s="12">
        <v>1</v>
      </c>
      <c r="D61" s="12" t="s">
        <v>22</v>
      </c>
      <c r="E61" s="7"/>
      <c r="F61" s="5"/>
      <c r="G61" s="5"/>
    </row>
    <row r="62" spans="1:7">
      <c r="A62" s="11">
        <v>20</v>
      </c>
      <c r="B62" s="12" t="str">
        <f>المدخلات!$F$5</f>
        <v>5:40–7:10 م</v>
      </c>
      <c r="C62" s="12">
        <v>1</v>
      </c>
      <c r="D62" s="12" t="s">
        <v>21</v>
      </c>
      <c r="E62" s="7"/>
      <c r="F62" s="5"/>
      <c r="G62" s="5"/>
    </row>
    <row r="63" spans="1:7">
      <c r="A63" s="11">
        <v>20</v>
      </c>
      <c r="B63" s="12" t="str">
        <f>المدخلات!$F$6</f>
        <v>7:20–8:50 م</v>
      </c>
      <c r="C63" s="12">
        <v>1</v>
      </c>
      <c r="D63" s="12" t="s">
        <v>23</v>
      </c>
      <c r="E63" s="7"/>
      <c r="F63" s="5"/>
      <c r="G63" s="5"/>
    </row>
    <row r="64" spans="1:7">
      <c r="A64"/>
      <c r="B64"/>
      <c r="C64"/>
      <c r="D64"/>
      <c r="E64"/>
      <c r="F64"/>
      <c r="G64"/>
    </row>
    <row r="65" spans="1:7">
      <c r="A65"/>
      <c r="B65"/>
      <c r="C65"/>
      <c r="D65"/>
      <c r="E65"/>
      <c r="F65"/>
      <c r="G65"/>
    </row>
    <row r="66" spans="1:7">
      <c r="A66" s="5"/>
      <c r="B66" s="5"/>
      <c r="C66" s="5"/>
      <c r="D66" s="5"/>
      <c r="E66" s="5"/>
      <c r="F66" s="5"/>
      <c r="G66" s="5"/>
    </row>
    <row r="67" spans="1:7" ht="15.5">
      <c r="A67" s="52" t="s">
        <v>363</v>
      </c>
      <c r="B67" s="52"/>
      <c r="C67" s="52"/>
      <c r="D67" s="52"/>
      <c r="E67" s="52"/>
      <c r="F67" s="52"/>
      <c r="G67" s="52"/>
    </row>
    <row r="68" spans="1:7">
      <c r="A68" s="9" t="s">
        <v>362</v>
      </c>
      <c r="B68" s="9">
        <v>1</v>
      </c>
      <c r="C68" s="9">
        <v>2</v>
      </c>
      <c r="D68" s="9">
        <v>3</v>
      </c>
      <c r="E68" s="9">
        <v>4</v>
      </c>
      <c r="F68" s="9">
        <v>5</v>
      </c>
      <c r="G68" s="9">
        <v>6</v>
      </c>
    </row>
    <row r="69" spans="1:7">
      <c r="A69" s="9">
        <v>1</v>
      </c>
      <c r="B69" s="12" t="str">
        <f t="shared" ref="B69:G74" si="0">IF($A69=B$68,"",COUNTIF($D$4:$D$63,$A69&amp;" ضد "&amp;B$68)+COUNTIF($D$4:$D$63,B$68&amp;" ضد "&amp;$A69))</f>
        <v/>
      </c>
      <c r="C69" s="12">
        <f t="shared" si="0"/>
        <v>4</v>
      </c>
      <c r="D69" s="12">
        <f t="shared" si="0"/>
        <v>4</v>
      </c>
      <c r="E69" s="12">
        <f t="shared" si="0"/>
        <v>4</v>
      </c>
      <c r="F69" s="12">
        <f t="shared" si="0"/>
        <v>4</v>
      </c>
      <c r="G69" s="12">
        <f t="shared" si="0"/>
        <v>4</v>
      </c>
    </row>
    <row r="70" spans="1:7">
      <c r="A70" s="9">
        <v>2</v>
      </c>
      <c r="B70" s="12">
        <f t="shared" si="0"/>
        <v>4</v>
      </c>
      <c r="C70" s="12" t="str">
        <f t="shared" si="0"/>
        <v/>
      </c>
      <c r="D70" s="12">
        <f t="shared" si="0"/>
        <v>4</v>
      </c>
      <c r="E70" s="12">
        <f t="shared" si="0"/>
        <v>4</v>
      </c>
      <c r="F70" s="12">
        <f t="shared" si="0"/>
        <v>4</v>
      </c>
      <c r="G70" s="12">
        <f t="shared" si="0"/>
        <v>4</v>
      </c>
    </row>
    <row r="71" spans="1:7">
      <c r="A71" s="9">
        <v>3</v>
      </c>
      <c r="B71" s="12">
        <f t="shared" si="0"/>
        <v>4</v>
      </c>
      <c r="C71" s="12">
        <f t="shared" si="0"/>
        <v>4</v>
      </c>
      <c r="D71" s="12" t="str">
        <f t="shared" si="0"/>
        <v/>
      </c>
      <c r="E71" s="12">
        <f t="shared" si="0"/>
        <v>4</v>
      </c>
      <c r="F71" s="12">
        <f t="shared" si="0"/>
        <v>4</v>
      </c>
      <c r="G71" s="12">
        <f t="shared" si="0"/>
        <v>4</v>
      </c>
    </row>
    <row r="72" spans="1:7">
      <c r="A72" s="9">
        <v>4</v>
      </c>
      <c r="B72" s="12">
        <f t="shared" si="0"/>
        <v>4</v>
      </c>
      <c r="C72" s="12">
        <f t="shared" si="0"/>
        <v>4</v>
      </c>
      <c r="D72" s="12">
        <f t="shared" si="0"/>
        <v>4</v>
      </c>
      <c r="E72" s="12" t="str">
        <f t="shared" si="0"/>
        <v/>
      </c>
      <c r="F72" s="12">
        <f t="shared" si="0"/>
        <v>4</v>
      </c>
      <c r="G72" s="12">
        <f t="shared" si="0"/>
        <v>4</v>
      </c>
    </row>
    <row r="73" spans="1:7">
      <c r="A73" s="9">
        <v>5</v>
      </c>
      <c r="B73" s="12">
        <f t="shared" si="0"/>
        <v>4</v>
      </c>
      <c r="C73" s="12">
        <f t="shared" si="0"/>
        <v>4</v>
      </c>
      <c r="D73" s="12">
        <f t="shared" si="0"/>
        <v>4</v>
      </c>
      <c r="E73" s="12">
        <f t="shared" si="0"/>
        <v>4</v>
      </c>
      <c r="F73" s="12" t="str">
        <f t="shared" si="0"/>
        <v/>
      </c>
      <c r="G73" s="12">
        <f t="shared" si="0"/>
        <v>4</v>
      </c>
    </row>
    <row r="74" spans="1:7">
      <c r="A74" s="9">
        <v>6</v>
      </c>
      <c r="B74" s="12">
        <f t="shared" si="0"/>
        <v>4</v>
      </c>
      <c r="C74" s="12">
        <f t="shared" si="0"/>
        <v>4</v>
      </c>
      <c r="D74" s="12">
        <f t="shared" si="0"/>
        <v>4</v>
      </c>
      <c r="E74" s="12">
        <f t="shared" si="0"/>
        <v>4</v>
      </c>
      <c r="F74" s="12">
        <f t="shared" si="0"/>
        <v>4</v>
      </c>
      <c r="G74" s="12" t="str">
        <f t="shared" si="0"/>
        <v/>
      </c>
    </row>
    <row r="75" spans="1:7">
      <c r="A75" s="14" t="s">
        <v>361</v>
      </c>
      <c r="B75" s="14">
        <f>_xlfn.MINIFS(B69:G74,B69:G74,"&gt;0")</f>
        <v>4</v>
      </c>
      <c r="C75" s="5"/>
      <c r="D75" s="5"/>
      <c r="E75" s="5"/>
      <c r="F75" s="5"/>
      <c r="G75" s="5"/>
    </row>
    <row r="76" spans="1:7">
      <c r="A76" s="14" t="s">
        <v>360</v>
      </c>
      <c r="B76" s="14">
        <f>MAX(B69:G74)</f>
        <v>4</v>
      </c>
      <c r="C76" s="5"/>
      <c r="D76" s="5"/>
      <c r="E76" s="5"/>
      <c r="F76" s="5"/>
      <c r="G76" s="5"/>
    </row>
    <row r="77" spans="1:7">
      <c r="A77" s="5"/>
      <c r="B77" s="5"/>
      <c r="C77" s="5"/>
      <c r="D77" s="5"/>
      <c r="E77" s="5"/>
      <c r="F77" s="5"/>
      <c r="G77" s="5"/>
    </row>
    <row r="78" spans="1:7">
      <c r="A78" s="5"/>
      <c r="B78" s="5"/>
      <c r="C78" s="5"/>
      <c r="D78" s="5"/>
      <c r="E78" s="5"/>
      <c r="F78" s="5"/>
      <c r="G78" s="5"/>
    </row>
    <row r="79" spans="1:7">
      <c r="A79" s="5"/>
      <c r="B79" s="5"/>
      <c r="C79" s="5"/>
      <c r="D79" s="5"/>
      <c r="E79" s="5"/>
      <c r="F79" s="5"/>
      <c r="G79" s="5"/>
    </row>
    <row r="80" spans="1:7">
      <c r="A80" s="5"/>
      <c r="B80" s="5"/>
      <c r="C80" s="5"/>
      <c r="D80" s="5"/>
      <c r="E80" s="5"/>
      <c r="F80" s="5"/>
      <c r="G80" s="5"/>
    </row>
    <row r="81" s="5" customFormat="1"/>
    <row r="82" s="5" customFormat="1"/>
    <row r="83" s="5" customFormat="1"/>
    <row r="84" s="5" customFormat="1"/>
    <row r="85" s="5" customFormat="1"/>
    <row r="86" s="5" customFormat="1"/>
    <row r="87" s="5" customFormat="1"/>
    <row r="88" s="5" customFormat="1"/>
    <row r="89" s="5" customFormat="1"/>
    <row r="90" s="5" customFormat="1"/>
    <row r="91" s="5" customFormat="1"/>
    <row r="92" s="5" customFormat="1"/>
    <row r="93" s="5" customFormat="1"/>
    <row r="94" s="5" customFormat="1"/>
    <row r="95" s="5" customFormat="1"/>
    <row r="96" s="5" customFormat="1"/>
    <row r="97" s="5" customFormat="1"/>
    <row r="98" s="5" customFormat="1"/>
    <row r="99" s="5" customFormat="1"/>
    <row r="100" s="5" customFormat="1"/>
    <row r="101" s="5" customFormat="1"/>
    <row r="102" s="5" customFormat="1"/>
    <row r="103" s="5" customFormat="1"/>
    <row r="104" s="5" customFormat="1"/>
    <row r="105" s="5" customFormat="1"/>
    <row r="106" s="5" customFormat="1"/>
    <row r="107" s="5" customFormat="1"/>
    <row r="108" s="5" customFormat="1"/>
    <row r="109" s="5" customFormat="1"/>
    <row r="110" s="5" customFormat="1"/>
    <row r="111" s="5" customFormat="1"/>
    <row r="112" s="5" customFormat="1"/>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67:G6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0C48D-1128-4E4E-A331-D0AE625DD69E}">
  <dimension ref="A1:P699"/>
  <sheetViews>
    <sheetView rightToLeft="1" workbookViewId="0">
      <pane ySplit="3" topLeftCell="A61"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6.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436</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9" t="s">
        <v>16</v>
      </c>
      <c r="E3" s="7"/>
      <c r="F3" s="5"/>
      <c r="G3" s="5"/>
    </row>
    <row r="4" spans="1:16">
      <c r="A4" s="11">
        <v>1</v>
      </c>
      <c r="B4" s="12" t="str">
        <f>المدخلات!$F$4</f>
        <v>4:00–5:30 م</v>
      </c>
      <c r="C4" s="12">
        <v>1</v>
      </c>
      <c r="D4" s="12" t="s">
        <v>38</v>
      </c>
      <c r="E4" s="7"/>
      <c r="F4" s="5"/>
      <c r="G4" s="5"/>
    </row>
    <row r="5" spans="1:16">
      <c r="A5" s="11">
        <v>1</v>
      </c>
      <c r="B5" s="12" t="str">
        <f>المدخلات!$F$5</f>
        <v>5:40–7:10 م</v>
      </c>
      <c r="C5" s="12">
        <v>1</v>
      </c>
      <c r="D5" s="12" t="s">
        <v>31</v>
      </c>
      <c r="E5" s="7"/>
      <c r="F5" s="5"/>
      <c r="G5" s="5"/>
    </row>
    <row r="6" spans="1:16">
      <c r="A6" s="11">
        <v>1</v>
      </c>
      <c r="B6" s="12" t="str">
        <f>المدخلات!$F$6</f>
        <v>7:20–8:50 م</v>
      </c>
      <c r="C6" s="12">
        <v>1</v>
      </c>
      <c r="D6" s="12" t="s">
        <v>32</v>
      </c>
      <c r="E6" s="7"/>
      <c r="F6" s="5"/>
      <c r="G6" s="5"/>
    </row>
    <row r="7" spans="1:16">
      <c r="A7" s="11">
        <v>2</v>
      </c>
      <c r="B7" s="12" t="str">
        <f>المدخلات!$F$4</f>
        <v>4:00–5:30 م</v>
      </c>
      <c r="C7" s="12">
        <v>1</v>
      </c>
      <c r="D7" s="12" t="s">
        <v>20</v>
      </c>
      <c r="E7" s="7"/>
      <c r="F7" s="5"/>
      <c r="G7" s="5"/>
    </row>
    <row r="8" spans="1:16">
      <c r="A8" s="11">
        <v>2</v>
      </c>
      <c r="B8" s="12" t="str">
        <f>المدخلات!$F$5</f>
        <v>5:40–7:10 م</v>
      </c>
      <c r="C8" s="12">
        <v>1</v>
      </c>
      <c r="D8" s="12" t="s">
        <v>19</v>
      </c>
      <c r="E8" s="7"/>
      <c r="F8" s="5"/>
      <c r="G8" s="5"/>
    </row>
    <row r="9" spans="1:16">
      <c r="A9" s="11">
        <v>2</v>
      </c>
      <c r="B9" s="12" t="str">
        <f>المدخلات!$F$6</f>
        <v>7:20–8:50 م</v>
      </c>
      <c r="C9" s="12">
        <v>1</v>
      </c>
      <c r="D9" s="12" t="s">
        <v>39</v>
      </c>
      <c r="E9" s="7"/>
      <c r="F9" s="5"/>
      <c r="G9" s="5"/>
    </row>
    <row r="10" spans="1:16">
      <c r="A10" s="11">
        <v>3</v>
      </c>
      <c r="B10" s="12" t="str">
        <f>المدخلات!$F$4</f>
        <v>4:00–5:30 م</v>
      </c>
      <c r="C10" s="12">
        <v>1</v>
      </c>
      <c r="D10" s="12" t="s">
        <v>18</v>
      </c>
      <c r="E10" s="7"/>
      <c r="F10" s="5"/>
      <c r="G10" s="5"/>
    </row>
    <row r="11" spans="1:16">
      <c r="A11" s="11">
        <v>3</v>
      </c>
      <c r="B11" s="12" t="str">
        <f>المدخلات!$F$5</f>
        <v>5:40–7:10 م</v>
      </c>
      <c r="C11" s="12">
        <v>1</v>
      </c>
      <c r="D11" s="12" t="s">
        <v>40</v>
      </c>
      <c r="E11" s="7"/>
      <c r="F11" s="5"/>
      <c r="G11" s="5"/>
    </row>
    <row r="12" spans="1:16">
      <c r="A12" s="11">
        <v>3</v>
      </c>
      <c r="B12" s="12" t="str">
        <f>المدخلات!$F$6</f>
        <v>7:20–8:50 م</v>
      </c>
      <c r="C12" s="12">
        <v>1</v>
      </c>
      <c r="D12" s="12" t="s">
        <v>23</v>
      </c>
      <c r="E12" s="7"/>
      <c r="F12" s="5"/>
      <c r="G12" s="5"/>
    </row>
    <row r="13" spans="1:16">
      <c r="A13" s="11">
        <v>4</v>
      </c>
      <c r="B13" s="12" t="str">
        <f>المدخلات!$F$4</f>
        <v>4:00–5:30 م</v>
      </c>
      <c r="C13" s="12">
        <v>1</v>
      </c>
      <c r="D13" s="12" t="s">
        <v>21</v>
      </c>
      <c r="E13" s="7"/>
      <c r="F13" s="5"/>
      <c r="G13" s="5"/>
    </row>
    <row r="14" spans="1:16">
      <c r="A14" s="11">
        <v>4</v>
      </c>
      <c r="B14" s="12" t="str">
        <f>المدخلات!$F$5</f>
        <v>5:40–7:10 م</v>
      </c>
      <c r="C14" s="12">
        <v>1</v>
      </c>
      <c r="D14" s="12" t="s">
        <v>22</v>
      </c>
      <c r="E14" s="7"/>
      <c r="F14" s="5"/>
      <c r="G14" s="5"/>
    </row>
    <row r="15" spans="1:16">
      <c r="A15" s="11">
        <v>4</v>
      </c>
      <c r="B15" s="12" t="str">
        <f>المدخلات!$F$6</f>
        <v>7:20–8:50 م</v>
      </c>
      <c r="C15" s="12">
        <v>1</v>
      </c>
      <c r="D15" s="12" t="s">
        <v>41</v>
      </c>
      <c r="E15" s="7"/>
      <c r="F15" s="5"/>
      <c r="G15" s="5"/>
    </row>
    <row r="16" spans="1:16">
      <c r="A16" s="11">
        <v>5</v>
      </c>
      <c r="B16" s="12" t="str">
        <f>المدخلات!$F$4</f>
        <v>4:00–5:30 م</v>
      </c>
      <c r="C16" s="12">
        <v>1</v>
      </c>
      <c r="D16" s="12" t="s">
        <v>25</v>
      </c>
      <c r="E16" s="7"/>
      <c r="F16" s="5"/>
      <c r="G16" s="5"/>
    </row>
    <row r="17" spans="1:7">
      <c r="A17" s="11">
        <v>5</v>
      </c>
      <c r="B17" s="12" t="str">
        <f>المدخلات!$F$5</f>
        <v>5:40–7:10 م</v>
      </c>
      <c r="C17" s="12">
        <v>1</v>
      </c>
      <c r="D17" s="12" t="s">
        <v>24</v>
      </c>
      <c r="E17" s="7"/>
      <c r="F17" s="5"/>
      <c r="G17" s="5"/>
    </row>
    <row r="18" spans="1:7">
      <c r="A18" s="11">
        <v>5</v>
      </c>
      <c r="B18" s="12" t="str">
        <f>المدخلات!$F$6</f>
        <v>7:20–8:50 م</v>
      </c>
      <c r="C18" s="12">
        <v>1</v>
      </c>
      <c r="D18" s="12" t="s">
        <v>26</v>
      </c>
      <c r="E18" s="7"/>
      <c r="F18" s="5"/>
      <c r="G18" s="5"/>
    </row>
    <row r="19" spans="1:7">
      <c r="A19" s="11">
        <v>6</v>
      </c>
      <c r="B19" s="12" t="str">
        <f>المدخلات!$F$4</f>
        <v>4:00–5:30 م</v>
      </c>
      <c r="C19" s="12">
        <v>1</v>
      </c>
      <c r="D19" s="12" t="s">
        <v>28</v>
      </c>
      <c r="E19" s="7"/>
      <c r="F19" s="5"/>
      <c r="G19" s="5"/>
    </row>
    <row r="20" spans="1:7">
      <c r="A20" s="11">
        <v>6</v>
      </c>
      <c r="B20" s="12" t="str">
        <f>المدخلات!$F$5</f>
        <v>5:40–7:10 م</v>
      </c>
      <c r="C20" s="12">
        <v>1</v>
      </c>
      <c r="D20" s="12" t="s">
        <v>27</v>
      </c>
      <c r="E20" s="7"/>
      <c r="F20" s="5"/>
      <c r="G20" s="5"/>
    </row>
    <row r="21" spans="1:7">
      <c r="A21" s="11">
        <v>6</v>
      </c>
      <c r="B21" s="12" t="str">
        <f>المدخلات!$F$6</f>
        <v>7:20–8:50 م</v>
      </c>
      <c r="C21" s="12">
        <v>1</v>
      </c>
      <c r="D21" s="12" t="s">
        <v>42</v>
      </c>
      <c r="E21" s="7"/>
      <c r="F21" s="5"/>
      <c r="G21" s="5"/>
    </row>
    <row r="22" spans="1:7">
      <c r="A22" s="11">
        <v>7</v>
      </c>
      <c r="B22" s="12" t="str">
        <f>المدخلات!$F$4</f>
        <v>4:00–5:30 م</v>
      </c>
      <c r="C22" s="12">
        <v>1</v>
      </c>
      <c r="D22" s="12" t="s">
        <v>43</v>
      </c>
      <c r="E22" s="7"/>
      <c r="F22" s="5"/>
      <c r="G22" s="5"/>
    </row>
    <row r="23" spans="1:7">
      <c r="A23" s="11">
        <v>7</v>
      </c>
      <c r="B23" s="12" t="str">
        <f>المدخلات!$F$5</f>
        <v>5:40–7:10 م</v>
      </c>
      <c r="C23" s="12">
        <v>1</v>
      </c>
      <c r="D23" s="12" t="s">
        <v>30</v>
      </c>
      <c r="E23" s="7"/>
      <c r="F23" s="5"/>
      <c r="G23" s="5"/>
    </row>
    <row r="24" spans="1:7">
      <c r="A24" s="11">
        <v>7</v>
      </c>
      <c r="B24" s="12" t="str">
        <f>المدخلات!$F$6</f>
        <v>7:20–8:50 م</v>
      </c>
      <c r="C24" s="12">
        <v>1</v>
      </c>
      <c r="D24" s="12" t="s">
        <v>29</v>
      </c>
      <c r="E24" s="7"/>
      <c r="F24" s="5"/>
      <c r="G24" s="5"/>
    </row>
    <row r="25" spans="1:7">
      <c r="A25" s="11">
        <v>8</v>
      </c>
      <c r="B25" s="12" t="str">
        <f>المدخلات!$F$4</f>
        <v>4:00–5:30 م</v>
      </c>
      <c r="C25" s="12">
        <v>1</v>
      </c>
      <c r="D25" s="12" t="s">
        <v>29</v>
      </c>
      <c r="E25" s="7"/>
      <c r="F25" s="5"/>
      <c r="G25" s="5"/>
    </row>
    <row r="26" spans="1:7">
      <c r="A26" s="11">
        <v>8</v>
      </c>
      <c r="B26" s="12" t="str">
        <f>المدخلات!$F$5</f>
        <v>5:40–7:10 م</v>
      </c>
      <c r="C26" s="12">
        <v>1</v>
      </c>
      <c r="D26" s="12" t="s">
        <v>43</v>
      </c>
      <c r="E26" s="7"/>
      <c r="F26" s="5"/>
      <c r="G26" s="5"/>
    </row>
    <row r="27" spans="1:7">
      <c r="A27" s="11">
        <v>8</v>
      </c>
      <c r="B27" s="12" t="str">
        <f>المدخلات!$F$6</f>
        <v>7:20–8:50 م</v>
      </c>
      <c r="C27" s="12">
        <v>1</v>
      </c>
      <c r="D27" s="12" t="s">
        <v>30</v>
      </c>
      <c r="E27" s="7"/>
      <c r="F27" s="5"/>
      <c r="G27" s="5"/>
    </row>
    <row r="28" spans="1:7">
      <c r="A28" s="11">
        <v>9</v>
      </c>
      <c r="B28" s="12" t="str">
        <f>المدخلات!$F$4</f>
        <v>4:00–5:30 م</v>
      </c>
      <c r="C28" s="12">
        <v>1</v>
      </c>
      <c r="D28" s="12" t="s">
        <v>31</v>
      </c>
      <c r="E28" s="7"/>
      <c r="F28" s="5"/>
      <c r="G28" s="5"/>
    </row>
    <row r="29" spans="1:7">
      <c r="A29" s="11">
        <v>9</v>
      </c>
      <c r="B29" s="12" t="str">
        <f>المدخلات!$F$5</f>
        <v>5:40–7:10 م</v>
      </c>
      <c r="C29" s="12">
        <v>1</v>
      </c>
      <c r="D29" s="12" t="s">
        <v>38</v>
      </c>
      <c r="E29" s="7"/>
      <c r="F29" s="5"/>
      <c r="G29" s="5"/>
    </row>
    <row r="30" spans="1:7">
      <c r="A30" s="11">
        <v>9</v>
      </c>
      <c r="B30" s="12" t="str">
        <f>المدخلات!$F$6</f>
        <v>7:20–8:50 م</v>
      </c>
      <c r="C30" s="12">
        <v>1</v>
      </c>
      <c r="D30" s="12" t="s">
        <v>32</v>
      </c>
      <c r="E30" s="7"/>
      <c r="F30" s="5"/>
      <c r="G30" s="5"/>
    </row>
    <row r="31" spans="1:7">
      <c r="A31" s="11">
        <v>10</v>
      </c>
      <c r="B31" s="12" t="str">
        <f>المدخلات!$F$4</f>
        <v>4:00–5:30 م</v>
      </c>
      <c r="C31" s="12">
        <v>1</v>
      </c>
      <c r="D31" s="12" t="s">
        <v>39</v>
      </c>
      <c r="E31" s="7"/>
      <c r="F31" s="5"/>
      <c r="G31" s="5"/>
    </row>
    <row r="32" spans="1:7">
      <c r="A32" s="11">
        <v>10</v>
      </c>
      <c r="B32" s="12" t="str">
        <f>المدخلات!$F$5</f>
        <v>5:40–7:10 م</v>
      </c>
      <c r="C32" s="12">
        <v>1</v>
      </c>
      <c r="D32" s="12" t="s">
        <v>19</v>
      </c>
      <c r="E32" s="7"/>
      <c r="F32" s="5"/>
      <c r="G32" s="5"/>
    </row>
    <row r="33" spans="1:7">
      <c r="A33" s="11">
        <v>10</v>
      </c>
      <c r="B33" s="12" t="str">
        <f>المدخلات!$F$6</f>
        <v>7:20–8:50 م</v>
      </c>
      <c r="C33" s="12">
        <v>1</v>
      </c>
      <c r="D33" s="12" t="s">
        <v>20</v>
      </c>
      <c r="E33" s="7"/>
      <c r="F33" s="5"/>
      <c r="G33" s="5"/>
    </row>
    <row r="34" spans="1:7">
      <c r="A34" s="11">
        <v>11</v>
      </c>
      <c r="B34" s="12" t="str">
        <f>المدخلات!$F$4</f>
        <v>4:00–5:30 م</v>
      </c>
      <c r="C34" s="12">
        <v>1</v>
      </c>
      <c r="D34" s="12" t="s">
        <v>23</v>
      </c>
      <c r="E34" s="7"/>
      <c r="F34" s="5"/>
      <c r="G34" s="5"/>
    </row>
    <row r="35" spans="1:7">
      <c r="A35" s="11">
        <v>11</v>
      </c>
      <c r="B35" s="12" t="str">
        <f>المدخلات!$F$5</f>
        <v>5:40–7:10 م</v>
      </c>
      <c r="C35" s="12">
        <v>1</v>
      </c>
      <c r="D35" s="12" t="s">
        <v>18</v>
      </c>
      <c r="E35" s="7"/>
      <c r="F35" s="5"/>
      <c r="G35" s="5"/>
    </row>
    <row r="36" spans="1:7">
      <c r="A36" s="11">
        <v>11</v>
      </c>
      <c r="B36" s="12" t="str">
        <f>المدخلات!$F$6</f>
        <v>7:20–8:50 م</v>
      </c>
      <c r="C36" s="12">
        <v>1</v>
      </c>
      <c r="D36" s="12" t="s">
        <v>40</v>
      </c>
      <c r="E36" s="7"/>
      <c r="F36" s="5"/>
      <c r="G36" s="5"/>
    </row>
    <row r="37" spans="1:7">
      <c r="A37" s="11">
        <v>12</v>
      </c>
      <c r="B37" s="12" t="str">
        <f>المدخلات!$F$4</f>
        <v>4:00–5:30 م</v>
      </c>
      <c r="C37" s="12">
        <v>1</v>
      </c>
      <c r="D37" s="12" t="s">
        <v>21</v>
      </c>
      <c r="E37" s="7"/>
      <c r="F37" s="5"/>
      <c r="G37" s="5"/>
    </row>
    <row r="38" spans="1:7">
      <c r="A38" s="11">
        <v>12</v>
      </c>
      <c r="B38" s="12" t="str">
        <f>المدخلات!$F$5</f>
        <v>5:40–7:10 م</v>
      </c>
      <c r="C38" s="12">
        <v>1</v>
      </c>
      <c r="D38" s="12" t="s">
        <v>41</v>
      </c>
      <c r="E38" s="7"/>
      <c r="F38" s="5"/>
      <c r="G38" s="5"/>
    </row>
    <row r="39" spans="1:7">
      <c r="A39" s="11">
        <v>12</v>
      </c>
      <c r="B39" s="12" t="str">
        <f>المدخلات!$F$6</f>
        <v>7:20–8:50 م</v>
      </c>
      <c r="C39" s="12">
        <v>1</v>
      </c>
      <c r="D39" s="12" t="s">
        <v>22</v>
      </c>
      <c r="E39" s="7"/>
      <c r="F39" s="5"/>
      <c r="G39" s="5"/>
    </row>
    <row r="40" spans="1:7">
      <c r="A40" s="11">
        <v>13</v>
      </c>
      <c r="B40" s="12" t="str">
        <f>المدخلات!$F$4</f>
        <v>4:00–5:30 م</v>
      </c>
      <c r="C40" s="12">
        <v>1</v>
      </c>
      <c r="D40" s="12" t="s">
        <v>26</v>
      </c>
      <c r="E40" s="7"/>
      <c r="F40" s="5"/>
      <c r="G40" s="5"/>
    </row>
    <row r="41" spans="1:7">
      <c r="A41" s="11">
        <v>13</v>
      </c>
      <c r="B41" s="12" t="str">
        <f>المدخلات!$F$5</f>
        <v>5:40–7:10 م</v>
      </c>
      <c r="C41" s="12">
        <v>1</v>
      </c>
      <c r="D41" s="12" t="s">
        <v>25</v>
      </c>
      <c r="E41" s="7"/>
      <c r="F41" s="5"/>
      <c r="G41" s="5"/>
    </row>
    <row r="42" spans="1:7">
      <c r="A42" s="11">
        <v>13</v>
      </c>
      <c r="B42" s="12" t="str">
        <f>المدخلات!$F$6</f>
        <v>7:20–8:50 م</v>
      </c>
      <c r="C42" s="12">
        <v>1</v>
      </c>
      <c r="D42" s="12" t="s">
        <v>24</v>
      </c>
      <c r="E42" s="7"/>
      <c r="F42" s="5"/>
      <c r="G42" s="5"/>
    </row>
    <row r="43" spans="1:7">
      <c r="A43" s="11">
        <v>14</v>
      </c>
      <c r="B43" s="12" t="str">
        <f>المدخلات!$F$4</f>
        <v>4:00–5:30 م</v>
      </c>
      <c r="C43" s="12">
        <v>1</v>
      </c>
      <c r="D43" s="12" t="s">
        <v>42</v>
      </c>
      <c r="E43" s="7"/>
      <c r="F43" s="5"/>
      <c r="G43" s="5"/>
    </row>
    <row r="44" spans="1:7">
      <c r="A44" s="11">
        <v>14</v>
      </c>
      <c r="B44" s="12" t="str">
        <f>المدخلات!$F$5</f>
        <v>5:40–7:10 م</v>
      </c>
      <c r="C44" s="12">
        <v>1</v>
      </c>
      <c r="D44" s="12" t="s">
        <v>28</v>
      </c>
      <c r="E44" s="7"/>
      <c r="F44" s="5"/>
      <c r="G44" s="5"/>
    </row>
    <row r="45" spans="1:7">
      <c r="A45" s="11">
        <v>14</v>
      </c>
      <c r="B45" s="12" t="str">
        <f>المدخلات!$F$6</f>
        <v>7:20–8:50 م</v>
      </c>
      <c r="C45" s="12">
        <v>1</v>
      </c>
      <c r="D45" s="12" t="s">
        <v>27</v>
      </c>
      <c r="E45" s="7"/>
      <c r="F45" s="5"/>
      <c r="G45" s="5"/>
    </row>
    <row r="46" spans="1:7">
      <c r="A46" s="11">
        <v>15</v>
      </c>
      <c r="B46" s="12" t="str">
        <f>المدخلات!$F$4</f>
        <v>4:00–5:30 م</v>
      </c>
      <c r="C46" s="12">
        <v>1</v>
      </c>
      <c r="D46" s="12" t="s">
        <v>28</v>
      </c>
      <c r="E46" s="7"/>
      <c r="F46" s="5"/>
      <c r="G46" s="5"/>
    </row>
    <row r="47" spans="1:7">
      <c r="A47" s="11">
        <v>15</v>
      </c>
      <c r="B47" s="12" t="str">
        <f>المدخلات!$F$5</f>
        <v>5:40–7:10 م</v>
      </c>
      <c r="C47" s="12">
        <v>1</v>
      </c>
      <c r="D47" s="12" t="s">
        <v>42</v>
      </c>
      <c r="E47" s="7"/>
      <c r="F47" s="5"/>
      <c r="G47" s="5"/>
    </row>
    <row r="48" spans="1:7">
      <c r="A48" s="11">
        <v>15</v>
      </c>
      <c r="B48" s="12" t="str">
        <f>المدخلات!$F$6</f>
        <v>7:20–8:50 م</v>
      </c>
      <c r="C48" s="12">
        <v>1</v>
      </c>
      <c r="D48" s="12" t="s">
        <v>27</v>
      </c>
      <c r="E48" s="7"/>
      <c r="F48" s="5"/>
      <c r="G48" s="5"/>
    </row>
    <row r="49" spans="1:7">
      <c r="A49" s="11">
        <v>16</v>
      </c>
      <c r="B49" s="12" t="str">
        <f>المدخلات!$F$4</f>
        <v>4:00–5:30 م</v>
      </c>
      <c r="C49" s="12">
        <v>1</v>
      </c>
      <c r="D49" s="12" t="s">
        <v>43</v>
      </c>
      <c r="E49" s="7"/>
      <c r="F49" s="5"/>
      <c r="G49" s="5"/>
    </row>
    <row r="50" spans="1:7">
      <c r="A50" s="11">
        <v>16</v>
      </c>
      <c r="B50" s="12" t="str">
        <f>المدخلات!$F$5</f>
        <v>5:40–7:10 م</v>
      </c>
      <c r="C50" s="12">
        <v>1</v>
      </c>
      <c r="D50" s="12" t="s">
        <v>29</v>
      </c>
      <c r="E50" s="7"/>
      <c r="F50" s="5"/>
      <c r="G50" s="5"/>
    </row>
    <row r="51" spans="1:7">
      <c r="A51" s="11">
        <v>16</v>
      </c>
      <c r="B51" s="12" t="str">
        <f>المدخلات!$F$6</f>
        <v>7:20–8:50 م</v>
      </c>
      <c r="C51" s="12">
        <v>1</v>
      </c>
      <c r="D51" s="12" t="s">
        <v>30</v>
      </c>
      <c r="E51" s="7"/>
      <c r="F51" s="5"/>
      <c r="G51" s="5"/>
    </row>
    <row r="52" spans="1:7">
      <c r="A52" s="11">
        <v>17</v>
      </c>
      <c r="B52" s="12" t="str">
        <f>المدخلات!$F$4</f>
        <v>4:00–5:30 م</v>
      </c>
      <c r="C52" s="12">
        <v>1</v>
      </c>
      <c r="D52" s="12" t="s">
        <v>31</v>
      </c>
      <c r="E52" s="7"/>
      <c r="F52" s="5"/>
      <c r="G52" s="5"/>
    </row>
    <row r="53" spans="1:7">
      <c r="A53" s="11">
        <v>17</v>
      </c>
      <c r="B53" s="12" t="str">
        <f>المدخلات!$F$5</f>
        <v>5:40–7:10 م</v>
      </c>
      <c r="C53" s="12">
        <v>1</v>
      </c>
      <c r="D53" s="12" t="s">
        <v>32</v>
      </c>
      <c r="E53" s="7"/>
      <c r="F53" s="5"/>
      <c r="G53" s="5"/>
    </row>
    <row r="54" spans="1:7">
      <c r="A54" s="11">
        <v>17</v>
      </c>
      <c r="B54" s="12" t="str">
        <f>المدخلات!$F$6</f>
        <v>7:20–8:50 م</v>
      </c>
      <c r="C54" s="12">
        <v>1</v>
      </c>
      <c r="D54" s="12" t="s">
        <v>38</v>
      </c>
      <c r="E54" s="7"/>
      <c r="F54" s="5"/>
      <c r="G54" s="5"/>
    </row>
    <row r="55" spans="1:7">
      <c r="A55" s="11">
        <v>18</v>
      </c>
      <c r="B55" s="12" t="str">
        <f>المدخلات!$F$4</f>
        <v>4:00–5:30 م</v>
      </c>
      <c r="C55" s="12">
        <v>1</v>
      </c>
      <c r="D55" s="12" t="s">
        <v>39</v>
      </c>
      <c r="E55" s="7"/>
      <c r="F55" s="5"/>
      <c r="G55" s="5"/>
    </row>
    <row r="56" spans="1:7">
      <c r="A56" s="11">
        <v>18</v>
      </c>
      <c r="B56" s="12" t="str">
        <f>المدخلات!$F$5</f>
        <v>5:40–7:10 م</v>
      </c>
      <c r="C56" s="12">
        <v>1</v>
      </c>
      <c r="D56" s="12" t="s">
        <v>20</v>
      </c>
      <c r="E56" s="7"/>
      <c r="F56" s="5"/>
      <c r="G56" s="5"/>
    </row>
    <row r="57" spans="1:7">
      <c r="A57" s="11">
        <v>18</v>
      </c>
      <c r="B57" s="12" t="str">
        <f>المدخلات!$F$6</f>
        <v>7:20–8:50 م</v>
      </c>
      <c r="C57" s="12">
        <v>1</v>
      </c>
      <c r="D57" s="12" t="s">
        <v>19</v>
      </c>
      <c r="E57" s="7"/>
      <c r="F57" s="5"/>
      <c r="G57" s="5"/>
    </row>
    <row r="58" spans="1:7">
      <c r="A58" s="11">
        <v>19</v>
      </c>
      <c r="B58" s="12" t="str">
        <f>المدخلات!$F$4</f>
        <v>4:00–5:30 م</v>
      </c>
      <c r="C58" s="12">
        <v>1</v>
      </c>
      <c r="D58" s="12" t="s">
        <v>23</v>
      </c>
      <c r="E58" s="7"/>
      <c r="F58" s="5"/>
      <c r="G58" s="5"/>
    </row>
    <row r="59" spans="1:7">
      <c r="A59" s="11">
        <v>19</v>
      </c>
      <c r="B59" s="12" t="str">
        <f>المدخلات!$F$5</f>
        <v>5:40–7:10 م</v>
      </c>
      <c r="C59" s="12">
        <v>1</v>
      </c>
      <c r="D59" s="12" t="s">
        <v>18</v>
      </c>
      <c r="E59" s="7"/>
      <c r="F59" s="5"/>
      <c r="G59" s="5"/>
    </row>
    <row r="60" spans="1:7">
      <c r="A60" s="11">
        <v>19</v>
      </c>
      <c r="B60" s="12" t="str">
        <f>المدخلات!$F$6</f>
        <v>7:20–8:50 م</v>
      </c>
      <c r="C60" s="12">
        <v>1</v>
      </c>
      <c r="D60" s="12" t="s">
        <v>40</v>
      </c>
      <c r="E60" s="7"/>
      <c r="F60" s="5"/>
      <c r="G60" s="5"/>
    </row>
    <row r="61" spans="1:7">
      <c r="A61" s="11">
        <v>20</v>
      </c>
      <c r="B61" s="12" t="str">
        <f>المدخلات!$F$4</f>
        <v>4:00–5:30 م</v>
      </c>
      <c r="C61" s="12">
        <v>1</v>
      </c>
      <c r="D61" s="12" t="s">
        <v>21</v>
      </c>
      <c r="E61" s="7"/>
      <c r="F61" s="5"/>
      <c r="G61" s="5"/>
    </row>
    <row r="62" spans="1:7">
      <c r="A62" s="11">
        <v>20</v>
      </c>
      <c r="B62" s="12" t="str">
        <f>المدخلات!$F$5</f>
        <v>5:40–7:10 م</v>
      </c>
      <c r="C62" s="12">
        <v>1</v>
      </c>
      <c r="D62" s="12" t="s">
        <v>41</v>
      </c>
      <c r="E62" s="7"/>
      <c r="F62" s="5"/>
      <c r="G62" s="5"/>
    </row>
    <row r="63" spans="1:7">
      <c r="A63" s="11">
        <v>20</v>
      </c>
      <c r="B63" s="12" t="str">
        <f>المدخلات!$F$6</f>
        <v>7:20–8:50 م</v>
      </c>
      <c r="C63" s="12">
        <v>1</v>
      </c>
      <c r="D63" s="12" t="s">
        <v>22</v>
      </c>
      <c r="E63" s="7"/>
      <c r="F63" s="5"/>
      <c r="G63" s="5"/>
    </row>
    <row r="64" spans="1:7">
      <c r="A64" s="11">
        <v>21</v>
      </c>
      <c r="B64" s="12" t="str">
        <f>المدخلات!$F$4</f>
        <v>4:00–5:30 م</v>
      </c>
      <c r="C64" s="12">
        <v>1</v>
      </c>
      <c r="D64" s="12" t="s">
        <v>25</v>
      </c>
      <c r="E64" s="7"/>
      <c r="F64" s="5"/>
      <c r="G64" s="5"/>
    </row>
    <row r="65" spans="1:8">
      <c r="A65" s="11">
        <v>21</v>
      </c>
      <c r="B65" s="12" t="str">
        <f>المدخلات!$F$5</f>
        <v>5:40–7:10 م</v>
      </c>
      <c r="C65" s="12">
        <v>1</v>
      </c>
      <c r="D65" s="12" t="s">
        <v>24</v>
      </c>
      <c r="E65" s="7"/>
      <c r="F65" s="5"/>
      <c r="G65" s="5"/>
    </row>
    <row r="66" spans="1:8">
      <c r="A66" s="11">
        <v>21</v>
      </c>
      <c r="B66" s="12" t="str">
        <f>المدخلات!$F$6</f>
        <v>7:20–8:50 م</v>
      </c>
      <c r="C66" s="12">
        <v>1</v>
      </c>
      <c r="D66" s="12" t="s">
        <v>26</v>
      </c>
      <c r="E66" s="7"/>
      <c r="F66" s="5"/>
      <c r="G66" s="5"/>
    </row>
    <row r="67" spans="1:8">
      <c r="A67" s="5"/>
      <c r="B67" s="5"/>
      <c r="C67" s="5"/>
      <c r="D67" s="5"/>
      <c r="E67" s="5"/>
      <c r="F67" s="5"/>
      <c r="G67" s="5"/>
    </row>
    <row r="68" spans="1:8">
      <c r="A68" s="5"/>
      <c r="B68" s="5"/>
      <c r="C68" s="5"/>
      <c r="D68" s="5"/>
      <c r="E68" s="5"/>
      <c r="F68" s="5"/>
      <c r="G68" s="5"/>
    </row>
    <row r="69" spans="1:8" ht="15.5">
      <c r="A69" s="52" t="s">
        <v>363</v>
      </c>
      <c r="B69" s="52"/>
      <c r="C69" s="52"/>
      <c r="D69" s="52"/>
      <c r="E69" s="52"/>
      <c r="F69" s="52"/>
      <c r="G69" s="52"/>
      <c r="H69" s="52"/>
    </row>
    <row r="70" spans="1:8">
      <c r="A70" s="9" t="s">
        <v>362</v>
      </c>
      <c r="B70" s="9">
        <v>1</v>
      </c>
      <c r="C70" s="9">
        <v>2</v>
      </c>
      <c r="D70" s="9">
        <v>3</v>
      </c>
      <c r="E70" s="9">
        <v>4</v>
      </c>
      <c r="F70" s="9">
        <v>5</v>
      </c>
      <c r="G70" s="9">
        <v>6</v>
      </c>
      <c r="H70" s="9">
        <v>7</v>
      </c>
    </row>
    <row r="71" spans="1:8">
      <c r="A71" s="9">
        <v>1</v>
      </c>
      <c r="B71" s="12" t="str">
        <f t="shared" ref="B71:H77" si="0">IF($A71=B$70,"",COUNTIF($D$4:$D$66,$A71&amp;" ضد "&amp;B$70)+COUNTIF($D$4:$D$66,B$70&amp;" ضد "&amp;$A71))</f>
        <v/>
      </c>
      <c r="C71" s="12">
        <f t="shared" si="0"/>
        <v>3</v>
      </c>
      <c r="D71" s="12">
        <f t="shared" si="0"/>
        <v>3</v>
      </c>
      <c r="E71" s="12">
        <f t="shared" si="0"/>
        <v>3</v>
      </c>
      <c r="F71" s="12">
        <f t="shared" si="0"/>
        <v>3</v>
      </c>
      <c r="G71" s="12">
        <f t="shared" si="0"/>
        <v>3</v>
      </c>
      <c r="H71" s="12">
        <f t="shared" si="0"/>
        <v>3</v>
      </c>
    </row>
    <row r="72" spans="1:8">
      <c r="A72" s="9">
        <v>2</v>
      </c>
      <c r="B72" s="12">
        <f t="shared" si="0"/>
        <v>3</v>
      </c>
      <c r="C72" s="12" t="str">
        <f t="shared" si="0"/>
        <v/>
      </c>
      <c r="D72" s="12">
        <f t="shared" si="0"/>
        <v>3</v>
      </c>
      <c r="E72" s="12">
        <f t="shared" si="0"/>
        <v>3</v>
      </c>
      <c r="F72" s="12">
        <f t="shared" si="0"/>
        <v>3</v>
      </c>
      <c r="G72" s="12">
        <f t="shared" si="0"/>
        <v>3</v>
      </c>
      <c r="H72" s="12">
        <f t="shared" si="0"/>
        <v>3</v>
      </c>
    </row>
    <row r="73" spans="1:8">
      <c r="A73" s="9">
        <v>3</v>
      </c>
      <c r="B73" s="12">
        <f t="shared" si="0"/>
        <v>3</v>
      </c>
      <c r="C73" s="12">
        <f t="shared" si="0"/>
        <v>3</v>
      </c>
      <c r="D73" s="12" t="str">
        <f t="shared" si="0"/>
        <v/>
      </c>
      <c r="E73" s="12">
        <f t="shared" si="0"/>
        <v>3</v>
      </c>
      <c r="F73" s="12">
        <f t="shared" si="0"/>
        <v>3</v>
      </c>
      <c r="G73" s="12">
        <f t="shared" si="0"/>
        <v>3</v>
      </c>
      <c r="H73" s="12">
        <f t="shared" si="0"/>
        <v>3</v>
      </c>
    </row>
    <row r="74" spans="1:8">
      <c r="A74" s="9">
        <v>4</v>
      </c>
      <c r="B74" s="12">
        <f t="shared" si="0"/>
        <v>3</v>
      </c>
      <c r="C74" s="12">
        <f t="shared" si="0"/>
        <v>3</v>
      </c>
      <c r="D74" s="12">
        <f t="shared" si="0"/>
        <v>3</v>
      </c>
      <c r="E74" s="12" t="str">
        <f t="shared" si="0"/>
        <v/>
      </c>
      <c r="F74" s="12">
        <f t="shared" si="0"/>
        <v>3</v>
      </c>
      <c r="G74" s="12">
        <f t="shared" si="0"/>
        <v>3</v>
      </c>
      <c r="H74" s="12">
        <f t="shared" si="0"/>
        <v>3</v>
      </c>
    </row>
    <row r="75" spans="1:8">
      <c r="A75" s="9">
        <v>5</v>
      </c>
      <c r="B75" s="12">
        <f t="shared" si="0"/>
        <v>3</v>
      </c>
      <c r="C75" s="12">
        <f t="shared" si="0"/>
        <v>3</v>
      </c>
      <c r="D75" s="12">
        <f t="shared" si="0"/>
        <v>3</v>
      </c>
      <c r="E75" s="12">
        <f t="shared" si="0"/>
        <v>3</v>
      </c>
      <c r="F75" s="12" t="str">
        <f t="shared" si="0"/>
        <v/>
      </c>
      <c r="G75" s="12">
        <f t="shared" si="0"/>
        <v>3</v>
      </c>
      <c r="H75" s="12">
        <f t="shared" si="0"/>
        <v>3</v>
      </c>
    </row>
    <row r="76" spans="1:8">
      <c r="A76" s="9">
        <v>6</v>
      </c>
      <c r="B76" s="12">
        <f t="shared" si="0"/>
        <v>3</v>
      </c>
      <c r="C76" s="12">
        <f t="shared" si="0"/>
        <v>3</v>
      </c>
      <c r="D76" s="12">
        <f t="shared" si="0"/>
        <v>3</v>
      </c>
      <c r="E76" s="12">
        <f t="shared" si="0"/>
        <v>3</v>
      </c>
      <c r="F76" s="12">
        <f t="shared" si="0"/>
        <v>3</v>
      </c>
      <c r="G76" s="12" t="str">
        <f t="shared" si="0"/>
        <v/>
      </c>
      <c r="H76" s="12">
        <f t="shared" si="0"/>
        <v>3</v>
      </c>
    </row>
    <row r="77" spans="1:8">
      <c r="A77" s="9">
        <v>7</v>
      </c>
      <c r="B77" s="12">
        <f t="shared" si="0"/>
        <v>3</v>
      </c>
      <c r="C77" s="12">
        <f t="shared" si="0"/>
        <v>3</v>
      </c>
      <c r="D77" s="12">
        <f t="shared" si="0"/>
        <v>3</v>
      </c>
      <c r="E77" s="12">
        <f t="shared" si="0"/>
        <v>3</v>
      </c>
      <c r="F77" s="12">
        <f t="shared" si="0"/>
        <v>3</v>
      </c>
      <c r="G77" s="12">
        <f t="shared" si="0"/>
        <v>3</v>
      </c>
      <c r="H77" s="12" t="str">
        <f t="shared" si="0"/>
        <v/>
      </c>
    </row>
    <row r="78" spans="1:8">
      <c r="A78" s="14" t="s">
        <v>361</v>
      </c>
      <c r="B78" s="14">
        <f>_xlfn.MINIFS(B71:H77,B71:H77,"&gt;0")</f>
        <v>3</v>
      </c>
      <c r="C78" s="5"/>
      <c r="D78" s="5"/>
      <c r="E78" s="5"/>
      <c r="F78" s="5"/>
      <c r="G78" s="5"/>
    </row>
    <row r="79" spans="1:8">
      <c r="A79" s="14" t="s">
        <v>360</v>
      </c>
      <c r="B79" s="14">
        <f>MAX(B71:H77)</f>
        <v>3</v>
      </c>
      <c r="C79" s="5"/>
      <c r="D79" s="5"/>
      <c r="E79" s="5"/>
      <c r="F79" s="5"/>
      <c r="G79" s="5"/>
    </row>
    <row r="80" spans="1:8">
      <c r="A80" s="5"/>
      <c r="B80" s="5"/>
      <c r="C80" s="5"/>
      <c r="D80" s="5"/>
      <c r="E80" s="5"/>
      <c r="F80" s="5"/>
      <c r="G80" s="5"/>
    </row>
    <row r="81" s="5" customFormat="1"/>
    <row r="82" s="5" customFormat="1"/>
    <row r="83" s="5" customFormat="1"/>
    <row r="84" s="5" customFormat="1"/>
    <row r="85" s="5" customFormat="1"/>
    <row r="86" s="5" customFormat="1"/>
    <row r="87" s="5" customFormat="1"/>
    <row r="88" s="5" customFormat="1"/>
    <row r="89" s="5" customFormat="1"/>
    <row r="90" s="5" customFormat="1"/>
    <row r="91" s="5" customFormat="1"/>
    <row r="92" s="5" customFormat="1"/>
    <row r="93" s="5" customFormat="1"/>
    <row r="94" s="5" customFormat="1"/>
    <row r="95" s="5" customFormat="1"/>
    <row r="96" s="5" customFormat="1"/>
    <row r="97" s="5" customFormat="1"/>
    <row r="98" s="5" customFormat="1"/>
    <row r="99" s="5" customFormat="1"/>
    <row r="100" s="5" customFormat="1"/>
    <row r="101" s="5" customFormat="1"/>
    <row r="102" s="5" customFormat="1"/>
    <row r="103" s="5" customFormat="1"/>
    <row r="104" s="5" customFormat="1"/>
    <row r="105" s="5" customFormat="1"/>
    <row r="106" s="5" customFormat="1"/>
    <row r="107" s="5" customFormat="1"/>
    <row r="108" s="5" customFormat="1"/>
    <row r="109" s="5" customFormat="1"/>
    <row r="110" s="5" customFormat="1"/>
    <row r="111" s="5" customFormat="1"/>
    <row r="112" s="5" customFormat="1"/>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69:H6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57C0-164E-4EA7-8A7B-3B3EBA96914D}">
  <dimension ref="A1:P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6.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437</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9" t="s">
        <v>16</v>
      </c>
      <c r="E3" s="7"/>
      <c r="F3" s="5"/>
      <c r="G3" s="5"/>
    </row>
    <row r="4" spans="1:16">
      <c r="A4" s="11">
        <v>1</v>
      </c>
      <c r="B4" s="12" t="str">
        <f>المدخلات!$F$4</f>
        <v>4:00–5:30 م</v>
      </c>
      <c r="C4" s="12">
        <v>1</v>
      </c>
      <c r="D4" s="12" t="s">
        <v>44</v>
      </c>
      <c r="E4" s="7"/>
      <c r="F4" s="5"/>
      <c r="G4" s="5"/>
    </row>
    <row r="5" spans="1:16">
      <c r="A5" s="11">
        <v>1</v>
      </c>
      <c r="B5" s="12" t="str">
        <f>المدخلات!$F$4</f>
        <v>4:00–5:30 م</v>
      </c>
      <c r="C5" s="12">
        <v>2</v>
      </c>
      <c r="D5" s="12" t="s">
        <v>38</v>
      </c>
      <c r="E5" s="7"/>
      <c r="F5" s="5"/>
      <c r="G5" s="5"/>
    </row>
    <row r="6" spans="1:16">
      <c r="A6" s="11">
        <v>1</v>
      </c>
      <c r="B6" s="12" t="str">
        <f>المدخلات!$F$5</f>
        <v>5:40–7:10 م</v>
      </c>
      <c r="C6" s="12">
        <v>1</v>
      </c>
      <c r="D6" s="12" t="s">
        <v>31</v>
      </c>
      <c r="E6" s="7"/>
      <c r="F6" s="5"/>
      <c r="G6" s="5"/>
    </row>
    <row r="7" spans="1:16">
      <c r="A7" s="11">
        <v>1</v>
      </c>
      <c r="B7" s="12" t="str">
        <f>المدخلات!$F$5</f>
        <v>5:40–7:10 م</v>
      </c>
      <c r="C7" s="12">
        <v>2</v>
      </c>
      <c r="D7" s="12" t="s">
        <v>32</v>
      </c>
      <c r="E7" s="7"/>
      <c r="F7" s="5"/>
      <c r="G7" s="5"/>
    </row>
    <row r="8" spans="1:16">
      <c r="A8" s="11">
        <v>2</v>
      </c>
      <c r="B8" s="12" t="str">
        <f>المدخلات!$F$4</f>
        <v>4:00–5:30 م</v>
      </c>
      <c r="C8" s="12">
        <v>1</v>
      </c>
      <c r="D8" s="12" t="s">
        <v>19</v>
      </c>
      <c r="E8" s="7"/>
      <c r="F8" s="5"/>
      <c r="G8" s="5"/>
    </row>
    <row r="9" spans="1:16">
      <c r="A9" s="11">
        <v>2</v>
      </c>
      <c r="B9" s="12" t="str">
        <f>المدخلات!$F$4</f>
        <v>4:00–5:30 م</v>
      </c>
      <c r="C9" s="12">
        <v>2</v>
      </c>
      <c r="D9" s="12" t="s">
        <v>20</v>
      </c>
      <c r="E9" s="7"/>
      <c r="F9" s="5"/>
      <c r="G9" s="5"/>
    </row>
    <row r="10" spans="1:16">
      <c r="A10" s="11">
        <v>2</v>
      </c>
      <c r="B10" s="12" t="str">
        <f>المدخلات!$F$5</f>
        <v>5:40–7:10 م</v>
      </c>
      <c r="C10" s="12">
        <v>1</v>
      </c>
      <c r="D10" s="12" t="s">
        <v>39</v>
      </c>
      <c r="E10" s="7"/>
      <c r="F10" s="5"/>
      <c r="G10" s="5"/>
    </row>
    <row r="11" spans="1:16">
      <c r="A11" s="11">
        <v>2</v>
      </c>
      <c r="B11" s="12" t="str">
        <f>المدخلات!$F$5</f>
        <v>5:40–7:10 م</v>
      </c>
      <c r="C11" s="12">
        <v>2</v>
      </c>
      <c r="D11" s="12" t="s">
        <v>45</v>
      </c>
      <c r="E11" s="7"/>
      <c r="F11" s="5"/>
      <c r="G11" s="5"/>
    </row>
    <row r="12" spans="1:16">
      <c r="A12" s="11">
        <v>3</v>
      </c>
      <c r="B12" s="12" t="str">
        <f>المدخلات!$F$4</f>
        <v>4:00–5:30 م</v>
      </c>
      <c r="C12" s="12">
        <v>1</v>
      </c>
      <c r="D12" s="12" t="s">
        <v>46</v>
      </c>
      <c r="E12" s="7"/>
      <c r="F12" s="5"/>
      <c r="G12" s="5"/>
    </row>
    <row r="13" spans="1:16">
      <c r="A13" s="11">
        <v>3</v>
      </c>
      <c r="B13" s="12" t="str">
        <f>المدخلات!$F$4</f>
        <v>4:00–5:30 م</v>
      </c>
      <c r="C13" s="12">
        <v>2</v>
      </c>
      <c r="D13" s="12" t="s">
        <v>18</v>
      </c>
      <c r="E13" s="7"/>
      <c r="F13" s="5"/>
      <c r="G13" s="5"/>
    </row>
    <row r="14" spans="1:16">
      <c r="A14" s="11">
        <v>3</v>
      </c>
      <c r="B14" s="12" t="str">
        <f>المدخلات!$F$5</f>
        <v>5:40–7:10 م</v>
      </c>
      <c r="C14" s="12">
        <v>1</v>
      </c>
      <c r="D14" s="12" t="s">
        <v>40</v>
      </c>
      <c r="E14" s="7"/>
      <c r="F14" s="5"/>
      <c r="G14" s="5"/>
    </row>
    <row r="15" spans="1:16">
      <c r="A15" s="11">
        <v>3</v>
      </c>
      <c r="B15" s="12" t="str">
        <f>المدخلات!$F$5</f>
        <v>5:40–7:10 م</v>
      </c>
      <c r="C15" s="12">
        <v>2</v>
      </c>
      <c r="D15" s="12" t="s">
        <v>23</v>
      </c>
      <c r="E15" s="7"/>
      <c r="F15" s="5"/>
      <c r="G15" s="5"/>
    </row>
    <row r="16" spans="1:16">
      <c r="A16" s="11">
        <v>4</v>
      </c>
      <c r="B16" s="12" t="str">
        <f>المدخلات!$F$4</f>
        <v>4:00–5:30 م</v>
      </c>
      <c r="C16" s="12">
        <v>1</v>
      </c>
      <c r="D16" s="12" t="s">
        <v>41</v>
      </c>
      <c r="E16" s="7"/>
      <c r="F16" s="5"/>
      <c r="G16" s="5"/>
    </row>
    <row r="17" spans="1:7">
      <c r="A17" s="11">
        <v>4</v>
      </c>
      <c r="B17" s="12" t="str">
        <f>المدخلات!$F$4</f>
        <v>4:00–5:30 م</v>
      </c>
      <c r="C17" s="12">
        <v>2</v>
      </c>
      <c r="D17" s="12" t="s">
        <v>21</v>
      </c>
      <c r="E17" s="7"/>
      <c r="F17" s="5"/>
      <c r="G17" s="5"/>
    </row>
    <row r="18" spans="1:7">
      <c r="A18" s="11">
        <v>4</v>
      </c>
      <c r="B18" s="12" t="str">
        <f>المدخلات!$F$5</f>
        <v>5:40–7:10 م</v>
      </c>
      <c r="C18" s="12">
        <v>1</v>
      </c>
      <c r="D18" s="12" t="s">
        <v>22</v>
      </c>
      <c r="E18" s="7"/>
      <c r="F18" s="5"/>
      <c r="G18" s="5"/>
    </row>
    <row r="19" spans="1:7">
      <c r="A19" s="11">
        <v>4</v>
      </c>
      <c r="B19" s="12" t="str">
        <f>المدخلات!$F$5</f>
        <v>5:40–7:10 م</v>
      </c>
      <c r="C19" s="12">
        <v>2</v>
      </c>
      <c r="D19" s="12" t="s">
        <v>47</v>
      </c>
      <c r="E19" s="7"/>
      <c r="F19" s="5"/>
      <c r="G19" s="5"/>
    </row>
    <row r="20" spans="1:7">
      <c r="A20" s="11">
        <v>5</v>
      </c>
      <c r="B20" s="12" t="str">
        <f>المدخلات!$F$4</f>
        <v>4:00–5:30 م</v>
      </c>
      <c r="C20" s="12">
        <v>1</v>
      </c>
      <c r="D20" s="12" t="s">
        <v>26</v>
      </c>
      <c r="E20" s="7"/>
      <c r="F20" s="5"/>
      <c r="G20" s="5"/>
    </row>
    <row r="21" spans="1:7">
      <c r="A21" s="11">
        <v>5</v>
      </c>
      <c r="B21" s="12" t="str">
        <f>المدخلات!$F$4</f>
        <v>4:00–5:30 م</v>
      </c>
      <c r="C21" s="12">
        <v>2</v>
      </c>
      <c r="D21" s="12" t="s">
        <v>25</v>
      </c>
      <c r="E21" s="7"/>
      <c r="F21" s="5"/>
      <c r="G21" s="5"/>
    </row>
    <row r="22" spans="1:7">
      <c r="A22" s="11">
        <v>5</v>
      </c>
      <c r="B22" s="12" t="str">
        <f>المدخلات!$F$5</f>
        <v>5:40–7:10 م</v>
      </c>
      <c r="C22" s="12">
        <v>1</v>
      </c>
      <c r="D22" s="12" t="s">
        <v>24</v>
      </c>
      <c r="E22" s="7"/>
      <c r="F22" s="5"/>
      <c r="G22" s="5"/>
    </row>
    <row r="23" spans="1:7">
      <c r="A23" s="11">
        <v>5</v>
      </c>
      <c r="B23" s="12" t="str">
        <f>المدخلات!$F$5</f>
        <v>5:40–7:10 م</v>
      </c>
      <c r="C23" s="12">
        <v>2</v>
      </c>
      <c r="D23" s="12" t="s">
        <v>48</v>
      </c>
      <c r="E23" s="7"/>
      <c r="F23" s="5"/>
      <c r="G23" s="5"/>
    </row>
    <row r="24" spans="1:7">
      <c r="A24" s="11">
        <v>6</v>
      </c>
      <c r="B24" s="12" t="str">
        <f>المدخلات!$F$4</f>
        <v>4:00–5:30 م</v>
      </c>
      <c r="C24" s="12">
        <v>1</v>
      </c>
      <c r="D24" s="12" t="s">
        <v>49</v>
      </c>
      <c r="E24" s="7"/>
      <c r="F24" s="5"/>
      <c r="G24" s="5"/>
    </row>
    <row r="25" spans="1:7">
      <c r="A25" s="11">
        <v>6</v>
      </c>
      <c r="B25" s="12" t="str">
        <f>المدخلات!$F$4</f>
        <v>4:00–5:30 م</v>
      </c>
      <c r="C25" s="12">
        <v>2</v>
      </c>
      <c r="D25" s="12" t="s">
        <v>42</v>
      </c>
      <c r="E25" s="7"/>
      <c r="F25" s="5"/>
      <c r="G25" s="5"/>
    </row>
    <row r="26" spans="1:7">
      <c r="A26" s="11">
        <v>6</v>
      </c>
      <c r="B26" s="12" t="str">
        <f>المدخلات!$F$5</f>
        <v>5:40–7:10 م</v>
      </c>
      <c r="C26" s="12">
        <v>1</v>
      </c>
      <c r="D26" s="12" t="s">
        <v>27</v>
      </c>
      <c r="E26" s="7"/>
      <c r="F26" s="5"/>
      <c r="G26" s="5"/>
    </row>
    <row r="27" spans="1:7">
      <c r="A27" s="11">
        <v>6</v>
      </c>
      <c r="B27" s="12" t="str">
        <f>المدخلات!$F$5</f>
        <v>5:40–7:10 م</v>
      </c>
      <c r="C27" s="12">
        <v>2</v>
      </c>
      <c r="D27" s="12" t="s">
        <v>28</v>
      </c>
      <c r="E27" s="7"/>
      <c r="F27" s="5"/>
      <c r="G27" s="5"/>
    </row>
    <row r="28" spans="1:7">
      <c r="A28" s="11">
        <v>7</v>
      </c>
      <c r="B28" s="12" t="str">
        <f>المدخلات!$F$4</f>
        <v>4:00–5:30 م</v>
      </c>
      <c r="C28" s="12">
        <v>1</v>
      </c>
      <c r="D28" s="12" t="s">
        <v>50</v>
      </c>
      <c r="E28" s="7"/>
      <c r="F28" s="5"/>
      <c r="G28" s="5"/>
    </row>
    <row r="29" spans="1:7">
      <c r="A29" s="11">
        <v>7</v>
      </c>
      <c r="B29" s="12" t="str">
        <f>المدخلات!$F$4</f>
        <v>4:00–5:30 م</v>
      </c>
      <c r="C29" s="12">
        <v>2</v>
      </c>
      <c r="D29" s="12" t="s">
        <v>43</v>
      </c>
      <c r="E29" s="7"/>
      <c r="F29" s="5"/>
      <c r="G29" s="5"/>
    </row>
    <row r="30" spans="1:7">
      <c r="A30" s="11">
        <v>7</v>
      </c>
      <c r="B30" s="12" t="str">
        <f>المدخلات!$F$5</f>
        <v>5:40–7:10 م</v>
      </c>
      <c r="C30" s="12">
        <v>1</v>
      </c>
      <c r="D30" s="12" t="s">
        <v>30</v>
      </c>
      <c r="E30" s="7"/>
      <c r="F30" s="5"/>
      <c r="G30" s="5"/>
    </row>
    <row r="31" spans="1:7">
      <c r="A31" s="11">
        <v>7</v>
      </c>
      <c r="B31" s="12" t="str">
        <f>المدخلات!$F$5</f>
        <v>5:40–7:10 م</v>
      </c>
      <c r="C31" s="12">
        <v>2</v>
      </c>
      <c r="D31" s="12" t="s">
        <v>29</v>
      </c>
      <c r="E31" s="7"/>
      <c r="F31" s="5"/>
      <c r="G31" s="5"/>
    </row>
    <row r="32" spans="1:7">
      <c r="A32" s="11">
        <v>8</v>
      </c>
      <c r="B32" s="12" t="str">
        <f>المدخلات!$F$4</f>
        <v>4:00–5:30 م</v>
      </c>
      <c r="C32" s="12">
        <v>1</v>
      </c>
      <c r="D32" s="12" t="s">
        <v>43</v>
      </c>
      <c r="E32" s="7"/>
      <c r="F32" s="5"/>
      <c r="G32" s="5"/>
    </row>
    <row r="33" spans="1:7">
      <c r="A33" s="11">
        <v>8</v>
      </c>
      <c r="B33" s="12" t="str">
        <f>المدخلات!$F$4</f>
        <v>4:00–5:30 م</v>
      </c>
      <c r="C33" s="12">
        <v>2</v>
      </c>
      <c r="D33" s="12" t="s">
        <v>30</v>
      </c>
      <c r="E33" s="7"/>
      <c r="F33" s="5"/>
      <c r="G33" s="5"/>
    </row>
    <row r="34" spans="1:7">
      <c r="A34" s="11">
        <v>8</v>
      </c>
      <c r="B34" s="12" t="str">
        <f>المدخلات!$F$5</f>
        <v>5:40–7:10 م</v>
      </c>
      <c r="C34" s="12">
        <v>1</v>
      </c>
      <c r="D34" s="12" t="s">
        <v>29</v>
      </c>
      <c r="E34" s="7"/>
      <c r="F34" s="5"/>
      <c r="G34" s="5"/>
    </row>
    <row r="35" spans="1:7">
      <c r="A35" s="11">
        <v>8</v>
      </c>
      <c r="B35" s="12" t="str">
        <f>المدخلات!$F$5</f>
        <v>5:40–7:10 م</v>
      </c>
      <c r="C35" s="12">
        <v>2</v>
      </c>
      <c r="D35" s="12" t="s">
        <v>50</v>
      </c>
      <c r="E35" s="7"/>
      <c r="F35" s="5"/>
      <c r="G35" s="5"/>
    </row>
    <row r="36" spans="1:7">
      <c r="A36" s="11">
        <v>9</v>
      </c>
      <c r="B36" s="12" t="str">
        <f>المدخلات!$F$4</f>
        <v>4:00–5:30 م</v>
      </c>
      <c r="C36" s="12">
        <v>1</v>
      </c>
      <c r="D36" s="12" t="s">
        <v>31</v>
      </c>
      <c r="E36" s="7"/>
      <c r="F36" s="5"/>
      <c r="G36" s="5"/>
    </row>
    <row r="37" spans="1:7">
      <c r="A37" s="11">
        <v>9</v>
      </c>
      <c r="B37" s="12" t="str">
        <f>المدخلات!$F$4</f>
        <v>4:00–5:30 م</v>
      </c>
      <c r="C37" s="12">
        <v>2</v>
      </c>
      <c r="D37" s="12" t="s">
        <v>44</v>
      </c>
      <c r="E37" s="7"/>
      <c r="F37" s="5"/>
      <c r="G37" s="5"/>
    </row>
    <row r="38" spans="1:7">
      <c r="A38" s="11">
        <v>9</v>
      </c>
      <c r="B38" s="12" t="str">
        <f>المدخلات!$F$5</f>
        <v>5:40–7:10 م</v>
      </c>
      <c r="C38" s="12">
        <v>1</v>
      </c>
      <c r="D38" s="12" t="s">
        <v>38</v>
      </c>
      <c r="E38" s="7"/>
      <c r="F38" s="5"/>
      <c r="G38" s="5"/>
    </row>
    <row r="39" spans="1:7">
      <c r="A39" s="11">
        <v>9</v>
      </c>
      <c r="B39" s="12" t="str">
        <f>المدخلات!$F$5</f>
        <v>5:40–7:10 م</v>
      </c>
      <c r="C39" s="12">
        <v>2</v>
      </c>
      <c r="D39" s="12" t="s">
        <v>32</v>
      </c>
      <c r="E39" s="7"/>
      <c r="F39" s="5"/>
      <c r="G39" s="5"/>
    </row>
    <row r="40" spans="1:7">
      <c r="A40" s="11">
        <v>10</v>
      </c>
      <c r="B40" s="12" t="str">
        <f>المدخلات!$F$4</f>
        <v>4:00–5:30 م</v>
      </c>
      <c r="C40" s="12">
        <v>1</v>
      </c>
      <c r="D40" s="12" t="s">
        <v>19</v>
      </c>
      <c r="E40" s="7"/>
      <c r="F40" s="5"/>
      <c r="G40" s="5"/>
    </row>
    <row r="41" spans="1:7">
      <c r="A41" s="11">
        <v>10</v>
      </c>
      <c r="B41" s="12" t="str">
        <f>المدخلات!$F$4</f>
        <v>4:00–5:30 م</v>
      </c>
      <c r="C41" s="12">
        <v>2</v>
      </c>
      <c r="D41" s="12" t="s">
        <v>20</v>
      </c>
      <c r="E41" s="7"/>
      <c r="F41" s="5"/>
      <c r="G41" s="5"/>
    </row>
    <row r="42" spans="1:7">
      <c r="A42" s="11">
        <v>10</v>
      </c>
      <c r="B42" s="12" t="str">
        <f>المدخلات!$F$5</f>
        <v>5:40–7:10 م</v>
      </c>
      <c r="C42" s="12">
        <v>1</v>
      </c>
      <c r="D42" s="12" t="s">
        <v>45</v>
      </c>
      <c r="E42" s="7"/>
      <c r="F42" s="5"/>
      <c r="G42" s="5"/>
    </row>
    <row r="43" spans="1:7">
      <c r="A43" s="11">
        <v>10</v>
      </c>
      <c r="B43" s="12" t="str">
        <f>المدخلات!$F$5</f>
        <v>5:40–7:10 م</v>
      </c>
      <c r="C43" s="12">
        <v>2</v>
      </c>
      <c r="D43" s="12" t="s">
        <v>39</v>
      </c>
      <c r="E43" s="7"/>
      <c r="F43" s="5"/>
      <c r="G43" s="5"/>
    </row>
    <row r="44" spans="1:7">
      <c r="A44" s="11">
        <v>11</v>
      </c>
      <c r="B44" s="12" t="str">
        <f>المدخلات!$F$4</f>
        <v>4:00–5:30 م</v>
      </c>
      <c r="C44" s="12">
        <v>1</v>
      </c>
      <c r="D44" s="12" t="s">
        <v>46</v>
      </c>
      <c r="E44" s="7"/>
      <c r="F44" s="5"/>
      <c r="G44" s="5"/>
    </row>
    <row r="45" spans="1:7">
      <c r="A45" s="11">
        <v>11</v>
      </c>
      <c r="B45" s="12" t="str">
        <f>المدخلات!$F$4</f>
        <v>4:00–5:30 م</v>
      </c>
      <c r="C45" s="12">
        <v>2</v>
      </c>
      <c r="D45" s="12" t="s">
        <v>18</v>
      </c>
      <c r="E45" s="7"/>
      <c r="F45" s="5"/>
      <c r="G45" s="5"/>
    </row>
    <row r="46" spans="1:7">
      <c r="A46" s="11">
        <v>11</v>
      </c>
      <c r="B46" s="12" t="str">
        <f>المدخلات!$F$5</f>
        <v>5:40–7:10 م</v>
      </c>
      <c r="C46" s="12">
        <v>1</v>
      </c>
      <c r="D46" s="12" t="s">
        <v>40</v>
      </c>
      <c r="E46" s="7"/>
      <c r="F46" s="5"/>
      <c r="G46" s="5"/>
    </row>
    <row r="47" spans="1:7">
      <c r="A47" s="11">
        <v>11</v>
      </c>
      <c r="B47" s="12" t="str">
        <f>المدخلات!$F$5</f>
        <v>5:40–7:10 م</v>
      </c>
      <c r="C47" s="12">
        <v>2</v>
      </c>
      <c r="D47" s="12" t="s">
        <v>23</v>
      </c>
      <c r="E47" s="7"/>
      <c r="F47" s="5"/>
      <c r="G47" s="5"/>
    </row>
    <row r="48" spans="1:7">
      <c r="A48" s="11">
        <v>12</v>
      </c>
      <c r="B48" s="12" t="str">
        <f>المدخلات!$F$4</f>
        <v>4:00–5:30 م</v>
      </c>
      <c r="C48" s="12">
        <v>1</v>
      </c>
      <c r="D48" s="12" t="s">
        <v>21</v>
      </c>
      <c r="E48" s="7"/>
      <c r="F48" s="5"/>
      <c r="G48" s="5"/>
    </row>
    <row r="49" spans="1:7">
      <c r="A49" s="11">
        <v>12</v>
      </c>
      <c r="B49" s="12" t="str">
        <f>المدخلات!$F$4</f>
        <v>4:00–5:30 م</v>
      </c>
      <c r="C49" s="12">
        <v>2</v>
      </c>
      <c r="D49" s="12" t="s">
        <v>22</v>
      </c>
      <c r="E49" s="7"/>
      <c r="F49" s="5"/>
      <c r="G49" s="5"/>
    </row>
    <row r="50" spans="1:7">
      <c r="A50" s="11">
        <v>12</v>
      </c>
      <c r="B50" s="12" t="str">
        <f>المدخلات!$F$5</f>
        <v>5:40–7:10 م</v>
      </c>
      <c r="C50" s="12">
        <v>1</v>
      </c>
      <c r="D50" s="12" t="s">
        <v>41</v>
      </c>
      <c r="E50" s="7"/>
      <c r="F50" s="5"/>
      <c r="G50" s="5"/>
    </row>
    <row r="51" spans="1:7">
      <c r="A51" s="11">
        <v>12</v>
      </c>
      <c r="B51" s="12" t="str">
        <f>المدخلات!$F$5</f>
        <v>5:40–7:10 م</v>
      </c>
      <c r="C51" s="12">
        <v>2</v>
      </c>
      <c r="D51" s="12" t="s">
        <v>47</v>
      </c>
      <c r="E51" s="7"/>
      <c r="F51" s="5"/>
      <c r="G51" s="5"/>
    </row>
    <row r="52" spans="1:7">
      <c r="A52" s="11">
        <v>13</v>
      </c>
      <c r="B52" s="12" t="str">
        <f>المدخلات!$F$4</f>
        <v>4:00–5:30 م</v>
      </c>
      <c r="C52" s="12">
        <v>1</v>
      </c>
      <c r="D52" s="12" t="s">
        <v>26</v>
      </c>
      <c r="E52" s="7"/>
      <c r="F52" s="5"/>
      <c r="G52" s="5"/>
    </row>
    <row r="53" spans="1:7">
      <c r="A53" s="11">
        <v>13</v>
      </c>
      <c r="B53" s="12" t="str">
        <f>المدخلات!$F$4</f>
        <v>4:00–5:30 م</v>
      </c>
      <c r="C53" s="12">
        <v>2</v>
      </c>
      <c r="D53" s="12" t="s">
        <v>48</v>
      </c>
      <c r="E53" s="7"/>
      <c r="F53" s="5"/>
      <c r="G53" s="5"/>
    </row>
    <row r="54" spans="1:7">
      <c r="A54" s="11">
        <v>13</v>
      </c>
      <c r="B54" s="12" t="str">
        <f>المدخلات!$F$5</f>
        <v>5:40–7:10 م</v>
      </c>
      <c r="C54" s="12">
        <v>1</v>
      </c>
      <c r="D54" s="12" t="s">
        <v>24</v>
      </c>
      <c r="E54" s="7"/>
      <c r="F54" s="5"/>
      <c r="G54" s="5"/>
    </row>
    <row r="55" spans="1:7">
      <c r="A55" s="11">
        <v>13</v>
      </c>
      <c r="B55" s="12" t="str">
        <f>المدخلات!$F$5</f>
        <v>5:40–7:10 م</v>
      </c>
      <c r="C55" s="12">
        <v>2</v>
      </c>
      <c r="D55" s="12" t="s">
        <v>25</v>
      </c>
      <c r="E55" s="7"/>
      <c r="F55" s="5"/>
      <c r="G55" s="5"/>
    </row>
    <row r="56" spans="1:7">
      <c r="A56" s="11">
        <v>14</v>
      </c>
      <c r="B56" s="12" t="str">
        <f>المدخلات!$F$4</f>
        <v>4:00–5:30 م</v>
      </c>
      <c r="C56" s="12">
        <v>1</v>
      </c>
      <c r="D56" s="12" t="s">
        <v>28</v>
      </c>
      <c r="E56" s="7"/>
      <c r="F56" s="5"/>
      <c r="G56" s="5"/>
    </row>
    <row r="57" spans="1:7">
      <c r="A57" s="11">
        <v>14</v>
      </c>
      <c r="B57" s="12" t="str">
        <f>المدخلات!$F$4</f>
        <v>4:00–5:30 م</v>
      </c>
      <c r="C57" s="12">
        <v>2</v>
      </c>
      <c r="D57" s="12" t="s">
        <v>27</v>
      </c>
      <c r="E57" s="7"/>
      <c r="F57" s="5"/>
      <c r="G57" s="5"/>
    </row>
    <row r="58" spans="1:7">
      <c r="A58" s="11">
        <v>14</v>
      </c>
      <c r="B58" s="12" t="str">
        <f>المدخلات!$F$5</f>
        <v>5:40–7:10 م</v>
      </c>
      <c r="C58" s="12">
        <v>1</v>
      </c>
      <c r="D58" s="12" t="s">
        <v>49</v>
      </c>
      <c r="E58" s="7"/>
      <c r="F58" s="5"/>
      <c r="G58" s="5"/>
    </row>
    <row r="59" spans="1:7">
      <c r="A59" s="11">
        <v>14</v>
      </c>
      <c r="B59" s="12" t="str">
        <f>المدخلات!$F$5</f>
        <v>5:40–7:10 م</v>
      </c>
      <c r="C59" s="12">
        <v>2</v>
      </c>
      <c r="D59" s="12" t="s">
        <v>42</v>
      </c>
      <c r="E59" s="7"/>
      <c r="F59" s="5"/>
      <c r="G59" s="5"/>
    </row>
    <row r="60" spans="1:7">
      <c r="A60" s="11">
        <v>15</v>
      </c>
      <c r="B60" s="12" t="str">
        <f>المدخلات!$F$4</f>
        <v>4:00–5:30 م</v>
      </c>
      <c r="C60" s="12">
        <v>1</v>
      </c>
      <c r="D60" s="12" t="s">
        <v>42</v>
      </c>
      <c r="E60" s="7"/>
      <c r="F60" s="5"/>
      <c r="G60" s="5"/>
    </row>
    <row r="61" spans="1:7">
      <c r="A61" s="11">
        <v>15</v>
      </c>
      <c r="B61" s="12" t="str">
        <f>المدخلات!$F$4</f>
        <v>4:00–5:30 م</v>
      </c>
      <c r="C61" s="12">
        <v>2</v>
      </c>
      <c r="D61" s="12" t="s">
        <v>49</v>
      </c>
      <c r="E61" s="7"/>
      <c r="F61" s="5"/>
      <c r="G61" s="5"/>
    </row>
    <row r="62" spans="1:7">
      <c r="A62" s="11">
        <v>15</v>
      </c>
      <c r="B62" s="12" t="str">
        <f>المدخلات!$F$5</f>
        <v>5:40–7:10 م</v>
      </c>
      <c r="C62" s="12">
        <v>1</v>
      </c>
      <c r="D62" s="12" t="s">
        <v>27</v>
      </c>
      <c r="E62" s="7"/>
      <c r="F62" s="5"/>
      <c r="G62" s="5"/>
    </row>
    <row r="63" spans="1:7">
      <c r="A63" s="11">
        <v>15</v>
      </c>
      <c r="B63" s="12" t="str">
        <f>المدخلات!$F$5</f>
        <v>5:40–7:10 م</v>
      </c>
      <c r="C63" s="12">
        <v>2</v>
      </c>
      <c r="D63" s="12" t="s">
        <v>28</v>
      </c>
      <c r="E63" s="7"/>
      <c r="F63" s="5"/>
      <c r="G63" s="5"/>
    </row>
    <row r="64" spans="1:7">
      <c r="A64" s="11">
        <v>16</v>
      </c>
      <c r="B64" s="12" t="str">
        <f>المدخلات!$F$4</f>
        <v>4:00–5:30 م</v>
      </c>
      <c r="C64" s="12">
        <v>1</v>
      </c>
      <c r="D64" s="12" t="s">
        <v>50</v>
      </c>
      <c r="E64" s="7"/>
      <c r="F64" s="5"/>
      <c r="G64" s="5"/>
    </row>
    <row r="65" spans="1:7">
      <c r="A65" s="11">
        <v>16</v>
      </c>
      <c r="B65" s="12" t="str">
        <f>المدخلات!$F$4</f>
        <v>4:00–5:30 م</v>
      </c>
      <c r="C65" s="12">
        <v>2</v>
      </c>
      <c r="D65" s="12" t="s">
        <v>29</v>
      </c>
      <c r="E65" s="7"/>
      <c r="F65" s="5"/>
      <c r="G65" s="5"/>
    </row>
    <row r="66" spans="1:7">
      <c r="A66" s="11">
        <v>16</v>
      </c>
      <c r="B66" s="12" t="str">
        <f>المدخلات!$F$5</f>
        <v>5:40–7:10 م</v>
      </c>
      <c r="C66" s="12">
        <v>1</v>
      </c>
      <c r="D66" s="12" t="s">
        <v>30</v>
      </c>
      <c r="E66" s="7"/>
      <c r="F66" s="5"/>
      <c r="G66" s="5"/>
    </row>
    <row r="67" spans="1:7">
      <c r="A67" s="11">
        <v>16</v>
      </c>
      <c r="B67" s="12" t="str">
        <f>المدخلات!$F$5</f>
        <v>5:40–7:10 م</v>
      </c>
      <c r="C67" s="12">
        <v>2</v>
      </c>
      <c r="D67" s="12" t="s">
        <v>43</v>
      </c>
      <c r="E67" s="7"/>
      <c r="F67" s="5"/>
      <c r="G67" s="5"/>
    </row>
    <row r="68" spans="1:7">
      <c r="A68" s="11">
        <v>17</v>
      </c>
      <c r="B68" s="12" t="str">
        <f>المدخلات!$F$4</f>
        <v>4:00–5:30 م</v>
      </c>
      <c r="C68" s="12">
        <v>1</v>
      </c>
      <c r="D68" s="12" t="s">
        <v>32</v>
      </c>
      <c r="E68" s="7"/>
      <c r="F68" s="5"/>
      <c r="G68" s="5"/>
    </row>
    <row r="69" spans="1:7">
      <c r="A69" s="11">
        <v>17</v>
      </c>
      <c r="B69" s="12" t="str">
        <f>المدخلات!$F$4</f>
        <v>4:00–5:30 م</v>
      </c>
      <c r="C69" s="12">
        <v>2</v>
      </c>
      <c r="D69" s="12" t="s">
        <v>38</v>
      </c>
      <c r="E69" s="7"/>
      <c r="F69" s="5"/>
      <c r="G69" s="5"/>
    </row>
    <row r="70" spans="1:7">
      <c r="A70" s="11">
        <v>17</v>
      </c>
      <c r="B70" s="12" t="str">
        <f>المدخلات!$F$5</f>
        <v>5:40–7:10 م</v>
      </c>
      <c r="C70" s="12">
        <v>1</v>
      </c>
      <c r="D70" s="12" t="s">
        <v>31</v>
      </c>
      <c r="E70" s="7"/>
      <c r="F70" s="5"/>
      <c r="G70" s="5"/>
    </row>
    <row r="71" spans="1:7">
      <c r="A71" s="11">
        <v>17</v>
      </c>
      <c r="B71" s="12" t="str">
        <f>المدخلات!$F$5</f>
        <v>5:40–7:10 م</v>
      </c>
      <c r="C71" s="12">
        <v>2</v>
      </c>
      <c r="D71" s="12" t="s">
        <v>44</v>
      </c>
      <c r="E71" s="7"/>
      <c r="F71" s="5"/>
      <c r="G71" s="5"/>
    </row>
    <row r="72" spans="1:7">
      <c r="A72" s="11">
        <v>18</v>
      </c>
      <c r="B72" s="12" t="str">
        <f>المدخلات!$F$4</f>
        <v>4:00–5:30 م</v>
      </c>
      <c r="C72" s="12">
        <v>1</v>
      </c>
      <c r="D72" s="12" t="s">
        <v>39</v>
      </c>
      <c r="E72" s="7"/>
      <c r="F72" s="5"/>
      <c r="G72" s="5"/>
    </row>
    <row r="73" spans="1:7">
      <c r="A73" s="11">
        <v>18</v>
      </c>
      <c r="B73" s="12" t="str">
        <f>المدخلات!$F$4</f>
        <v>4:00–5:30 م</v>
      </c>
      <c r="C73" s="12">
        <v>2</v>
      </c>
      <c r="D73" s="12" t="s">
        <v>19</v>
      </c>
      <c r="E73" s="7"/>
      <c r="F73" s="5"/>
      <c r="G73" s="5"/>
    </row>
    <row r="74" spans="1:7">
      <c r="A74" s="11">
        <v>18</v>
      </c>
      <c r="B74" s="12" t="str">
        <f>المدخلات!$F$5</f>
        <v>5:40–7:10 م</v>
      </c>
      <c r="C74" s="12">
        <v>1</v>
      </c>
      <c r="D74" s="12" t="s">
        <v>45</v>
      </c>
      <c r="E74" s="7"/>
      <c r="F74" s="5"/>
      <c r="G74" s="5"/>
    </row>
    <row r="75" spans="1:7">
      <c r="A75" s="11">
        <v>18</v>
      </c>
      <c r="B75" s="12" t="str">
        <f>المدخلات!$F$5</f>
        <v>5:40–7:10 م</v>
      </c>
      <c r="C75" s="12">
        <v>2</v>
      </c>
      <c r="D75" s="12" t="s">
        <v>20</v>
      </c>
      <c r="E75" s="7"/>
      <c r="F75" s="5"/>
      <c r="G75" s="5"/>
    </row>
    <row r="76" spans="1:7">
      <c r="A76" s="11">
        <v>19</v>
      </c>
      <c r="B76" s="12" t="str">
        <f>المدخلات!$F$4</f>
        <v>4:00–5:30 م</v>
      </c>
      <c r="C76" s="12">
        <v>1</v>
      </c>
      <c r="D76" s="12" t="s">
        <v>23</v>
      </c>
      <c r="E76" s="7"/>
      <c r="F76" s="5"/>
      <c r="G76" s="5"/>
    </row>
    <row r="77" spans="1:7">
      <c r="A77" s="11">
        <v>19</v>
      </c>
      <c r="B77" s="12" t="str">
        <f>المدخلات!$F$4</f>
        <v>4:00–5:30 م</v>
      </c>
      <c r="C77" s="12">
        <v>2</v>
      </c>
      <c r="D77" s="12" t="s">
        <v>18</v>
      </c>
      <c r="E77" s="7"/>
      <c r="F77" s="5"/>
      <c r="G77" s="5"/>
    </row>
    <row r="78" spans="1:7">
      <c r="A78" s="11">
        <v>19</v>
      </c>
      <c r="B78" s="12" t="str">
        <f>المدخلات!$F$5</f>
        <v>5:40–7:10 م</v>
      </c>
      <c r="C78" s="12">
        <v>1</v>
      </c>
      <c r="D78" s="12" t="s">
        <v>46</v>
      </c>
      <c r="E78" s="7"/>
      <c r="F78" s="5"/>
      <c r="G78" s="5"/>
    </row>
    <row r="79" spans="1:7">
      <c r="A79" s="11">
        <v>19</v>
      </c>
      <c r="B79" s="12" t="str">
        <f>المدخلات!$F$5</f>
        <v>5:40–7:10 م</v>
      </c>
      <c r="C79" s="12">
        <v>2</v>
      </c>
      <c r="D79" s="12" t="s">
        <v>40</v>
      </c>
      <c r="E79" s="7"/>
      <c r="F79" s="5"/>
      <c r="G79" s="5"/>
    </row>
    <row r="80" spans="1:7">
      <c r="A80" s="11">
        <v>20</v>
      </c>
      <c r="B80" s="12" t="str">
        <f>المدخلات!$F$4</f>
        <v>4:00–5:30 م</v>
      </c>
      <c r="C80" s="12">
        <v>1</v>
      </c>
      <c r="D80" s="12" t="s">
        <v>22</v>
      </c>
      <c r="E80" s="7"/>
      <c r="F80" s="5"/>
      <c r="G80" s="5"/>
    </row>
    <row r="81" spans="1:9">
      <c r="A81" s="11">
        <v>20</v>
      </c>
      <c r="B81" s="12" t="str">
        <f>المدخلات!$F$4</f>
        <v>4:00–5:30 م</v>
      </c>
      <c r="C81" s="12">
        <v>2</v>
      </c>
      <c r="D81" s="12" t="s">
        <v>41</v>
      </c>
      <c r="E81" s="7"/>
      <c r="F81" s="5"/>
      <c r="G81" s="5"/>
    </row>
    <row r="82" spans="1:9">
      <c r="A82" s="11">
        <v>20</v>
      </c>
      <c r="B82" s="12" t="str">
        <f>المدخلات!$F$5</f>
        <v>5:40–7:10 م</v>
      </c>
      <c r="C82" s="12">
        <v>1</v>
      </c>
      <c r="D82" s="12" t="s">
        <v>21</v>
      </c>
      <c r="E82" s="7"/>
      <c r="F82" s="5"/>
      <c r="G82" s="5"/>
    </row>
    <row r="83" spans="1:9">
      <c r="A83" s="11">
        <v>20</v>
      </c>
      <c r="B83" s="12" t="str">
        <f>المدخلات!$F$5</f>
        <v>5:40–7:10 م</v>
      </c>
      <c r="C83" s="12">
        <v>2</v>
      </c>
      <c r="D83" s="12" t="s">
        <v>47</v>
      </c>
      <c r="E83" s="7"/>
      <c r="F83" s="5"/>
      <c r="G83" s="5"/>
    </row>
    <row r="84" spans="1:9">
      <c r="A84" s="11">
        <v>21</v>
      </c>
      <c r="B84" s="12" t="str">
        <f>المدخلات!$F$4</f>
        <v>4:00–5:30 م</v>
      </c>
      <c r="C84" s="12">
        <v>1</v>
      </c>
      <c r="D84" s="12" t="s">
        <v>48</v>
      </c>
      <c r="E84" s="7"/>
      <c r="F84" s="5"/>
      <c r="G84" s="5"/>
    </row>
    <row r="85" spans="1:9">
      <c r="A85" s="11">
        <v>21</v>
      </c>
      <c r="B85" s="12" t="str">
        <f>المدخلات!$F$4</f>
        <v>4:00–5:30 م</v>
      </c>
      <c r="C85" s="12">
        <v>2</v>
      </c>
      <c r="D85" s="12" t="s">
        <v>24</v>
      </c>
      <c r="E85" s="7"/>
      <c r="F85" s="5"/>
      <c r="G85" s="5"/>
    </row>
    <row r="86" spans="1:9">
      <c r="A86" s="11">
        <v>21</v>
      </c>
      <c r="B86" s="12" t="str">
        <f>المدخلات!$F$5</f>
        <v>5:40–7:10 م</v>
      </c>
      <c r="C86" s="12">
        <v>1</v>
      </c>
      <c r="D86" s="12" t="s">
        <v>26</v>
      </c>
      <c r="E86" s="7"/>
      <c r="F86" s="5"/>
      <c r="G86" s="5"/>
    </row>
    <row r="87" spans="1:9">
      <c r="A87" s="11">
        <v>21</v>
      </c>
      <c r="B87" s="12" t="str">
        <f>المدخلات!$F$5</f>
        <v>5:40–7:10 م</v>
      </c>
      <c r="C87" s="12">
        <v>2</v>
      </c>
      <c r="D87" s="12" t="s">
        <v>25</v>
      </c>
      <c r="E87" s="7"/>
      <c r="F87" s="5"/>
      <c r="G87" s="5"/>
    </row>
    <row r="88" spans="1:9">
      <c r="A88" s="5"/>
      <c r="B88" s="5"/>
      <c r="C88" s="5"/>
      <c r="D88" s="5"/>
      <c r="E88" s="5"/>
      <c r="F88" s="5"/>
      <c r="G88" s="5"/>
    </row>
    <row r="89" spans="1:9">
      <c r="A89" s="5"/>
      <c r="B89" s="5"/>
      <c r="C89" s="5"/>
      <c r="D89" s="5"/>
      <c r="E89" s="5"/>
      <c r="F89" s="5"/>
      <c r="G89" s="5"/>
    </row>
    <row r="90" spans="1:9" ht="15.5">
      <c r="A90" s="52" t="s">
        <v>363</v>
      </c>
      <c r="B90" s="52"/>
      <c r="C90" s="52"/>
      <c r="D90" s="52"/>
      <c r="E90" s="52"/>
      <c r="F90" s="52"/>
      <c r="G90" s="52"/>
      <c r="H90" s="52"/>
      <c r="I90" s="52"/>
    </row>
    <row r="91" spans="1:9">
      <c r="A91" s="9" t="s">
        <v>362</v>
      </c>
      <c r="B91" s="9">
        <v>1</v>
      </c>
      <c r="C91" s="9">
        <v>2</v>
      </c>
      <c r="D91" s="9">
        <v>3</v>
      </c>
      <c r="E91" s="9">
        <v>4</v>
      </c>
      <c r="F91" s="9">
        <v>5</v>
      </c>
      <c r="G91" s="9">
        <v>6</v>
      </c>
      <c r="H91" s="9">
        <v>7</v>
      </c>
      <c r="I91" s="9">
        <v>8</v>
      </c>
    </row>
    <row r="92" spans="1:9">
      <c r="A92" s="9">
        <v>1</v>
      </c>
      <c r="B92" s="12" t="str">
        <f t="shared" ref="B92:I99" si="0">IF($A92=B$91,"",COUNTIF($D$4:$D$87,$A92&amp;" ضد "&amp;B$91)+COUNTIF($D$4:$D$87,B$91&amp;" ضد "&amp;$A92))</f>
        <v/>
      </c>
      <c r="C92" s="12">
        <f t="shared" si="0"/>
        <v>3</v>
      </c>
      <c r="D92" s="12">
        <f t="shared" si="0"/>
        <v>3</v>
      </c>
      <c r="E92" s="12">
        <f t="shared" si="0"/>
        <v>3</v>
      </c>
      <c r="F92" s="12">
        <f t="shared" si="0"/>
        <v>3</v>
      </c>
      <c r="G92" s="12">
        <f t="shared" si="0"/>
        <v>3</v>
      </c>
      <c r="H92" s="12">
        <f t="shared" si="0"/>
        <v>3</v>
      </c>
      <c r="I92" s="12">
        <f t="shared" si="0"/>
        <v>3</v>
      </c>
    </row>
    <row r="93" spans="1:9">
      <c r="A93" s="9">
        <v>2</v>
      </c>
      <c r="B93" s="12">
        <f t="shared" si="0"/>
        <v>3</v>
      </c>
      <c r="C93" s="12" t="str">
        <f t="shared" si="0"/>
        <v/>
      </c>
      <c r="D93" s="12">
        <f t="shared" si="0"/>
        <v>3</v>
      </c>
      <c r="E93" s="12">
        <f t="shared" si="0"/>
        <v>3</v>
      </c>
      <c r="F93" s="12">
        <f t="shared" si="0"/>
        <v>3</v>
      </c>
      <c r="G93" s="12">
        <f t="shared" si="0"/>
        <v>3</v>
      </c>
      <c r="H93" s="12">
        <f t="shared" si="0"/>
        <v>3</v>
      </c>
      <c r="I93" s="12">
        <f t="shared" si="0"/>
        <v>3</v>
      </c>
    </row>
    <row r="94" spans="1:9">
      <c r="A94" s="9">
        <v>3</v>
      </c>
      <c r="B94" s="12">
        <f t="shared" si="0"/>
        <v>3</v>
      </c>
      <c r="C94" s="12">
        <f t="shared" si="0"/>
        <v>3</v>
      </c>
      <c r="D94" s="12" t="str">
        <f t="shared" si="0"/>
        <v/>
      </c>
      <c r="E94" s="12">
        <f t="shared" si="0"/>
        <v>3</v>
      </c>
      <c r="F94" s="12">
        <f t="shared" si="0"/>
        <v>3</v>
      </c>
      <c r="G94" s="12">
        <f t="shared" si="0"/>
        <v>3</v>
      </c>
      <c r="H94" s="12">
        <f t="shared" si="0"/>
        <v>3</v>
      </c>
      <c r="I94" s="12">
        <f t="shared" si="0"/>
        <v>3</v>
      </c>
    </row>
    <row r="95" spans="1:9">
      <c r="A95" s="9">
        <v>4</v>
      </c>
      <c r="B95" s="12">
        <f t="shared" si="0"/>
        <v>3</v>
      </c>
      <c r="C95" s="12">
        <f t="shared" si="0"/>
        <v>3</v>
      </c>
      <c r="D95" s="12">
        <f t="shared" si="0"/>
        <v>3</v>
      </c>
      <c r="E95" s="12" t="str">
        <f t="shared" si="0"/>
        <v/>
      </c>
      <c r="F95" s="12">
        <f t="shared" si="0"/>
        <v>3</v>
      </c>
      <c r="G95" s="12">
        <f t="shared" si="0"/>
        <v>3</v>
      </c>
      <c r="H95" s="12">
        <f t="shared" si="0"/>
        <v>3</v>
      </c>
      <c r="I95" s="12">
        <f t="shared" si="0"/>
        <v>3</v>
      </c>
    </row>
    <row r="96" spans="1:9">
      <c r="A96" s="9">
        <v>5</v>
      </c>
      <c r="B96" s="12">
        <f t="shared" si="0"/>
        <v>3</v>
      </c>
      <c r="C96" s="12">
        <f t="shared" si="0"/>
        <v>3</v>
      </c>
      <c r="D96" s="12">
        <f t="shared" si="0"/>
        <v>3</v>
      </c>
      <c r="E96" s="12">
        <f t="shared" si="0"/>
        <v>3</v>
      </c>
      <c r="F96" s="12" t="str">
        <f t="shared" si="0"/>
        <v/>
      </c>
      <c r="G96" s="12">
        <f t="shared" si="0"/>
        <v>3</v>
      </c>
      <c r="H96" s="12">
        <f t="shared" si="0"/>
        <v>3</v>
      </c>
      <c r="I96" s="12">
        <f t="shared" si="0"/>
        <v>3</v>
      </c>
    </row>
    <row r="97" spans="1:9">
      <c r="A97" s="9">
        <v>6</v>
      </c>
      <c r="B97" s="12">
        <f t="shared" si="0"/>
        <v>3</v>
      </c>
      <c r="C97" s="12">
        <f t="shared" si="0"/>
        <v>3</v>
      </c>
      <c r="D97" s="12">
        <f t="shared" si="0"/>
        <v>3</v>
      </c>
      <c r="E97" s="12">
        <f t="shared" si="0"/>
        <v>3</v>
      </c>
      <c r="F97" s="12">
        <f t="shared" si="0"/>
        <v>3</v>
      </c>
      <c r="G97" s="12" t="str">
        <f t="shared" si="0"/>
        <v/>
      </c>
      <c r="H97" s="12">
        <f t="shared" si="0"/>
        <v>3</v>
      </c>
      <c r="I97" s="12">
        <f t="shared" si="0"/>
        <v>3</v>
      </c>
    </row>
    <row r="98" spans="1:9">
      <c r="A98" s="9">
        <v>7</v>
      </c>
      <c r="B98" s="12">
        <f t="shared" si="0"/>
        <v>3</v>
      </c>
      <c r="C98" s="12">
        <f t="shared" si="0"/>
        <v>3</v>
      </c>
      <c r="D98" s="12">
        <f t="shared" si="0"/>
        <v>3</v>
      </c>
      <c r="E98" s="12">
        <f t="shared" si="0"/>
        <v>3</v>
      </c>
      <c r="F98" s="12">
        <f t="shared" si="0"/>
        <v>3</v>
      </c>
      <c r="G98" s="12">
        <f t="shared" si="0"/>
        <v>3</v>
      </c>
      <c r="H98" s="12" t="str">
        <f t="shared" si="0"/>
        <v/>
      </c>
      <c r="I98" s="12">
        <f t="shared" si="0"/>
        <v>3</v>
      </c>
    </row>
    <row r="99" spans="1:9">
      <c r="A99" s="9">
        <v>8</v>
      </c>
      <c r="B99" s="12">
        <f t="shared" si="0"/>
        <v>3</v>
      </c>
      <c r="C99" s="12">
        <f t="shared" si="0"/>
        <v>3</v>
      </c>
      <c r="D99" s="12">
        <f t="shared" si="0"/>
        <v>3</v>
      </c>
      <c r="E99" s="12">
        <f t="shared" si="0"/>
        <v>3</v>
      </c>
      <c r="F99" s="12">
        <f t="shared" si="0"/>
        <v>3</v>
      </c>
      <c r="G99" s="12">
        <f t="shared" si="0"/>
        <v>3</v>
      </c>
      <c r="H99" s="12">
        <f t="shared" si="0"/>
        <v>3</v>
      </c>
      <c r="I99" s="12" t="str">
        <f t="shared" si="0"/>
        <v/>
      </c>
    </row>
    <row r="100" spans="1:9">
      <c r="A100" s="14" t="s">
        <v>361</v>
      </c>
      <c r="B100" s="14">
        <f>_xlfn.MINIFS(B92:I99,B92:I99,"&gt;0")</f>
        <v>3</v>
      </c>
      <c r="C100" s="5"/>
      <c r="D100" s="5"/>
      <c r="E100" s="5"/>
      <c r="F100" s="5"/>
      <c r="G100" s="5"/>
    </row>
    <row r="101" spans="1:9">
      <c r="A101" s="14" t="s">
        <v>360</v>
      </c>
      <c r="B101" s="14">
        <f>MAX(B92:I99)</f>
        <v>3</v>
      </c>
      <c r="C101" s="5"/>
      <c r="D101" s="5"/>
      <c r="E101" s="5"/>
      <c r="F101" s="5"/>
      <c r="G101" s="5"/>
    </row>
    <row r="102" spans="1:9">
      <c r="A102" s="5"/>
      <c r="B102" s="5"/>
      <c r="C102" s="5"/>
      <c r="D102" s="5"/>
      <c r="E102" s="5"/>
      <c r="F102" s="5"/>
      <c r="G102" s="5"/>
    </row>
    <row r="103" spans="1:9">
      <c r="A103" s="5"/>
      <c r="B103" s="5"/>
      <c r="C103" s="5"/>
      <c r="D103" s="5"/>
      <c r="E103" s="5"/>
      <c r="F103" s="5"/>
      <c r="G103" s="5"/>
    </row>
    <row r="104" spans="1:9">
      <c r="A104" s="5"/>
      <c r="B104" s="5"/>
      <c r="C104" s="5"/>
      <c r="D104" s="5"/>
      <c r="E104" s="5"/>
      <c r="F104" s="5"/>
      <c r="G104" s="5"/>
    </row>
    <row r="105" spans="1:9">
      <c r="A105" s="5"/>
      <c r="B105" s="5"/>
      <c r="C105" s="5"/>
      <c r="D105" s="5"/>
      <c r="E105" s="5"/>
      <c r="F105" s="5"/>
      <c r="G105" s="5"/>
    </row>
    <row r="106" spans="1:9">
      <c r="A106" s="5"/>
      <c r="B106" s="5"/>
      <c r="C106" s="5"/>
      <c r="D106" s="5"/>
      <c r="E106" s="5"/>
      <c r="F106" s="5"/>
      <c r="G106" s="5"/>
    </row>
    <row r="107" spans="1:9">
      <c r="A107" s="5"/>
      <c r="B107" s="5"/>
      <c r="C107" s="5"/>
      <c r="D107" s="5"/>
      <c r="E107" s="5"/>
      <c r="F107" s="5"/>
      <c r="G107" s="5"/>
    </row>
    <row r="108" spans="1:9">
      <c r="A108" s="5"/>
      <c r="B108" s="5"/>
      <c r="C108" s="5"/>
      <c r="D108" s="5"/>
      <c r="E108" s="5"/>
      <c r="F108" s="5"/>
      <c r="G108" s="5"/>
    </row>
    <row r="109" spans="1:9">
      <c r="A109" s="5"/>
      <c r="B109" s="5"/>
      <c r="C109" s="5"/>
      <c r="D109" s="5"/>
      <c r="E109" s="5"/>
      <c r="F109" s="5"/>
      <c r="G109" s="5"/>
    </row>
    <row r="110" spans="1:9">
      <c r="A110" s="5"/>
      <c r="B110" s="5"/>
      <c r="C110" s="5"/>
      <c r="D110" s="5"/>
      <c r="E110" s="5"/>
      <c r="F110" s="5"/>
      <c r="G110" s="5"/>
    </row>
    <row r="111" spans="1:9">
      <c r="A111" s="5"/>
      <c r="B111" s="5"/>
      <c r="C111" s="5"/>
      <c r="D111" s="5"/>
      <c r="E111" s="5"/>
      <c r="F111" s="5"/>
      <c r="G111" s="5"/>
    </row>
    <row r="112" spans="1:9">
      <c r="A112" s="5"/>
      <c r="B112" s="5"/>
      <c r="C112" s="5"/>
      <c r="D112" s="5"/>
      <c r="E112" s="5"/>
      <c r="F112" s="5"/>
      <c r="G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90:I9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9D8B-D6EB-4E31-A7DD-10A423BF0C4E}">
  <dimension ref="A1:P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7.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438</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9" t="s">
        <v>16</v>
      </c>
      <c r="E3" s="7"/>
      <c r="F3" s="5"/>
      <c r="G3" s="5"/>
    </row>
    <row r="4" spans="1:16">
      <c r="A4" s="11">
        <v>1</v>
      </c>
      <c r="B4" s="12" t="str">
        <f>المدخلات!$F$4</f>
        <v>4:00–5:30 م</v>
      </c>
      <c r="C4" s="12">
        <v>1</v>
      </c>
      <c r="D4" s="12" t="s">
        <v>59</v>
      </c>
      <c r="E4" s="7"/>
      <c r="F4" s="5"/>
      <c r="G4" s="5"/>
    </row>
    <row r="5" spans="1:16">
      <c r="A5" s="11">
        <v>1</v>
      </c>
      <c r="B5" s="12" t="str">
        <f>المدخلات!$F$4</f>
        <v>4:00–5:30 م</v>
      </c>
      <c r="C5" s="12">
        <v>2</v>
      </c>
      <c r="D5" s="12" t="s">
        <v>51</v>
      </c>
      <c r="E5" s="7"/>
      <c r="F5" s="5"/>
      <c r="G5" s="5"/>
    </row>
    <row r="6" spans="1:16">
      <c r="A6" s="11">
        <v>1</v>
      </c>
      <c r="B6" s="12" t="str">
        <f>المدخلات!$F$5</f>
        <v>5:40–7:10 م</v>
      </c>
      <c r="C6" s="12">
        <v>1</v>
      </c>
      <c r="D6" s="12" t="s">
        <v>50</v>
      </c>
      <c r="E6" s="7"/>
      <c r="F6" s="5"/>
      <c r="G6" s="5"/>
    </row>
    <row r="7" spans="1:16">
      <c r="A7" s="11">
        <v>1</v>
      </c>
      <c r="B7" s="12" t="str">
        <f>المدخلات!$F$5</f>
        <v>5:40–7:10 م</v>
      </c>
      <c r="C7" s="12">
        <v>2</v>
      </c>
      <c r="D7" s="12" t="s">
        <v>43</v>
      </c>
      <c r="E7" s="7"/>
      <c r="F7" s="5"/>
      <c r="G7" s="5"/>
    </row>
    <row r="8" spans="1:16">
      <c r="A8" s="11">
        <v>1</v>
      </c>
      <c r="B8" s="12" t="str">
        <f>المدخلات!$F$6</f>
        <v>7:20–8:50 م</v>
      </c>
      <c r="C8" s="12">
        <v>1</v>
      </c>
      <c r="D8" s="12" t="s">
        <v>29</v>
      </c>
      <c r="E8" s="7"/>
      <c r="F8" s="5"/>
      <c r="G8" s="5"/>
    </row>
    <row r="9" spans="1:16">
      <c r="A9" s="11">
        <v>2</v>
      </c>
      <c r="B9" s="12" t="str">
        <f>المدخلات!$F$4</f>
        <v>4:00–5:30 م</v>
      </c>
      <c r="C9" s="12">
        <v>1</v>
      </c>
      <c r="D9" s="12" t="s">
        <v>32</v>
      </c>
      <c r="E9" s="7"/>
      <c r="F9" s="5"/>
      <c r="G9" s="5"/>
    </row>
    <row r="10" spans="1:16">
      <c r="A10" s="11">
        <v>2</v>
      </c>
      <c r="B10" s="12" t="str">
        <f>المدخلات!$F$4</f>
        <v>4:00–5:30 م</v>
      </c>
      <c r="C10" s="12">
        <v>2</v>
      </c>
      <c r="D10" s="12" t="s">
        <v>31</v>
      </c>
      <c r="E10" s="7"/>
      <c r="F10" s="5"/>
      <c r="G10" s="5"/>
    </row>
    <row r="11" spans="1:16">
      <c r="A11" s="11">
        <v>2</v>
      </c>
      <c r="B11" s="12" t="str">
        <f>المدخلات!$F$5</f>
        <v>5:40–7:10 م</v>
      </c>
      <c r="C11" s="12">
        <v>1</v>
      </c>
      <c r="D11" s="12" t="s">
        <v>52</v>
      </c>
      <c r="E11" s="7"/>
      <c r="F11" s="5"/>
      <c r="G11" s="5"/>
    </row>
    <row r="12" spans="1:16">
      <c r="A12" s="11">
        <v>2</v>
      </c>
      <c r="B12" s="12" t="str">
        <f>المدخلات!$F$5</f>
        <v>5:40–7:10 م</v>
      </c>
      <c r="C12" s="12">
        <v>2</v>
      </c>
      <c r="D12" s="12" t="s">
        <v>60</v>
      </c>
      <c r="E12" s="7"/>
      <c r="F12" s="5"/>
      <c r="G12" s="5"/>
    </row>
    <row r="13" spans="1:16">
      <c r="A13" s="11">
        <v>2</v>
      </c>
      <c r="B13" s="12" t="str">
        <f>المدخلات!$F$6</f>
        <v>7:20–8:50 م</v>
      </c>
      <c r="C13" s="12">
        <v>1</v>
      </c>
      <c r="D13" s="12" t="s">
        <v>38</v>
      </c>
      <c r="E13" s="7"/>
      <c r="F13" s="5"/>
      <c r="G13" s="5"/>
    </row>
    <row r="14" spans="1:16">
      <c r="A14" s="11">
        <v>3</v>
      </c>
      <c r="B14" s="12" t="str">
        <f>المدخلات!$F$4</f>
        <v>4:00–5:30 م</v>
      </c>
      <c r="C14" s="12">
        <v>1</v>
      </c>
      <c r="D14" s="12" t="s">
        <v>53</v>
      </c>
      <c r="E14" s="7"/>
      <c r="F14" s="5"/>
      <c r="G14" s="5"/>
    </row>
    <row r="15" spans="1:16">
      <c r="A15" s="11">
        <v>3</v>
      </c>
      <c r="B15" s="12" t="str">
        <f>المدخلات!$F$4</f>
        <v>4:00–5:30 م</v>
      </c>
      <c r="C15" s="12">
        <v>2</v>
      </c>
      <c r="D15" s="12" t="s">
        <v>44</v>
      </c>
      <c r="E15" s="7"/>
      <c r="F15" s="5"/>
      <c r="G15" s="5"/>
    </row>
    <row r="16" spans="1:16">
      <c r="A16" s="11">
        <v>3</v>
      </c>
      <c r="B16" s="12" t="str">
        <f>المدخلات!$F$5</f>
        <v>5:40–7:10 م</v>
      </c>
      <c r="C16" s="12">
        <v>1</v>
      </c>
      <c r="D16" s="12" t="s">
        <v>61</v>
      </c>
      <c r="E16" s="7"/>
      <c r="F16" s="5"/>
      <c r="G16" s="5"/>
    </row>
    <row r="17" spans="1:7">
      <c r="A17" s="11">
        <v>3</v>
      </c>
      <c r="B17" s="12" t="str">
        <f>المدخلات!$F$5</f>
        <v>5:40–7:10 م</v>
      </c>
      <c r="C17" s="12">
        <v>2</v>
      </c>
      <c r="D17" s="12" t="s">
        <v>19</v>
      </c>
      <c r="E17" s="7"/>
      <c r="F17" s="5"/>
      <c r="G17" s="5"/>
    </row>
    <row r="18" spans="1:7">
      <c r="A18" s="11">
        <v>3</v>
      </c>
      <c r="B18" s="12" t="str">
        <f>المدخلات!$F$6</f>
        <v>7:20–8:50 م</v>
      </c>
      <c r="C18" s="12">
        <v>1</v>
      </c>
      <c r="D18" s="12" t="s">
        <v>20</v>
      </c>
      <c r="E18" s="7"/>
      <c r="F18" s="5"/>
      <c r="G18" s="5"/>
    </row>
    <row r="19" spans="1:7">
      <c r="A19" s="11">
        <v>4</v>
      </c>
      <c r="B19" s="12" t="str">
        <f>المدخلات!$F$4</f>
        <v>4:00–5:30 م</v>
      </c>
      <c r="C19" s="12">
        <v>1</v>
      </c>
      <c r="D19" s="12" t="s">
        <v>45</v>
      </c>
      <c r="E19" s="7"/>
      <c r="F19" s="5"/>
      <c r="G19" s="5"/>
    </row>
    <row r="20" spans="1:7">
      <c r="A20" s="11">
        <v>4</v>
      </c>
      <c r="B20" s="12" t="str">
        <f>المدخلات!$F$4</f>
        <v>4:00–5:30 م</v>
      </c>
      <c r="C20" s="12">
        <v>2</v>
      </c>
      <c r="D20" s="12" t="s">
        <v>62</v>
      </c>
      <c r="E20" s="7"/>
      <c r="F20" s="5"/>
      <c r="G20" s="5"/>
    </row>
    <row r="21" spans="1:7">
      <c r="A21" s="11">
        <v>4</v>
      </c>
      <c r="B21" s="12" t="str">
        <f>المدخلات!$F$5</f>
        <v>5:40–7:10 م</v>
      </c>
      <c r="C21" s="12">
        <v>1</v>
      </c>
      <c r="D21" s="12" t="s">
        <v>23</v>
      </c>
      <c r="E21" s="7"/>
      <c r="F21" s="5"/>
      <c r="G21" s="5"/>
    </row>
    <row r="22" spans="1:7">
      <c r="A22" s="11">
        <v>4</v>
      </c>
      <c r="B22" s="12" t="str">
        <f>المدخلات!$F$5</f>
        <v>5:40–7:10 م</v>
      </c>
      <c r="C22" s="12">
        <v>2</v>
      </c>
      <c r="D22" s="12" t="s">
        <v>39</v>
      </c>
      <c r="E22" s="7"/>
      <c r="F22" s="5"/>
      <c r="G22" s="5"/>
    </row>
    <row r="23" spans="1:7">
      <c r="A23" s="11">
        <v>4</v>
      </c>
      <c r="B23" s="12" t="str">
        <f>المدخلات!$F$6</f>
        <v>7:20–8:50 م</v>
      </c>
      <c r="C23" s="12">
        <v>1</v>
      </c>
      <c r="D23" s="12" t="s">
        <v>54</v>
      </c>
      <c r="E23" s="7"/>
      <c r="F23" s="5"/>
      <c r="G23" s="5"/>
    </row>
    <row r="24" spans="1:7">
      <c r="A24" s="11">
        <v>5</v>
      </c>
      <c r="B24" s="12" t="str">
        <f>المدخلات!$F$4</f>
        <v>4:00–5:30 م</v>
      </c>
      <c r="C24" s="12">
        <v>1</v>
      </c>
      <c r="D24" s="12" t="s">
        <v>63</v>
      </c>
      <c r="E24" s="7"/>
      <c r="F24" s="5"/>
      <c r="G24" s="5"/>
    </row>
    <row r="25" spans="1:7">
      <c r="A25" s="11">
        <v>5</v>
      </c>
      <c r="B25" s="12" t="str">
        <f>المدخلات!$F$4</f>
        <v>4:00–5:30 م</v>
      </c>
      <c r="C25" s="12">
        <v>2</v>
      </c>
      <c r="D25" s="12" t="s">
        <v>40</v>
      </c>
      <c r="E25" s="7"/>
      <c r="F25" s="5"/>
      <c r="G25" s="5"/>
    </row>
    <row r="26" spans="1:7">
      <c r="A26" s="11">
        <v>5</v>
      </c>
      <c r="B26" s="12" t="str">
        <f>المدخلات!$F$5</f>
        <v>5:40–7:10 م</v>
      </c>
      <c r="C26" s="12">
        <v>1</v>
      </c>
      <c r="D26" s="12" t="s">
        <v>18</v>
      </c>
      <c r="E26" s="7"/>
      <c r="F26" s="5"/>
      <c r="G26" s="5"/>
    </row>
    <row r="27" spans="1:7">
      <c r="A27" s="11">
        <v>5</v>
      </c>
      <c r="B27" s="12" t="str">
        <f>المدخلات!$F$5</f>
        <v>5:40–7:10 م</v>
      </c>
      <c r="C27" s="12">
        <v>2</v>
      </c>
      <c r="D27" s="12" t="s">
        <v>55</v>
      </c>
      <c r="E27" s="7"/>
      <c r="F27" s="5"/>
      <c r="G27" s="5"/>
    </row>
    <row r="28" spans="1:7">
      <c r="A28" s="11">
        <v>5</v>
      </c>
      <c r="B28" s="12" t="str">
        <f>المدخلات!$F$6</f>
        <v>7:20–8:50 م</v>
      </c>
      <c r="C28" s="12">
        <v>1</v>
      </c>
      <c r="D28" s="12" t="s">
        <v>46</v>
      </c>
      <c r="E28" s="7"/>
      <c r="F28" s="5"/>
      <c r="G28" s="5"/>
    </row>
    <row r="29" spans="1:7">
      <c r="A29" s="11">
        <v>6</v>
      </c>
      <c r="B29" s="12" t="str">
        <f>المدخلات!$F$4</f>
        <v>4:00–5:30 م</v>
      </c>
      <c r="C29" s="12">
        <v>1</v>
      </c>
      <c r="D29" s="12" t="s">
        <v>41</v>
      </c>
      <c r="E29" s="7"/>
      <c r="F29" s="5"/>
      <c r="G29" s="5"/>
    </row>
    <row r="30" spans="1:7">
      <c r="A30" s="11">
        <v>6</v>
      </c>
      <c r="B30" s="12" t="str">
        <f>المدخلات!$F$4</f>
        <v>4:00–5:30 م</v>
      </c>
      <c r="C30" s="12">
        <v>2</v>
      </c>
      <c r="D30" s="12" t="s">
        <v>47</v>
      </c>
      <c r="E30" s="7"/>
      <c r="F30" s="5"/>
      <c r="G30" s="5"/>
    </row>
    <row r="31" spans="1:7">
      <c r="A31" s="11">
        <v>6</v>
      </c>
      <c r="B31" s="12" t="str">
        <f>المدخلات!$F$5</f>
        <v>5:40–7:10 م</v>
      </c>
      <c r="C31" s="12">
        <v>1</v>
      </c>
      <c r="D31" s="12" t="s">
        <v>21</v>
      </c>
      <c r="E31" s="7"/>
      <c r="F31" s="5"/>
      <c r="G31" s="5"/>
    </row>
    <row r="32" spans="1:7">
      <c r="A32" s="11">
        <v>6</v>
      </c>
      <c r="B32" s="12" t="str">
        <f>المدخلات!$F$5</f>
        <v>5:40–7:10 م</v>
      </c>
      <c r="C32" s="12">
        <v>2</v>
      </c>
      <c r="D32" s="12" t="s">
        <v>22</v>
      </c>
      <c r="E32" s="7"/>
      <c r="F32" s="5"/>
      <c r="G32" s="5"/>
    </row>
    <row r="33" spans="1:7">
      <c r="A33" s="11">
        <v>6</v>
      </c>
      <c r="B33" s="12" t="str">
        <f>المدخلات!$F$6</f>
        <v>7:20–8:50 م</v>
      </c>
      <c r="C33" s="12">
        <v>1</v>
      </c>
      <c r="D33" s="12" t="s">
        <v>64</v>
      </c>
      <c r="E33" s="7"/>
      <c r="F33" s="5"/>
      <c r="G33" s="5"/>
    </row>
    <row r="34" spans="1:7">
      <c r="A34" s="11">
        <v>7</v>
      </c>
      <c r="B34" s="12" t="str">
        <f>المدخلات!$F$4</f>
        <v>4:00–5:30 م</v>
      </c>
      <c r="C34" s="12">
        <v>1</v>
      </c>
      <c r="D34" s="12" t="s">
        <v>24</v>
      </c>
      <c r="E34" s="7"/>
      <c r="F34" s="5"/>
      <c r="G34" s="5"/>
    </row>
    <row r="35" spans="1:7">
      <c r="A35" s="11">
        <v>7</v>
      </c>
      <c r="B35" s="12" t="str">
        <f>المدخلات!$F$4</f>
        <v>4:00–5:30 م</v>
      </c>
      <c r="C35" s="12">
        <v>2</v>
      </c>
      <c r="D35" s="12" t="s">
        <v>25</v>
      </c>
      <c r="E35" s="7"/>
      <c r="F35" s="5"/>
      <c r="G35" s="5"/>
    </row>
    <row r="36" spans="1:7">
      <c r="A36" s="11">
        <v>7</v>
      </c>
      <c r="B36" s="12" t="str">
        <f>المدخلات!$F$5</f>
        <v>5:40–7:10 م</v>
      </c>
      <c r="C36" s="12">
        <v>1</v>
      </c>
      <c r="D36" s="12" t="s">
        <v>65</v>
      </c>
      <c r="E36" s="7"/>
      <c r="F36" s="5"/>
      <c r="G36" s="5"/>
    </row>
    <row r="37" spans="1:7">
      <c r="A37" s="11">
        <v>7</v>
      </c>
      <c r="B37" s="12" t="str">
        <f>المدخلات!$F$5</f>
        <v>5:40–7:10 م</v>
      </c>
      <c r="C37" s="12">
        <v>2</v>
      </c>
      <c r="D37" s="12" t="s">
        <v>56</v>
      </c>
      <c r="E37" s="7"/>
      <c r="F37" s="5"/>
      <c r="G37" s="5"/>
    </row>
    <row r="38" spans="1:7">
      <c r="A38" s="11">
        <v>7</v>
      </c>
      <c r="B38" s="12" t="str">
        <f>المدخلات!$F$6</f>
        <v>7:20–8:50 م</v>
      </c>
      <c r="C38" s="12">
        <v>1</v>
      </c>
      <c r="D38" s="12" t="s">
        <v>26</v>
      </c>
      <c r="E38" s="7"/>
      <c r="F38" s="5"/>
      <c r="G38" s="5"/>
    </row>
    <row r="39" spans="1:7">
      <c r="A39" s="11">
        <v>8</v>
      </c>
      <c r="B39" s="12" t="str">
        <f>المدخلات!$F$4</f>
        <v>4:00–5:30 م</v>
      </c>
      <c r="C39" s="12">
        <v>1</v>
      </c>
      <c r="D39" s="12" t="s">
        <v>48</v>
      </c>
      <c r="E39" s="7"/>
      <c r="F39" s="5"/>
      <c r="G39" s="5"/>
    </row>
    <row r="40" spans="1:7">
      <c r="A40" s="11">
        <v>8</v>
      </c>
      <c r="B40" s="12" t="str">
        <f>المدخلات!$F$4</f>
        <v>4:00–5:30 م</v>
      </c>
      <c r="C40" s="12">
        <v>2</v>
      </c>
      <c r="D40" s="12" t="s">
        <v>57</v>
      </c>
      <c r="E40" s="7"/>
      <c r="F40" s="5"/>
      <c r="G40" s="5"/>
    </row>
    <row r="41" spans="1:7">
      <c r="A41" s="11">
        <v>8</v>
      </c>
      <c r="B41" s="12" t="str">
        <f>المدخلات!$F$5</f>
        <v>5:40–7:10 م</v>
      </c>
      <c r="C41" s="12">
        <v>1</v>
      </c>
      <c r="D41" s="12" t="s">
        <v>28</v>
      </c>
      <c r="E41" s="7"/>
      <c r="F41" s="5"/>
      <c r="G41" s="5"/>
    </row>
    <row r="42" spans="1:7">
      <c r="A42" s="11">
        <v>8</v>
      </c>
      <c r="B42" s="12" t="str">
        <f>المدخلات!$F$5</f>
        <v>5:40–7:10 م</v>
      </c>
      <c r="C42" s="12">
        <v>2</v>
      </c>
      <c r="D42" s="12" t="s">
        <v>66</v>
      </c>
      <c r="E42" s="7"/>
      <c r="F42" s="5"/>
      <c r="G42" s="5"/>
    </row>
    <row r="43" spans="1:7">
      <c r="A43" s="11">
        <v>8</v>
      </c>
      <c r="B43" s="12" t="str">
        <f>المدخلات!$F$6</f>
        <v>7:20–8:50 م</v>
      </c>
      <c r="C43" s="12">
        <v>1</v>
      </c>
      <c r="D43" s="12" t="s">
        <v>27</v>
      </c>
      <c r="E43" s="7"/>
      <c r="F43" s="5"/>
      <c r="G43" s="5"/>
    </row>
    <row r="44" spans="1:7">
      <c r="A44" s="11">
        <v>9</v>
      </c>
      <c r="B44" s="12" t="str">
        <f>المدخلات!$F$4</f>
        <v>4:00–5:30 م</v>
      </c>
      <c r="C44" s="12">
        <v>1</v>
      </c>
      <c r="D44" s="12" t="s">
        <v>58</v>
      </c>
      <c r="E44" s="7"/>
      <c r="F44" s="5"/>
      <c r="G44" s="5"/>
    </row>
    <row r="45" spans="1:7">
      <c r="A45" s="11">
        <v>9</v>
      </c>
      <c r="B45" s="12" t="str">
        <f>المدخلات!$F$4</f>
        <v>4:00–5:30 م</v>
      </c>
      <c r="C45" s="12">
        <v>2</v>
      </c>
      <c r="D45" s="12" t="s">
        <v>30</v>
      </c>
      <c r="E45" s="7"/>
      <c r="F45" s="5"/>
      <c r="G45" s="5"/>
    </row>
    <row r="46" spans="1:7">
      <c r="A46" s="11">
        <v>9</v>
      </c>
      <c r="B46" s="12" t="str">
        <f>المدخلات!$F$5</f>
        <v>5:40–7:10 م</v>
      </c>
      <c r="C46" s="12">
        <v>1</v>
      </c>
      <c r="D46" s="12" t="s">
        <v>49</v>
      </c>
      <c r="E46" s="7"/>
      <c r="F46" s="5"/>
      <c r="G46" s="5"/>
    </row>
    <row r="47" spans="1:7">
      <c r="A47" s="11">
        <v>9</v>
      </c>
      <c r="B47" s="12" t="str">
        <f>المدخلات!$F$5</f>
        <v>5:40–7:10 م</v>
      </c>
      <c r="C47" s="12">
        <v>2</v>
      </c>
      <c r="D47" s="12" t="s">
        <v>42</v>
      </c>
      <c r="E47" s="7"/>
      <c r="F47" s="5"/>
      <c r="G47" s="5"/>
    </row>
    <row r="48" spans="1:7">
      <c r="A48" s="11">
        <v>9</v>
      </c>
      <c r="B48" s="12" t="str">
        <f>المدخلات!$F$6</f>
        <v>7:20–8:50 م</v>
      </c>
      <c r="C48" s="12">
        <v>1</v>
      </c>
      <c r="D48" s="12" t="s">
        <v>67</v>
      </c>
      <c r="E48" s="7"/>
      <c r="F48" s="5"/>
      <c r="G48" s="5"/>
    </row>
    <row r="49" spans="1:7">
      <c r="A49" s="11">
        <v>10</v>
      </c>
      <c r="B49" s="12" t="str">
        <f>المدخلات!$F$4</f>
        <v>4:00–5:30 م</v>
      </c>
      <c r="C49" s="12">
        <v>1</v>
      </c>
      <c r="D49" s="12" t="s">
        <v>42</v>
      </c>
      <c r="E49" s="7"/>
      <c r="F49" s="5"/>
      <c r="G49" s="5"/>
    </row>
    <row r="50" spans="1:7">
      <c r="A50" s="11">
        <v>10</v>
      </c>
      <c r="B50" s="12" t="str">
        <f>المدخلات!$F$4</f>
        <v>4:00–5:30 م</v>
      </c>
      <c r="C50" s="12">
        <v>2</v>
      </c>
      <c r="D50" s="12" t="s">
        <v>67</v>
      </c>
      <c r="E50" s="7"/>
      <c r="F50" s="5"/>
      <c r="G50" s="5"/>
    </row>
    <row r="51" spans="1:7">
      <c r="A51" s="11">
        <v>10</v>
      </c>
      <c r="B51" s="12" t="str">
        <f>المدخلات!$F$5</f>
        <v>5:40–7:10 م</v>
      </c>
      <c r="C51" s="12">
        <v>1</v>
      </c>
      <c r="D51" s="12" t="s">
        <v>58</v>
      </c>
      <c r="E51" s="7"/>
      <c r="F51" s="5"/>
      <c r="G51" s="5"/>
    </row>
    <row r="52" spans="1:7">
      <c r="A52" s="11">
        <v>10</v>
      </c>
      <c r="B52" s="12" t="str">
        <f>المدخلات!$F$5</f>
        <v>5:40–7:10 م</v>
      </c>
      <c r="C52" s="12">
        <v>2</v>
      </c>
      <c r="D52" s="12" t="s">
        <v>30</v>
      </c>
      <c r="E52" s="7"/>
      <c r="F52" s="5"/>
      <c r="G52" s="5"/>
    </row>
    <row r="53" spans="1:7">
      <c r="A53" s="11">
        <v>10</v>
      </c>
      <c r="B53" s="12" t="str">
        <f>المدخلات!$F$6</f>
        <v>7:20–8:50 م</v>
      </c>
      <c r="C53" s="12">
        <v>1</v>
      </c>
      <c r="D53" s="12" t="s">
        <v>49</v>
      </c>
      <c r="E53" s="7"/>
      <c r="F53" s="5"/>
      <c r="G53" s="5"/>
    </row>
    <row r="54" spans="1:7">
      <c r="A54" s="11">
        <v>11</v>
      </c>
      <c r="B54" s="12" t="str">
        <f>المدخلات!$F$4</f>
        <v>4:00–5:30 م</v>
      </c>
      <c r="C54" s="12">
        <v>1</v>
      </c>
      <c r="D54" s="12" t="s">
        <v>51</v>
      </c>
      <c r="E54" s="7"/>
      <c r="F54" s="5"/>
      <c r="G54" s="5"/>
    </row>
    <row r="55" spans="1:7">
      <c r="A55" s="11">
        <v>11</v>
      </c>
      <c r="B55" s="12" t="str">
        <f>المدخلات!$F$4</f>
        <v>4:00–5:30 م</v>
      </c>
      <c r="C55" s="12">
        <v>2</v>
      </c>
      <c r="D55" s="12" t="s">
        <v>29</v>
      </c>
      <c r="E55" s="7"/>
      <c r="F55" s="5"/>
      <c r="G55" s="5"/>
    </row>
    <row r="56" spans="1:7">
      <c r="A56" s="11">
        <v>11</v>
      </c>
      <c r="B56" s="12" t="str">
        <f>المدخلات!$F$5</f>
        <v>5:40–7:10 م</v>
      </c>
      <c r="C56" s="12">
        <v>1</v>
      </c>
      <c r="D56" s="12" t="s">
        <v>50</v>
      </c>
      <c r="E56" s="7"/>
      <c r="F56" s="5"/>
      <c r="G56" s="5"/>
    </row>
    <row r="57" spans="1:7">
      <c r="A57" s="11">
        <v>11</v>
      </c>
      <c r="B57" s="12" t="str">
        <f>المدخلات!$F$5</f>
        <v>5:40–7:10 م</v>
      </c>
      <c r="C57" s="12">
        <v>2</v>
      </c>
      <c r="D57" s="12" t="s">
        <v>43</v>
      </c>
      <c r="E57" s="7"/>
      <c r="F57" s="5"/>
      <c r="G57" s="5"/>
    </row>
    <row r="58" spans="1:7">
      <c r="A58" s="11">
        <v>11</v>
      </c>
      <c r="B58" s="12" t="str">
        <f>المدخلات!$F$6</f>
        <v>7:20–8:50 م</v>
      </c>
      <c r="C58" s="12">
        <v>1</v>
      </c>
      <c r="D58" s="12" t="s">
        <v>59</v>
      </c>
      <c r="E58" s="7"/>
      <c r="F58" s="5"/>
      <c r="G58" s="5"/>
    </row>
    <row r="59" spans="1:7">
      <c r="A59" s="11">
        <v>12</v>
      </c>
      <c r="B59" s="12" t="str">
        <f>المدخلات!$F$4</f>
        <v>4:00–5:30 م</v>
      </c>
      <c r="C59" s="12">
        <v>1</v>
      </c>
      <c r="D59" s="12" t="s">
        <v>32</v>
      </c>
      <c r="E59" s="7"/>
      <c r="F59" s="5"/>
      <c r="G59" s="5"/>
    </row>
    <row r="60" spans="1:7">
      <c r="A60" s="11">
        <v>12</v>
      </c>
      <c r="B60" s="12" t="str">
        <f>المدخلات!$F$4</f>
        <v>4:00–5:30 م</v>
      </c>
      <c r="C60" s="12">
        <v>2</v>
      </c>
      <c r="D60" s="12" t="s">
        <v>60</v>
      </c>
      <c r="E60" s="7"/>
      <c r="F60" s="5"/>
      <c r="G60" s="5"/>
    </row>
    <row r="61" spans="1:7">
      <c r="A61" s="11">
        <v>12</v>
      </c>
      <c r="B61" s="12" t="str">
        <f>المدخلات!$F$5</f>
        <v>5:40–7:10 م</v>
      </c>
      <c r="C61" s="12">
        <v>1</v>
      </c>
      <c r="D61" s="12" t="s">
        <v>31</v>
      </c>
      <c r="E61" s="7"/>
      <c r="F61" s="5"/>
      <c r="G61" s="5"/>
    </row>
    <row r="62" spans="1:7">
      <c r="A62" s="11">
        <v>12</v>
      </c>
      <c r="B62" s="12" t="str">
        <f>المدخلات!$F$5</f>
        <v>5:40–7:10 م</v>
      </c>
      <c r="C62" s="12">
        <v>2</v>
      </c>
      <c r="D62" s="12" t="s">
        <v>52</v>
      </c>
      <c r="E62" s="7"/>
      <c r="F62" s="5"/>
      <c r="G62" s="5"/>
    </row>
    <row r="63" spans="1:7">
      <c r="A63" s="11">
        <v>12</v>
      </c>
      <c r="B63" s="12" t="str">
        <f>المدخلات!$F$6</f>
        <v>7:20–8:50 م</v>
      </c>
      <c r="C63" s="12">
        <v>1</v>
      </c>
      <c r="D63" s="12" t="s">
        <v>38</v>
      </c>
      <c r="E63" s="7"/>
      <c r="F63" s="5"/>
      <c r="G63" s="5"/>
    </row>
    <row r="64" spans="1:7">
      <c r="A64" s="11">
        <v>13</v>
      </c>
      <c r="B64" s="12" t="str">
        <f>المدخلات!$F$4</f>
        <v>4:00–5:30 م</v>
      </c>
      <c r="C64" s="12">
        <v>1</v>
      </c>
      <c r="D64" s="12" t="s">
        <v>44</v>
      </c>
      <c r="E64" s="7"/>
      <c r="F64" s="5"/>
      <c r="G64" s="5"/>
    </row>
    <row r="65" spans="1:7">
      <c r="A65" s="11">
        <v>13</v>
      </c>
      <c r="B65" s="12" t="str">
        <f>المدخلات!$F$4</f>
        <v>4:00–5:30 م</v>
      </c>
      <c r="C65" s="12">
        <v>2</v>
      </c>
      <c r="D65" s="12" t="s">
        <v>20</v>
      </c>
      <c r="E65" s="7"/>
      <c r="F65" s="5"/>
      <c r="G65" s="5"/>
    </row>
    <row r="66" spans="1:7">
      <c r="A66" s="11">
        <v>13</v>
      </c>
      <c r="B66" s="12" t="str">
        <f>المدخلات!$F$5</f>
        <v>5:40–7:10 م</v>
      </c>
      <c r="C66" s="12">
        <v>1</v>
      </c>
      <c r="D66" s="12" t="s">
        <v>61</v>
      </c>
      <c r="E66" s="7"/>
      <c r="F66" s="5"/>
      <c r="G66" s="5"/>
    </row>
    <row r="67" spans="1:7">
      <c r="A67" s="11">
        <v>13</v>
      </c>
      <c r="B67" s="12" t="str">
        <f>المدخلات!$F$5</f>
        <v>5:40–7:10 م</v>
      </c>
      <c r="C67" s="12">
        <v>2</v>
      </c>
      <c r="D67" s="12" t="s">
        <v>19</v>
      </c>
      <c r="E67" s="7"/>
      <c r="F67" s="5"/>
      <c r="G67" s="5"/>
    </row>
    <row r="68" spans="1:7">
      <c r="A68" s="11">
        <v>13</v>
      </c>
      <c r="B68" s="12" t="str">
        <f>المدخلات!$F$6</f>
        <v>7:20–8:50 م</v>
      </c>
      <c r="C68" s="12">
        <v>1</v>
      </c>
      <c r="D68" s="12" t="s">
        <v>53</v>
      </c>
      <c r="E68" s="7"/>
      <c r="F68" s="5"/>
      <c r="G68" s="5"/>
    </row>
    <row r="69" spans="1:7">
      <c r="A69" s="11">
        <v>14</v>
      </c>
      <c r="B69" s="12" t="str">
        <f>المدخلات!$F$4</f>
        <v>4:00–5:30 م</v>
      </c>
      <c r="C69" s="12">
        <v>1</v>
      </c>
      <c r="D69" s="12" t="s">
        <v>23</v>
      </c>
      <c r="E69" s="7"/>
      <c r="F69" s="5"/>
      <c r="G69" s="5"/>
    </row>
    <row r="70" spans="1:7">
      <c r="A70" s="11">
        <v>14</v>
      </c>
      <c r="B70" s="12" t="str">
        <f>المدخلات!$F$4</f>
        <v>4:00–5:30 م</v>
      </c>
      <c r="C70" s="12">
        <v>2</v>
      </c>
      <c r="D70" s="12" t="s">
        <v>39</v>
      </c>
      <c r="E70" s="7"/>
      <c r="F70" s="5"/>
      <c r="G70" s="5"/>
    </row>
    <row r="71" spans="1:7">
      <c r="A71" s="11">
        <v>14</v>
      </c>
      <c r="B71" s="12" t="str">
        <f>المدخلات!$F$5</f>
        <v>5:40–7:10 م</v>
      </c>
      <c r="C71" s="12">
        <v>1</v>
      </c>
      <c r="D71" s="12" t="s">
        <v>54</v>
      </c>
      <c r="E71" s="7"/>
      <c r="F71" s="5"/>
      <c r="G71" s="5"/>
    </row>
    <row r="72" spans="1:7">
      <c r="A72" s="11">
        <v>14</v>
      </c>
      <c r="B72" s="12" t="str">
        <f>المدخلات!$F$5</f>
        <v>5:40–7:10 م</v>
      </c>
      <c r="C72" s="12">
        <v>2</v>
      </c>
      <c r="D72" s="12" t="s">
        <v>62</v>
      </c>
      <c r="E72" s="7"/>
      <c r="F72" s="5"/>
      <c r="G72" s="5"/>
    </row>
    <row r="73" spans="1:7">
      <c r="A73" s="11">
        <v>14</v>
      </c>
      <c r="B73" s="12" t="str">
        <f>المدخلات!$F$6</f>
        <v>7:20–8:50 م</v>
      </c>
      <c r="C73" s="12">
        <v>1</v>
      </c>
      <c r="D73" s="12" t="s">
        <v>45</v>
      </c>
      <c r="E73" s="7"/>
      <c r="F73" s="5"/>
      <c r="G73" s="5"/>
    </row>
    <row r="74" spans="1:7">
      <c r="A74" s="11">
        <v>15</v>
      </c>
      <c r="B74" s="12" t="str">
        <f>المدخلات!$F$4</f>
        <v>4:00–5:30 م</v>
      </c>
      <c r="C74" s="12">
        <v>1</v>
      </c>
      <c r="D74" s="12" t="s">
        <v>63</v>
      </c>
      <c r="E74" s="7"/>
      <c r="F74" s="5"/>
      <c r="G74" s="5"/>
    </row>
    <row r="75" spans="1:7">
      <c r="A75" s="11">
        <v>15</v>
      </c>
      <c r="B75" s="12" t="str">
        <f>المدخلات!$F$4</f>
        <v>4:00–5:30 م</v>
      </c>
      <c r="C75" s="12">
        <v>2</v>
      </c>
      <c r="D75" s="12" t="s">
        <v>55</v>
      </c>
      <c r="E75" s="7"/>
      <c r="F75" s="5"/>
      <c r="G75" s="5"/>
    </row>
    <row r="76" spans="1:7">
      <c r="A76" s="11">
        <v>15</v>
      </c>
      <c r="B76" s="12" t="str">
        <f>المدخلات!$F$5</f>
        <v>5:40–7:10 م</v>
      </c>
      <c r="C76" s="12">
        <v>1</v>
      </c>
      <c r="D76" s="12" t="s">
        <v>40</v>
      </c>
      <c r="E76" s="7"/>
      <c r="F76" s="5"/>
      <c r="G76" s="5"/>
    </row>
    <row r="77" spans="1:7">
      <c r="A77" s="11">
        <v>15</v>
      </c>
      <c r="B77" s="12" t="str">
        <f>المدخلات!$F$5</f>
        <v>5:40–7:10 م</v>
      </c>
      <c r="C77" s="12">
        <v>2</v>
      </c>
      <c r="D77" s="12" t="s">
        <v>46</v>
      </c>
      <c r="E77" s="7"/>
      <c r="F77" s="5"/>
      <c r="G77" s="5"/>
    </row>
    <row r="78" spans="1:7">
      <c r="A78" s="11">
        <v>15</v>
      </c>
      <c r="B78" s="12" t="str">
        <f>المدخلات!$F$6</f>
        <v>7:20–8:50 م</v>
      </c>
      <c r="C78" s="12">
        <v>1</v>
      </c>
      <c r="D78" s="12" t="s">
        <v>18</v>
      </c>
      <c r="E78" s="7"/>
      <c r="F78" s="5"/>
      <c r="G78" s="5"/>
    </row>
    <row r="79" spans="1:7">
      <c r="A79" s="11">
        <v>16</v>
      </c>
      <c r="B79" s="12" t="str">
        <f>المدخلات!$F$4</f>
        <v>4:00–5:30 م</v>
      </c>
      <c r="C79" s="12">
        <v>1</v>
      </c>
      <c r="D79" s="12" t="s">
        <v>21</v>
      </c>
      <c r="E79" s="7"/>
      <c r="F79" s="5"/>
      <c r="G79" s="5"/>
    </row>
    <row r="80" spans="1:7">
      <c r="A80" s="11">
        <v>16</v>
      </c>
      <c r="B80" s="12" t="str">
        <f>المدخلات!$F$4</f>
        <v>4:00–5:30 م</v>
      </c>
      <c r="C80" s="12">
        <v>2</v>
      </c>
      <c r="D80" s="12" t="s">
        <v>22</v>
      </c>
      <c r="E80" s="7"/>
      <c r="F80" s="5"/>
      <c r="G80" s="5"/>
    </row>
    <row r="81" spans="1:11">
      <c r="A81" s="11">
        <v>16</v>
      </c>
      <c r="B81" s="12" t="str">
        <f>المدخلات!$F$5</f>
        <v>5:40–7:10 م</v>
      </c>
      <c r="C81" s="12">
        <v>1</v>
      </c>
      <c r="D81" s="12" t="s">
        <v>47</v>
      </c>
      <c r="E81" s="7"/>
      <c r="F81" s="5"/>
      <c r="G81" s="5"/>
    </row>
    <row r="82" spans="1:11">
      <c r="A82" s="11">
        <v>16</v>
      </c>
      <c r="B82" s="12" t="str">
        <f>المدخلات!$F$5</f>
        <v>5:40–7:10 م</v>
      </c>
      <c r="C82" s="12">
        <v>2</v>
      </c>
      <c r="D82" s="12" t="s">
        <v>41</v>
      </c>
      <c r="E82" s="7"/>
      <c r="F82" s="5"/>
      <c r="G82" s="5"/>
    </row>
    <row r="83" spans="1:11">
      <c r="A83" s="11">
        <v>16</v>
      </c>
      <c r="B83" s="12" t="str">
        <f>المدخلات!$F$6</f>
        <v>7:20–8:50 م</v>
      </c>
      <c r="C83" s="12">
        <v>1</v>
      </c>
      <c r="D83" s="12" t="s">
        <v>64</v>
      </c>
      <c r="E83" s="7"/>
      <c r="F83" s="5"/>
      <c r="G83" s="5"/>
    </row>
    <row r="84" spans="1:11">
      <c r="A84" s="11">
        <v>17</v>
      </c>
      <c r="B84" s="12" t="str">
        <f>المدخلات!$F$4</f>
        <v>4:00–5:30 م</v>
      </c>
      <c r="C84" s="12">
        <v>1</v>
      </c>
      <c r="D84" s="12" t="s">
        <v>65</v>
      </c>
      <c r="E84" s="7"/>
      <c r="F84" s="5"/>
      <c r="G84" s="5"/>
    </row>
    <row r="85" spans="1:11">
      <c r="A85" s="11">
        <v>17</v>
      </c>
      <c r="B85" s="12" t="str">
        <f>المدخلات!$F$4</f>
        <v>4:00–5:30 م</v>
      </c>
      <c r="C85" s="12">
        <v>2</v>
      </c>
      <c r="D85" s="12" t="s">
        <v>56</v>
      </c>
      <c r="E85" s="7"/>
      <c r="F85" s="5"/>
      <c r="G85" s="5"/>
    </row>
    <row r="86" spans="1:11">
      <c r="A86" s="11">
        <v>17</v>
      </c>
      <c r="B86" s="12" t="str">
        <f>المدخلات!$F$5</f>
        <v>5:40–7:10 م</v>
      </c>
      <c r="C86" s="12">
        <v>1</v>
      </c>
      <c r="D86" s="12" t="s">
        <v>25</v>
      </c>
      <c r="E86" s="7"/>
      <c r="F86" s="5"/>
      <c r="G86" s="5"/>
    </row>
    <row r="87" spans="1:11">
      <c r="A87" s="11">
        <v>17</v>
      </c>
      <c r="B87" s="12" t="str">
        <f>المدخلات!$F$5</f>
        <v>5:40–7:10 م</v>
      </c>
      <c r="C87" s="12">
        <v>2</v>
      </c>
      <c r="D87" s="12" t="s">
        <v>26</v>
      </c>
      <c r="E87" s="7"/>
      <c r="F87" s="5"/>
      <c r="G87" s="5"/>
    </row>
    <row r="88" spans="1:11">
      <c r="A88" s="11">
        <v>17</v>
      </c>
      <c r="B88" s="12" t="str">
        <f>المدخلات!$F$6</f>
        <v>7:20–8:50 م</v>
      </c>
      <c r="C88" s="12">
        <v>1</v>
      </c>
      <c r="D88" s="12" t="s">
        <v>24</v>
      </c>
      <c r="E88" s="7"/>
      <c r="F88" s="5"/>
      <c r="G88" s="5"/>
    </row>
    <row r="89" spans="1:11">
      <c r="A89" s="11">
        <v>18</v>
      </c>
      <c r="B89" s="12" t="str">
        <f>المدخلات!$F$4</f>
        <v>4:00–5:30 م</v>
      </c>
      <c r="C89" s="12">
        <v>1</v>
      </c>
      <c r="D89" s="12" t="s">
        <v>57</v>
      </c>
      <c r="E89" s="7"/>
      <c r="F89" s="5"/>
      <c r="G89" s="5"/>
    </row>
    <row r="90" spans="1:11">
      <c r="A90" s="11">
        <v>18</v>
      </c>
      <c r="B90" s="12" t="str">
        <f>المدخلات!$F$4</f>
        <v>4:00–5:30 م</v>
      </c>
      <c r="C90" s="12">
        <v>2</v>
      </c>
      <c r="D90" s="12" t="s">
        <v>66</v>
      </c>
      <c r="E90" s="7"/>
      <c r="F90" s="5"/>
      <c r="G90" s="5"/>
    </row>
    <row r="91" spans="1:11">
      <c r="A91" s="11">
        <v>18</v>
      </c>
      <c r="B91" s="12" t="str">
        <f>المدخلات!$F$5</f>
        <v>5:40–7:10 م</v>
      </c>
      <c r="C91" s="12">
        <v>1</v>
      </c>
      <c r="D91" s="12" t="s">
        <v>48</v>
      </c>
      <c r="E91" s="7"/>
      <c r="F91" s="5"/>
      <c r="G91" s="5"/>
    </row>
    <row r="92" spans="1:11">
      <c r="A92" s="11">
        <v>18</v>
      </c>
      <c r="B92" s="12" t="str">
        <f>المدخلات!$F$5</f>
        <v>5:40–7:10 م</v>
      </c>
      <c r="C92" s="12">
        <v>2</v>
      </c>
      <c r="D92" s="12" t="s">
        <v>27</v>
      </c>
      <c r="E92" s="7"/>
      <c r="F92" s="5"/>
      <c r="G92" s="5"/>
    </row>
    <row r="93" spans="1:11">
      <c r="A93" s="11">
        <v>18</v>
      </c>
      <c r="B93" s="12" t="str">
        <f>المدخلات!$F$6</f>
        <v>7:20–8:50 م</v>
      </c>
      <c r="C93" s="12">
        <v>1</v>
      </c>
      <c r="D93" s="12" t="s">
        <v>28</v>
      </c>
      <c r="E93" s="7"/>
      <c r="F93" s="5"/>
      <c r="G93" s="5"/>
    </row>
    <row r="94" spans="1:11">
      <c r="A94" s="5"/>
      <c r="B94" s="5"/>
      <c r="C94" s="5"/>
      <c r="D94" s="5"/>
      <c r="E94" s="5"/>
      <c r="F94" s="5"/>
      <c r="G94" s="5"/>
    </row>
    <row r="95" spans="1:11">
      <c r="A95" s="5"/>
      <c r="B95" s="5"/>
      <c r="C95" s="5"/>
      <c r="D95" s="5"/>
      <c r="E95" s="5"/>
      <c r="F95" s="5"/>
      <c r="G95" s="5"/>
    </row>
    <row r="96" spans="1:11" ht="15.5">
      <c r="A96" s="52" t="s">
        <v>363</v>
      </c>
      <c r="B96" s="52"/>
      <c r="C96" s="52"/>
      <c r="D96" s="52"/>
      <c r="E96" s="52"/>
      <c r="F96" s="52"/>
      <c r="G96" s="52"/>
      <c r="H96" s="52"/>
      <c r="I96" s="52"/>
      <c r="J96" s="52"/>
      <c r="K96" s="52"/>
    </row>
    <row r="97" spans="1:11">
      <c r="A97" s="9" t="s">
        <v>362</v>
      </c>
      <c r="B97" s="9">
        <v>1</v>
      </c>
      <c r="C97" s="9">
        <v>2</v>
      </c>
      <c r="D97" s="9">
        <v>3</v>
      </c>
      <c r="E97" s="9">
        <v>4</v>
      </c>
      <c r="F97" s="9">
        <v>5</v>
      </c>
      <c r="G97" s="9">
        <v>6</v>
      </c>
      <c r="H97" s="9">
        <v>7</v>
      </c>
      <c r="I97" s="9">
        <v>8</v>
      </c>
      <c r="J97" s="9">
        <v>9</v>
      </c>
      <c r="K97" s="9">
        <v>10</v>
      </c>
    </row>
    <row r="98" spans="1:11">
      <c r="A98" s="9">
        <v>1</v>
      </c>
      <c r="B98" s="12" t="str">
        <f t="shared" ref="B98:K107" si="0">IF($A98=B$97,"",COUNTIF($D$4:$D$93,$A98&amp;" ضد "&amp;B$97)+COUNTIF($D$4:$D$93,B$97&amp;" ضد "&amp;$A98))</f>
        <v/>
      </c>
      <c r="C98" s="12">
        <f t="shared" si="0"/>
        <v>2</v>
      </c>
      <c r="D98" s="12">
        <f t="shared" si="0"/>
        <v>2</v>
      </c>
      <c r="E98" s="12">
        <f t="shared" si="0"/>
        <v>2</v>
      </c>
      <c r="F98" s="12">
        <f t="shared" si="0"/>
        <v>2</v>
      </c>
      <c r="G98" s="12">
        <f t="shared" si="0"/>
        <v>2</v>
      </c>
      <c r="H98" s="12">
        <f t="shared" si="0"/>
        <v>2</v>
      </c>
      <c r="I98" s="12">
        <f t="shared" si="0"/>
        <v>2</v>
      </c>
      <c r="J98" s="12">
        <f t="shared" si="0"/>
        <v>2</v>
      </c>
      <c r="K98" s="12">
        <f t="shared" si="0"/>
        <v>2</v>
      </c>
    </row>
    <row r="99" spans="1:11">
      <c r="A99" s="9">
        <v>2</v>
      </c>
      <c r="B99" s="12">
        <f t="shared" si="0"/>
        <v>2</v>
      </c>
      <c r="C99" s="12" t="str">
        <f t="shared" si="0"/>
        <v/>
      </c>
      <c r="D99" s="12">
        <f t="shared" si="0"/>
        <v>2</v>
      </c>
      <c r="E99" s="12">
        <f t="shared" si="0"/>
        <v>2</v>
      </c>
      <c r="F99" s="12">
        <f t="shared" si="0"/>
        <v>2</v>
      </c>
      <c r="G99" s="12">
        <f t="shared" si="0"/>
        <v>2</v>
      </c>
      <c r="H99" s="12">
        <f t="shared" si="0"/>
        <v>2</v>
      </c>
      <c r="I99" s="12">
        <f t="shared" si="0"/>
        <v>2</v>
      </c>
      <c r="J99" s="12">
        <f t="shared" si="0"/>
        <v>2</v>
      </c>
      <c r="K99" s="12">
        <f t="shared" si="0"/>
        <v>2</v>
      </c>
    </row>
    <row r="100" spans="1:11">
      <c r="A100" s="9">
        <v>3</v>
      </c>
      <c r="B100" s="12">
        <f t="shared" si="0"/>
        <v>2</v>
      </c>
      <c r="C100" s="12">
        <f t="shared" si="0"/>
        <v>2</v>
      </c>
      <c r="D100" s="12" t="str">
        <f t="shared" si="0"/>
        <v/>
      </c>
      <c r="E100" s="12">
        <f t="shared" si="0"/>
        <v>2</v>
      </c>
      <c r="F100" s="12">
        <f t="shared" si="0"/>
        <v>2</v>
      </c>
      <c r="G100" s="12">
        <f t="shared" si="0"/>
        <v>2</v>
      </c>
      <c r="H100" s="12">
        <f t="shared" si="0"/>
        <v>2</v>
      </c>
      <c r="I100" s="12">
        <f t="shared" si="0"/>
        <v>2</v>
      </c>
      <c r="J100" s="12">
        <f t="shared" si="0"/>
        <v>2</v>
      </c>
      <c r="K100" s="12">
        <f t="shared" si="0"/>
        <v>2</v>
      </c>
    </row>
    <row r="101" spans="1:11">
      <c r="A101" s="9">
        <v>4</v>
      </c>
      <c r="B101" s="12">
        <f t="shared" si="0"/>
        <v>2</v>
      </c>
      <c r="C101" s="12">
        <f t="shared" si="0"/>
        <v>2</v>
      </c>
      <c r="D101" s="12">
        <f t="shared" si="0"/>
        <v>2</v>
      </c>
      <c r="E101" s="12" t="str">
        <f t="shared" si="0"/>
        <v/>
      </c>
      <c r="F101" s="12">
        <f t="shared" si="0"/>
        <v>2</v>
      </c>
      <c r="G101" s="12">
        <f t="shared" si="0"/>
        <v>2</v>
      </c>
      <c r="H101" s="12">
        <f t="shared" si="0"/>
        <v>2</v>
      </c>
      <c r="I101" s="12">
        <f t="shared" si="0"/>
        <v>2</v>
      </c>
      <c r="J101" s="12">
        <f t="shared" si="0"/>
        <v>2</v>
      </c>
      <c r="K101" s="12">
        <f t="shared" si="0"/>
        <v>2</v>
      </c>
    </row>
    <row r="102" spans="1:11">
      <c r="A102" s="9">
        <v>5</v>
      </c>
      <c r="B102" s="12">
        <f t="shared" si="0"/>
        <v>2</v>
      </c>
      <c r="C102" s="12">
        <f t="shared" si="0"/>
        <v>2</v>
      </c>
      <c r="D102" s="12">
        <f t="shared" si="0"/>
        <v>2</v>
      </c>
      <c r="E102" s="12">
        <f t="shared" si="0"/>
        <v>2</v>
      </c>
      <c r="F102" s="12" t="str">
        <f t="shared" si="0"/>
        <v/>
      </c>
      <c r="G102" s="12">
        <f t="shared" si="0"/>
        <v>2</v>
      </c>
      <c r="H102" s="12">
        <f t="shared" si="0"/>
        <v>2</v>
      </c>
      <c r="I102" s="12">
        <f t="shared" si="0"/>
        <v>2</v>
      </c>
      <c r="J102" s="12">
        <f t="shared" si="0"/>
        <v>2</v>
      </c>
      <c r="K102" s="12">
        <f t="shared" si="0"/>
        <v>2</v>
      </c>
    </row>
    <row r="103" spans="1:11">
      <c r="A103" s="9">
        <v>6</v>
      </c>
      <c r="B103" s="12">
        <f t="shared" si="0"/>
        <v>2</v>
      </c>
      <c r="C103" s="12">
        <f t="shared" si="0"/>
        <v>2</v>
      </c>
      <c r="D103" s="12">
        <f t="shared" si="0"/>
        <v>2</v>
      </c>
      <c r="E103" s="12">
        <f t="shared" si="0"/>
        <v>2</v>
      </c>
      <c r="F103" s="12">
        <f t="shared" si="0"/>
        <v>2</v>
      </c>
      <c r="G103" s="12" t="str">
        <f t="shared" si="0"/>
        <v/>
      </c>
      <c r="H103" s="12">
        <f t="shared" si="0"/>
        <v>2</v>
      </c>
      <c r="I103" s="12">
        <f t="shared" si="0"/>
        <v>2</v>
      </c>
      <c r="J103" s="12">
        <f t="shared" si="0"/>
        <v>2</v>
      </c>
      <c r="K103" s="12">
        <f t="shared" si="0"/>
        <v>2</v>
      </c>
    </row>
    <row r="104" spans="1:11">
      <c r="A104" s="9">
        <v>7</v>
      </c>
      <c r="B104" s="12">
        <f t="shared" si="0"/>
        <v>2</v>
      </c>
      <c r="C104" s="12">
        <f t="shared" si="0"/>
        <v>2</v>
      </c>
      <c r="D104" s="12">
        <f t="shared" si="0"/>
        <v>2</v>
      </c>
      <c r="E104" s="12">
        <f t="shared" si="0"/>
        <v>2</v>
      </c>
      <c r="F104" s="12">
        <f t="shared" si="0"/>
        <v>2</v>
      </c>
      <c r="G104" s="12">
        <f t="shared" si="0"/>
        <v>2</v>
      </c>
      <c r="H104" s="12" t="str">
        <f t="shared" si="0"/>
        <v/>
      </c>
      <c r="I104" s="12">
        <f t="shared" si="0"/>
        <v>2</v>
      </c>
      <c r="J104" s="12">
        <f t="shared" si="0"/>
        <v>2</v>
      </c>
      <c r="K104" s="12">
        <f t="shared" si="0"/>
        <v>2</v>
      </c>
    </row>
    <row r="105" spans="1:11">
      <c r="A105" s="9">
        <v>8</v>
      </c>
      <c r="B105" s="12">
        <f t="shared" si="0"/>
        <v>2</v>
      </c>
      <c r="C105" s="12">
        <f t="shared" si="0"/>
        <v>2</v>
      </c>
      <c r="D105" s="12">
        <f t="shared" si="0"/>
        <v>2</v>
      </c>
      <c r="E105" s="12">
        <f t="shared" si="0"/>
        <v>2</v>
      </c>
      <c r="F105" s="12">
        <f t="shared" si="0"/>
        <v>2</v>
      </c>
      <c r="G105" s="12">
        <f t="shared" si="0"/>
        <v>2</v>
      </c>
      <c r="H105" s="12">
        <f t="shared" si="0"/>
        <v>2</v>
      </c>
      <c r="I105" s="12" t="str">
        <f t="shared" si="0"/>
        <v/>
      </c>
      <c r="J105" s="12">
        <f t="shared" si="0"/>
        <v>2</v>
      </c>
      <c r="K105" s="12">
        <f t="shared" si="0"/>
        <v>2</v>
      </c>
    </row>
    <row r="106" spans="1:11">
      <c r="A106" s="9">
        <v>9</v>
      </c>
      <c r="B106" s="12">
        <f t="shared" si="0"/>
        <v>2</v>
      </c>
      <c r="C106" s="12">
        <f t="shared" si="0"/>
        <v>2</v>
      </c>
      <c r="D106" s="12">
        <f t="shared" si="0"/>
        <v>2</v>
      </c>
      <c r="E106" s="12">
        <f t="shared" si="0"/>
        <v>2</v>
      </c>
      <c r="F106" s="12">
        <f t="shared" si="0"/>
        <v>2</v>
      </c>
      <c r="G106" s="12">
        <f t="shared" si="0"/>
        <v>2</v>
      </c>
      <c r="H106" s="12">
        <f t="shared" si="0"/>
        <v>2</v>
      </c>
      <c r="I106" s="12">
        <f t="shared" si="0"/>
        <v>2</v>
      </c>
      <c r="J106" s="12" t="str">
        <f t="shared" si="0"/>
        <v/>
      </c>
      <c r="K106" s="12">
        <f t="shared" si="0"/>
        <v>2</v>
      </c>
    </row>
    <row r="107" spans="1:11">
      <c r="A107" s="9">
        <v>10</v>
      </c>
      <c r="B107" s="12">
        <f t="shared" si="0"/>
        <v>2</v>
      </c>
      <c r="C107" s="12">
        <f t="shared" si="0"/>
        <v>2</v>
      </c>
      <c r="D107" s="12">
        <f t="shared" si="0"/>
        <v>2</v>
      </c>
      <c r="E107" s="12">
        <f t="shared" si="0"/>
        <v>2</v>
      </c>
      <c r="F107" s="12">
        <f t="shared" si="0"/>
        <v>2</v>
      </c>
      <c r="G107" s="12">
        <f t="shared" si="0"/>
        <v>2</v>
      </c>
      <c r="H107" s="12">
        <f t="shared" si="0"/>
        <v>2</v>
      </c>
      <c r="I107" s="12">
        <f t="shared" si="0"/>
        <v>2</v>
      </c>
      <c r="J107" s="12">
        <f t="shared" si="0"/>
        <v>2</v>
      </c>
      <c r="K107" s="12" t="str">
        <f t="shared" si="0"/>
        <v/>
      </c>
    </row>
    <row r="108" spans="1:11">
      <c r="A108" s="14" t="s">
        <v>361</v>
      </c>
      <c r="B108" s="14">
        <f>_xlfn.MINIFS(B98:K107,B98:K107,"&gt;0")</f>
        <v>2</v>
      </c>
      <c r="C108" s="5"/>
      <c r="D108" s="5"/>
      <c r="E108" s="5"/>
      <c r="F108" s="5"/>
      <c r="G108" s="5"/>
    </row>
    <row r="109" spans="1:11">
      <c r="A109" s="14" t="s">
        <v>360</v>
      </c>
      <c r="B109" s="14">
        <f>MAX(B98:K107)</f>
        <v>2</v>
      </c>
      <c r="C109" s="5"/>
      <c r="D109" s="5"/>
      <c r="E109" s="5"/>
      <c r="F109" s="5"/>
      <c r="G109" s="5"/>
    </row>
    <row r="110" spans="1:11">
      <c r="A110" s="5"/>
      <c r="B110" s="5"/>
      <c r="C110" s="5"/>
      <c r="D110" s="5"/>
      <c r="E110" s="5"/>
      <c r="F110" s="5"/>
      <c r="G110" s="5"/>
    </row>
    <row r="111" spans="1:11">
      <c r="A111" s="5"/>
      <c r="B111" s="5"/>
      <c r="C111" s="5"/>
      <c r="D111" s="5"/>
      <c r="E111" s="5"/>
      <c r="F111" s="5"/>
      <c r="G111" s="5"/>
    </row>
    <row r="112" spans="1:11">
      <c r="A112" s="5"/>
      <c r="B112" s="5"/>
      <c r="C112" s="5"/>
      <c r="D112" s="5"/>
      <c r="E112" s="5"/>
      <c r="F112" s="5"/>
      <c r="G112" s="5"/>
    </row>
    <row r="113" s="5" customFormat="1"/>
    <row r="114" s="5" customFormat="1"/>
    <row r="115" s="5" customFormat="1"/>
    <row r="116" s="5" customFormat="1"/>
    <row r="117" s="5" customFormat="1"/>
    <row r="118" s="5" customFormat="1"/>
    <row r="119" s="5" customFormat="1"/>
    <row r="120" s="5" customFormat="1"/>
    <row r="121" s="5" customFormat="1"/>
    <row r="122" s="5" customFormat="1"/>
    <row r="123" s="5" customFormat="1"/>
    <row r="124" s="5" customFormat="1"/>
    <row r="125" s="5" customFormat="1"/>
    <row r="126" s="5" customFormat="1"/>
    <row r="127" s="5" customFormat="1"/>
    <row r="128" s="5" customFormat="1"/>
    <row r="129" s="5" customFormat="1"/>
    <row r="130" s="5" customFormat="1"/>
    <row r="131" s="5" customFormat="1"/>
    <row r="132" s="5" customFormat="1"/>
    <row r="133" s="5" customFormat="1"/>
    <row r="134" s="5" customFormat="1"/>
    <row r="135" s="5" customFormat="1"/>
    <row r="136" s="5" customFormat="1"/>
    <row r="137" s="5" customFormat="1"/>
    <row r="138" s="5" customFormat="1"/>
    <row r="139" s="5" customFormat="1"/>
    <row r="140" s="5" customFormat="1"/>
    <row r="141" s="5" customFormat="1"/>
    <row r="142" s="5" customFormat="1"/>
    <row r="143" s="5" customFormat="1"/>
    <row r="144" s="5" customFormat="1"/>
    <row r="145" s="5" customFormat="1"/>
    <row r="146" s="5" customFormat="1"/>
    <row r="147" s="5" customFormat="1"/>
    <row r="148" s="5" customFormat="1"/>
    <row r="149" s="5" customFormat="1"/>
    <row r="150" s="5" customFormat="1"/>
    <row r="151" s="5" customFormat="1"/>
    <row r="152" s="5" customFormat="1"/>
    <row r="153" s="5" customFormat="1"/>
    <row r="154" s="5" customFormat="1"/>
    <row r="155" s="5" customFormat="1"/>
    <row r="156" s="5" customFormat="1"/>
    <row r="157" s="5" customFormat="1"/>
    <row r="158" s="5" customFormat="1"/>
    <row r="159" s="5" customFormat="1"/>
    <row r="160" s="5" customFormat="1"/>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96:K9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7502E-52B7-4493-AEE0-26A56A2928E1}">
  <dimension ref="A1:P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12.90625" style="15" bestFit="1" customWidth="1"/>
    <col min="5" max="5" width="26.179687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39.08984375" style="5" bestFit="1" customWidth="1"/>
    <col min="13" max="13" width="10.1796875" style="5" bestFit="1" customWidth="1"/>
    <col min="14" max="14" width="8.7265625" style="5"/>
    <col min="15" max="15" width="35.54296875" style="5" bestFit="1" customWidth="1"/>
    <col min="16" max="16" width="10.1796875" style="5" bestFit="1" customWidth="1"/>
    <col min="17" max="16384" width="8.7265625" style="5"/>
  </cols>
  <sheetData>
    <row r="1" spans="1:16" ht="18.5">
      <c r="A1" s="49" t="s">
        <v>439</v>
      </c>
      <c r="B1" s="49"/>
      <c r="C1" s="49"/>
      <c r="D1" s="49"/>
      <c r="E1" s="49"/>
      <c r="F1" s="49"/>
      <c r="G1" s="49"/>
      <c r="H1" s="4"/>
      <c r="I1" s="4"/>
      <c r="J1" s="4"/>
      <c r="K1" s="4"/>
      <c r="L1" s="4"/>
      <c r="M1" s="4"/>
      <c r="N1" s="4"/>
      <c r="O1" s="4"/>
      <c r="P1" s="4"/>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16" t="s">
        <v>97</v>
      </c>
    </row>
    <row r="4" spans="1:16">
      <c r="A4" s="11">
        <v>1</v>
      </c>
      <c r="B4" s="12" t="str">
        <f>المدخلات!$F$4</f>
        <v>4:00–5:30 م</v>
      </c>
      <c r="C4" s="12">
        <v>1</v>
      </c>
      <c r="D4" s="12" t="s">
        <v>17</v>
      </c>
      <c r="E4" s="12" t="s">
        <v>38</v>
      </c>
      <c r="F4" s="7"/>
      <c r="G4" s="5"/>
    </row>
    <row r="5" spans="1:16">
      <c r="A5" s="11">
        <v>1</v>
      </c>
      <c r="B5" s="12" t="str">
        <f>المدخلات!$F$4</f>
        <v>4:00–5:30 م</v>
      </c>
      <c r="C5" s="12">
        <v>2</v>
      </c>
      <c r="D5" s="12" t="s">
        <v>17</v>
      </c>
      <c r="E5" s="12" t="s">
        <v>31</v>
      </c>
      <c r="F5" s="7"/>
      <c r="G5" s="5"/>
    </row>
    <row r="6" spans="1:16">
      <c r="A6" s="11">
        <v>1</v>
      </c>
      <c r="B6" s="12" t="str">
        <f>المدخلات!$F$5</f>
        <v>5:40–7:10 م</v>
      </c>
      <c r="C6" s="12">
        <v>1</v>
      </c>
      <c r="D6" s="12" t="s">
        <v>17</v>
      </c>
      <c r="E6" s="12" t="s">
        <v>32</v>
      </c>
      <c r="F6" s="7"/>
      <c r="G6" s="5"/>
    </row>
    <row r="7" spans="1:16">
      <c r="A7" s="11">
        <v>1</v>
      </c>
      <c r="B7" s="12" t="str">
        <f>المدخلات!$F$5</f>
        <v>5:40–7:10 م</v>
      </c>
      <c r="C7" s="12">
        <v>2</v>
      </c>
      <c r="D7" s="12" t="s">
        <v>89</v>
      </c>
      <c r="E7" s="12" t="s">
        <v>85</v>
      </c>
      <c r="F7" s="7"/>
      <c r="G7" s="5"/>
    </row>
    <row r="8" spans="1:16">
      <c r="A8" s="11">
        <v>1</v>
      </c>
      <c r="B8" s="12" t="str">
        <f>المدخلات!$F$6</f>
        <v>7:20–8:50 م</v>
      </c>
      <c r="C8" s="12">
        <v>1</v>
      </c>
      <c r="D8" s="12" t="s">
        <v>89</v>
      </c>
      <c r="E8" s="12" t="s">
        <v>90</v>
      </c>
      <c r="F8" s="7"/>
      <c r="G8" s="5"/>
    </row>
    <row r="9" spans="1:16">
      <c r="A9" s="11">
        <v>1</v>
      </c>
      <c r="B9" s="12" t="str">
        <f>المدخلات!$F$6</f>
        <v>7:20–8:50 م</v>
      </c>
      <c r="C9" s="12">
        <v>2</v>
      </c>
      <c r="D9" s="12" t="s">
        <v>89</v>
      </c>
      <c r="E9" s="12" t="s">
        <v>74</v>
      </c>
      <c r="F9" s="7"/>
      <c r="G9" s="5"/>
    </row>
    <row r="10" spans="1:16">
      <c r="A10" s="11">
        <v>2</v>
      </c>
      <c r="B10" s="12" t="str">
        <f>المدخلات!$F$4</f>
        <v>4:00–5:30 م</v>
      </c>
      <c r="C10" s="12">
        <v>1</v>
      </c>
      <c r="D10" s="12" t="s">
        <v>89</v>
      </c>
      <c r="E10" s="12" t="s">
        <v>64</v>
      </c>
      <c r="F10" s="7"/>
      <c r="G10" s="5"/>
    </row>
    <row r="11" spans="1:16">
      <c r="A11" s="11">
        <v>2</v>
      </c>
      <c r="B11" s="12" t="str">
        <f>المدخلات!$F$4</f>
        <v>4:00–5:30 م</v>
      </c>
      <c r="C11" s="12">
        <v>2</v>
      </c>
      <c r="D11" s="12" t="s">
        <v>89</v>
      </c>
      <c r="E11" s="12" t="s">
        <v>80</v>
      </c>
      <c r="F11" s="7"/>
      <c r="G11" s="5"/>
    </row>
    <row r="12" spans="1:16">
      <c r="A12" s="11">
        <v>2</v>
      </c>
      <c r="B12" s="12" t="str">
        <f>المدخلات!$F$5</f>
        <v>5:40–7:10 م</v>
      </c>
      <c r="C12" s="12">
        <v>1</v>
      </c>
      <c r="D12" s="12" t="s">
        <v>89</v>
      </c>
      <c r="E12" s="12" t="s">
        <v>91</v>
      </c>
      <c r="F12" s="7"/>
      <c r="G12" s="5"/>
    </row>
    <row r="13" spans="1:16">
      <c r="A13" s="11">
        <v>2</v>
      </c>
      <c r="B13" s="12" t="str">
        <f>المدخلات!$F$5</f>
        <v>5:40–7:10 م</v>
      </c>
      <c r="C13" s="12">
        <v>2</v>
      </c>
      <c r="D13" s="12" t="s">
        <v>17</v>
      </c>
      <c r="E13" s="12" t="s">
        <v>39</v>
      </c>
      <c r="F13" s="7"/>
      <c r="G13" s="5"/>
    </row>
    <row r="14" spans="1:16">
      <c r="A14" s="11">
        <v>2</v>
      </c>
      <c r="B14" s="12" t="str">
        <f>المدخلات!$F$6</f>
        <v>7:20–8:50 م</v>
      </c>
      <c r="C14" s="12">
        <v>1</v>
      </c>
      <c r="D14" s="12" t="s">
        <v>17</v>
      </c>
      <c r="E14" s="12" t="s">
        <v>20</v>
      </c>
      <c r="F14" s="7"/>
      <c r="G14" s="5"/>
    </row>
    <row r="15" spans="1:16">
      <c r="A15" s="11">
        <v>2</v>
      </c>
      <c r="B15" s="12" t="str">
        <f>المدخلات!$F$6</f>
        <v>7:20–8:50 م</v>
      </c>
      <c r="C15" s="12">
        <v>2</v>
      </c>
      <c r="D15" s="12" t="s">
        <v>17</v>
      </c>
      <c r="E15" s="12" t="s">
        <v>19</v>
      </c>
      <c r="F15" s="7"/>
      <c r="G15" s="5"/>
    </row>
    <row r="16" spans="1:16">
      <c r="A16" s="11">
        <v>3</v>
      </c>
      <c r="B16" s="12" t="str">
        <f>المدخلات!$F$4</f>
        <v>4:00–5:30 م</v>
      </c>
      <c r="C16" s="12">
        <v>1</v>
      </c>
      <c r="D16" s="12" t="s">
        <v>17</v>
      </c>
      <c r="E16" s="12" t="s">
        <v>40</v>
      </c>
      <c r="F16" s="7"/>
      <c r="G16" s="5"/>
    </row>
    <row r="17" spans="1:7">
      <c r="A17" s="11">
        <v>3</v>
      </c>
      <c r="B17" s="12" t="str">
        <f>المدخلات!$F$4</f>
        <v>4:00–5:30 م</v>
      </c>
      <c r="C17" s="12">
        <v>2</v>
      </c>
      <c r="D17" s="12" t="s">
        <v>89</v>
      </c>
      <c r="E17" s="12" t="s">
        <v>75</v>
      </c>
      <c r="F17" s="7"/>
      <c r="G17" s="5"/>
    </row>
    <row r="18" spans="1:7">
      <c r="A18" s="11">
        <v>3</v>
      </c>
      <c r="B18" s="12" t="str">
        <f>المدخلات!$F$5</f>
        <v>5:40–7:10 م</v>
      </c>
      <c r="C18" s="12">
        <v>1</v>
      </c>
      <c r="D18" s="12" t="s">
        <v>89</v>
      </c>
      <c r="E18" s="12" t="s">
        <v>79</v>
      </c>
      <c r="F18" s="7"/>
      <c r="G18" s="5"/>
    </row>
    <row r="19" spans="1:7">
      <c r="A19" s="11">
        <v>3</v>
      </c>
      <c r="B19" s="12" t="str">
        <f>المدخلات!$F$5</f>
        <v>5:40–7:10 م</v>
      </c>
      <c r="C19" s="12">
        <v>2</v>
      </c>
      <c r="D19" s="12" t="s">
        <v>17</v>
      </c>
      <c r="E19" s="12" t="s">
        <v>23</v>
      </c>
      <c r="F19" s="7"/>
      <c r="G19" s="5"/>
    </row>
    <row r="20" spans="1:7">
      <c r="A20" s="11">
        <v>3</v>
      </c>
      <c r="B20" s="12" t="str">
        <f>المدخلات!$F$6</f>
        <v>7:20–8:50 م</v>
      </c>
      <c r="C20" s="12">
        <v>1</v>
      </c>
      <c r="D20" s="12" t="s">
        <v>17</v>
      </c>
      <c r="E20" s="12" t="s">
        <v>18</v>
      </c>
      <c r="F20" s="7"/>
      <c r="G20" s="5"/>
    </row>
    <row r="21" spans="1:7">
      <c r="A21" s="11">
        <v>3</v>
      </c>
      <c r="B21" s="12" t="str">
        <f>المدخلات!$F$6</f>
        <v>7:20–8:50 م</v>
      </c>
      <c r="C21" s="12">
        <v>2</v>
      </c>
      <c r="D21" s="12" t="s">
        <v>89</v>
      </c>
      <c r="E21" s="12" t="s">
        <v>92</v>
      </c>
      <c r="F21" s="7"/>
      <c r="G21" s="5"/>
    </row>
    <row r="22" spans="1:7">
      <c r="A22" s="11">
        <v>4</v>
      </c>
      <c r="B22" s="12" t="str">
        <f>المدخلات!$F$4</f>
        <v>4:00–5:30 م</v>
      </c>
      <c r="C22" s="12">
        <v>1</v>
      </c>
      <c r="D22" s="12" t="s">
        <v>89</v>
      </c>
      <c r="E22" s="12" t="s">
        <v>93</v>
      </c>
      <c r="F22" s="7"/>
      <c r="G22" s="5"/>
    </row>
    <row r="23" spans="1:7">
      <c r="A23" s="11">
        <v>4</v>
      </c>
      <c r="B23" s="12" t="str">
        <f>المدخلات!$F$4</f>
        <v>4:00–5:30 م</v>
      </c>
      <c r="C23" s="12">
        <v>2</v>
      </c>
      <c r="D23" s="12" t="s">
        <v>17</v>
      </c>
      <c r="E23" s="12" t="s">
        <v>21</v>
      </c>
      <c r="F23" s="7"/>
      <c r="G23" s="5"/>
    </row>
    <row r="24" spans="1:7">
      <c r="A24" s="11">
        <v>4</v>
      </c>
      <c r="B24" s="12" t="str">
        <f>المدخلات!$F$5</f>
        <v>5:40–7:10 م</v>
      </c>
      <c r="C24" s="12">
        <v>1</v>
      </c>
      <c r="D24" s="12" t="s">
        <v>89</v>
      </c>
      <c r="E24" s="12" t="s">
        <v>60</v>
      </c>
      <c r="F24" s="7"/>
      <c r="G24" s="5"/>
    </row>
    <row r="25" spans="1:7">
      <c r="A25" s="11">
        <v>4</v>
      </c>
      <c r="B25" s="12" t="str">
        <f>المدخلات!$F$5</f>
        <v>5:40–7:10 م</v>
      </c>
      <c r="C25" s="12">
        <v>2</v>
      </c>
      <c r="D25" s="12" t="s">
        <v>17</v>
      </c>
      <c r="E25" s="12" t="s">
        <v>22</v>
      </c>
      <c r="F25" s="7"/>
      <c r="G25" s="5"/>
    </row>
    <row r="26" spans="1:7">
      <c r="A26" s="11">
        <v>4</v>
      </c>
      <c r="B26" s="12" t="str">
        <f>المدخلات!$F$6</f>
        <v>7:20–8:50 م</v>
      </c>
      <c r="C26" s="12">
        <v>1</v>
      </c>
      <c r="D26" s="12" t="s">
        <v>89</v>
      </c>
      <c r="E26" s="12" t="s">
        <v>70</v>
      </c>
      <c r="F26" s="7"/>
      <c r="G26" s="5"/>
    </row>
    <row r="27" spans="1:7">
      <c r="A27" s="11">
        <v>4</v>
      </c>
      <c r="B27" s="12" t="str">
        <f>المدخلات!$F$6</f>
        <v>7:20–8:50 م</v>
      </c>
      <c r="C27" s="12">
        <v>2</v>
      </c>
      <c r="D27" s="12" t="s">
        <v>17</v>
      </c>
      <c r="E27" s="12" t="s">
        <v>41</v>
      </c>
      <c r="F27" s="7"/>
      <c r="G27" s="5"/>
    </row>
    <row r="28" spans="1:7">
      <c r="A28" s="11">
        <v>5</v>
      </c>
      <c r="B28" s="12" t="str">
        <f>المدخلات!$F$4</f>
        <v>4:00–5:30 م</v>
      </c>
      <c r="C28" s="12">
        <v>1</v>
      </c>
      <c r="D28" s="12" t="s">
        <v>17</v>
      </c>
      <c r="E28" s="12" t="s">
        <v>24</v>
      </c>
      <c r="F28" s="7"/>
      <c r="G28" s="5"/>
    </row>
    <row r="29" spans="1:7">
      <c r="A29" s="11">
        <v>5</v>
      </c>
      <c r="B29" s="12" t="str">
        <f>المدخلات!$F$4</f>
        <v>4:00–5:30 م</v>
      </c>
      <c r="C29" s="12">
        <v>2</v>
      </c>
      <c r="D29" s="12" t="s">
        <v>89</v>
      </c>
      <c r="E29" s="12" t="s">
        <v>94</v>
      </c>
      <c r="F29" s="7"/>
      <c r="G29" s="5"/>
    </row>
    <row r="30" spans="1:7">
      <c r="A30" s="11">
        <v>5</v>
      </c>
      <c r="B30" s="12" t="str">
        <f>المدخلات!$F$5</f>
        <v>5:40–7:10 م</v>
      </c>
      <c r="C30" s="12">
        <v>1</v>
      </c>
      <c r="D30" s="12" t="s">
        <v>17</v>
      </c>
      <c r="E30" s="12" t="s">
        <v>25</v>
      </c>
      <c r="F30" s="7"/>
      <c r="G30" s="5"/>
    </row>
    <row r="31" spans="1:7">
      <c r="A31" s="11">
        <v>5</v>
      </c>
      <c r="B31" s="12" t="str">
        <f>المدخلات!$F$5</f>
        <v>5:40–7:10 م</v>
      </c>
      <c r="C31" s="12">
        <v>2</v>
      </c>
      <c r="D31" s="12" t="s">
        <v>89</v>
      </c>
      <c r="E31" s="12" t="s">
        <v>56</v>
      </c>
      <c r="F31" s="7"/>
      <c r="G31" s="5"/>
    </row>
    <row r="32" spans="1:7">
      <c r="A32" s="11">
        <v>5</v>
      </c>
      <c r="B32" s="12" t="str">
        <f>المدخلات!$F$6</f>
        <v>7:20–8:50 م</v>
      </c>
      <c r="C32" s="12">
        <v>1</v>
      </c>
      <c r="D32" s="12" t="s">
        <v>17</v>
      </c>
      <c r="E32" s="12" t="s">
        <v>26</v>
      </c>
      <c r="F32" s="7"/>
      <c r="G32" s="5"/>
    </row>
    <row r="33" spans="1:7">
      <c r="A33" s="11">
        <v>5</v>
      </c>
      <c r="B33" s="12" t="str">
        <f>المدخلات!$F$6</f>
        <v>7:20–8:50 م</v>
      </c>
      <c r="C33" s="12">
        <v>2</v>
      </c>
      <c r="D33" s="12" t="s">
        <v>89</v>
      </c>
      <c r="E33" s="12" t="s">
        <v>84</v>
      </c>
      <c r="F33" s="7"/>
      <c r="G33" s="5"/>
    </row>
    <row r="34" spans="1:7">
      <c r="A34" s="11">
        <v>6</v>
      </c>
      <c r="B34" s="12" t="str">
        <f>المدخلات!$F$4</f>
        <v>4:00–5:30 م</v>
      </c>
      <c r="C34" s="12">
        <v>1</v>
      </c>
      <c r="D34" s="12" t="s">
        <v>17</v>
      </c>
      <c r="E34" s="12" t="s">
        <v>27</v>
      </c>
      <c r="F34" s="7"/>
      <c r="G34" s="5"/>
    </row>
    <row r="35" spans="1:7">
      <c r="A35" s="11">
        <v>6</v>
      </c>
      <c r="B35" s="12" t="str">
        <f>المدخلات!$F$4</f>
        <v>4:00–5:30 م</v>
      </c>
      <c r="C35" s="12">
        <v>2</v>
      </c>
      <c r="D35" s="12" t="s">
        <v>17</v>
      </c>
      <c r="E35" s="12" t="s">
        <v>28</v>
      </c>
      <c r="F35" s="7"/>
      <c r="G35" s="5"/>
    </row>
    <row r="36" spans="1:7">
      <c r="A36" s="11">
        <v>6</v>
      </c>
      <c r="B36" s="12" t="str">
        <f>المدخلات!$F$5</f>
        <v>5:40–7:10 م</v>
      </c>
      <c r="C36" s="12">
        <v>1</v>
      </c>
      <c r="D36" s="12" t="s">
        <v>17</v>
      </c>
      <c r="E36" s="12" t="s">
        <v>42</v>
      </c>
      <c r="F36" s="7"/>
      <c r="G36" s="5"/>
    </row>
    <row r="37" spans="1:7">
      <c r="A37" s="11">
        <v>6</v>
      </c>
      <c r="B37" s="12" t="str">
        <f>المدخلات!$F$5</f>
        <v>5:40–7:10 م</v>
      </c>
      <c r="C37" s="12">
        <v>2</v>
      </c>
      <c r="D37" s="12" t="s">
        <v>89</v>
      </c>
      <c r="E37" s="12" t="s">
        <v>84</v>
      </c>
      <c r="F37" s="7"/>
      <c r="G37" s="5"/>
    </row>
    <row r="38" spans="1:7">
      <c r="A38" s="11">
        <v>6</v>
      </c>
      <c r="B38" s="12" t="str">
        <f>المدخلات!$F$6</f>
        <v>7:20–8:50 م</v>
      </c>
      <c r="C38" s="12">
        <v>1</v>
      </c>
      <c r="D38" s="12" t="s">
        <v>89</v>
      </c>
      <c r="E38" s="12" t="s">
        <v>56</v>
      </c>
      <c r="F38" s="7"/>
      <c r="G38" s="5"/>
    </row>
    <row r="39" spans="1:7">
      <c r="A39" s="11">
        <v>6</v>
      </c>
      <c r="B39" s="12" t="str">
        <f>المدخلات!$F$6</f>
        <v>7:20–8:50 م</v>
      </c>
      <c r="C39" s="12">
        <v>2</v>
      </c>
      <c r="D39" s="12" t="s">
        <v>89</v>
      </c>
      <c r="E39" s="12" t="s">
        <v>94</v>
      </c>
      <c r="F39" s="7"/>
      <c r="G39" s="5"/>
    </row>
    <row r="40" spans="1:7">
      <c r="A40" s="11">
        <v>7</v>
      </c>
      <c r="B40" s="12" t="str">
        <f>المدخلات!$F$4</f>
        <v>4:00–5:30 م</v>
      </c>
      <c r="C40" s="12">
        <v>1</v>
      </c>
      <c r="D40" s="12" t="s">
        <v>17</v>
      </c>
      <c r="E40" s="12" t="s">
        <v>43</v>
      </c>
      <c r="F40" s="7"/>
      <c r="G40" s="5"/>
    </row>
    <row r="41" spans="1:7">
      <c r="A41" s="11">
        <v>7</v>
      </c>
      <c r="B41" s="12" t="str">
        <f>المدخلات!$F$4</f>
        <v>4:00–5:30 م</v>
      </c>
      <c r="C41" s="12">
        <v>2</v>
      </c>
      <c r="D41" s="12" t="s">
        <v>17</v>
      </c>
      <c r="E41" s="12" t="s">
        <v>29</v>
      </c>
      <c r="F41" s="7"/>
      <c r="G41" s="5"/>
    </row>
    <row r="42" spans="1:7">
      <c r="A42" s="11">
        <v>7</v>
      </c>
      <c r="B42" s="12" t="str">
        <f>المدخلات!$F$5</f>
        <v>5:40–7:10 م</v>
      </c>
      <c r="C42" s="12">
        <v>1</v>
      </c>
      <c r="D42" s="12" t="s">
        <v>17</v>
      </c>
      <c r="E42" s="12" t="s">
        <v>30</v>
      </c>
      <c r="F42" s="7"/>
      <c r="G42" s="5"/>
    </row>
    <row r="43" spans="1:7">
      <c r="A43" s="11">
        <v>7</v>
      </c>
      <c r="B43" s="12" t="str">
        <f>المدخلات!$F$5</f>
        <v>5:40–7:10 م</v>
      </c>
      <c r="C43" s="12">
        <v>2</v>
      </c>
      <c r="D43" s="12" t="s">
        <v>89</v>
      </c>
      <c r="E43" s="12" t="s">
        <v>90</v>
      </c>
      <c r="F43" s="7"/>
      <c r="G43" s="5"/>
    </row>
    <row r="44" spans="1:7">
      <c r="A44" s="11">
        <v>7</v>
      </c>
      <c r="B44" s="12" t="str">
        <f>المدخلات!$F$6</f>
        <v>7:20–8:50 م</v>
      </c>
      <c r="C44" s="12">
        <v>1</v>
      </c>
      <c r="D44" s="12" t="s">
        <v>89</v>
      </c>
      <c r="E44" s="12" t="s">
        <v>85</v>
      </c>
      <c r="F44" s="7"/>
      <c r="G44" s="5"/>
    </row>
    <row r="45" spans="1:7">
      <c r="A45" s="11">
        <v>7</v>
      </c>
      <c r="B45" s="12" t="str">
        <f>المدخلات!$F$6</f>
        <v>7:20–8:50 م</v>
      </c>
      <c r="C45" s="12">
        <v>2</v>
      </c>
      <c r="D45" s="12" t="s">
        <v>89</v>
      </c>
      <c r="E45" s="12" t="s">
        <v>74</v>
      </c>
      <c r="F45" s="7"/>
      <c r="G45" s="5"/>
    </row>
    <row r="46" spans="1:7">
      <c r="A46" s="11">
        <v>8</v>
      </c>
      <c r="B46" s="12" t="str">
        <f>المدخلات!$F$4</f>
        <v>4:00–5:30 م</v>
      </c>
      <c r="C46" s="12">
        <v>1</v>
      </c>
      <c r="D46" s="12" t="s">
        <v>89</v>
      </c>
      <c r="E46" s="12" t="s">
        <v>80</v>
      </c>
      <c r="F46" s="7"/>
      <c r="G46" s="5"/>
    </row>
    <row r="47" spans="1:7">
      <c r="A47" s="11">
        <v>8</v>
      </c>
      <c r="B47" s="12" t="str">
        <f>المدخلات!$F$4</f>
        <v>4:00–5:30 م</v>
      </c>
      <c r="C47" s="12">
        <v>2</v>
      </c>
      <c r="D47" s="12" t="s">
        <v>89</v>
      </c>
      <c r="E47" s="12" t="s">
        <v>64</v>
      </c>
      <c r="F47" s="7"/>
      <c r="G47" s="5"/>
    </row>
    <row r="48" spans="1:7">
      <c r="A48" s="11">
        <v>8</v>
      </c>
      <c r="B48" s="12" t="str">
        <f>المدخلات!$F$5</f>
        <v>5:40–7:10 م</v>
      </c>
      <c r="C48" s="12">
        <v>1</v>
      </c>
      <c r="D48" s="12" t="s">
        <v>89</v>
      </c>
      <c r="E48" s="12" t="s">
        <v>91</v>
      </c>
      <c r="F48" s="7"/>
      <c r="G48" s="5"/>
    </row>
    <row r="49" spans="1:7">
      <c r="A49" s="11">
        <v>8</v>
      </c>
      <c r="B49" s="12" t="str">
        <f>المدخلات!$F$5</f>
        <v>5:40–7:10 م</v>
      </c>
      <c r="C49" s="12">
        <v>2</v>
      </c>
      <c r="D49" s="12" t="s">
        <v>17</v>
      </c>
      <c r="E49" s="12" t="s">
        <v>30</v>
      </c>
      <c r="F49" s="7"/>
      <c r="G49" s="5"/>
    </row>
    <row r="50" spans="1:7">
      <c r="A50" s="11">
        <v>8</v>
      </c>
      <c r="B50" s="12" t="str">
        <f>المدخلات!$F$6</f>
        <v>7:20–8:50 م</v>
      </c>
      <c r="C50" s="12">
        <v>1</v>
      </c>
      <c r="D50" s="12" t="s">
        <v>17</v>
      </c>
      <c r="E50" s="12" t="s">
        <v>29</v>
      </c>
      <c r="F50" s="7"/>
      <c r="G50" s="5"/>
    </row>
    <row r="51" spans="1:7">
      <c r="A51" s="11">
        <v>8</v>
      </c>
      <c r="B51" s="12" t="str">
        <f>المدخلات!$F$6</f>
        <v>7:20–8:50 م</v>
      </c>
      <c r="C51" s="12">
        <v>2</v>
      </c>
      <c r="D51" s="12" t="s">
        <v>17</v>
      </c>
      <c r="E51" s="12" t="s">
        <v>43</v>
      </c>
      <c r="F51" s="7"/>
      <c r="G51" s="5"/>
    </row>
    <row r="52" spans="1:7">
      <c r="A52" s="11">
        <v>9</v>
      </c>
      <c r="B52" s="12" t="str">
        <f>المدخلات!$F$4</f>
        <v>4:00–5:30 م</v>
      </c>
      <c r="C52" s="12">
        <v>1</v>
      </c>
      <c r="D52" s="12" t="s">
        <v>89</v>
      </c>
      <c r="E52" s="12" t="s">
        <v>75</v>
      </c>
      <c r="F52" s="7"/>
      <c r="G52" s="5"/>
    </row>
    <row r="53" spans="1:7">
      <c r="A53" s="11">
        <v>9</v>
      </c>
      <c r="B53" s="12" t="str">
        <f>المدخلات!$F$4</f>
        <v>4:00–5:30 م</v>
      </c>
      <c r="C53" s="12">
        <v>2</v>
      </c>
      <c r="D53" s="12" t="s">
        <v>89</v>
      </c>
      <c r="E53" s="12" t="s">
        <v>92</v>
      </c>
      <c r="F53" s="7"/>
      <c r="G53" s="5"/>
    </row>
    <row r="54" spans="1:7">
      <c r="A54" s="11">
        <v>9</v>
      </c>
      <c r="B54" s="12" t="str">
        <f>المدخلات!$F$5</f>
        <v>5:40–7:10 م</v>
      </c>
      <c r="C54" s="12">
        <v>1</v>
      </c>
      <c r="D54" s="12" t="s">
        <v>89</v>
      </c>
      <c r="E54" s="12" t="s">
        <v>79</v>
      </c>
      <c r="F54" s="7"/>
      <c r="G54" s="5"/>
    </row>
    <row r="55" spans="1:7">
      <c r="A55" s="11">
        <v>9</v>
      </c>
      <c r="B55" s="12" t="str">
        <f>المدخلات!$F$5</f>
        <v>5:40–7:10 م</v>
      </c>
      <c r="C55" s="12">
        <v>2</v>
      </c>
      <c r="D55" s="12" t="s">
        <v>17</v>
      </c>
      <c r="E55" s="12" t="s">
        <v>31</v>
      </c>
      <c r="F55" s="7"/>
      <c r="G55" s="5"/>
    </row>
    <row r="56" spans="1:7">
      <c r="A56" s="11">
        <v>9</v>
      </c>
      <c r="B56" s="12" t="str">
        <f>المدخلات!$F$6</f>
        <v>7:20–8:50 م</v>
      </c>
      <c r="C56" s="12">
        <v>1</v>
      </c>
      <c r="D56" s="12" t="s">
        <v>17</v>
      </c>
      <c r="E56" s="12" t="s">
        <v>38</v>
      </c>
      <c r="F56" s="7"/>
      <c r="G56" s="5"/>
    </row>
    <row r="57" spans="1:7">
      <c r="A57" s="11">
        <v>9</v>
      </c>
      <c r="B57" s="12" t="str">
        <f>المدخلات!$F$6</f>
        <v>7:20–8:50 م</v>
      </c>
      <c r="C57" s="12">
        <v>2</v>
      </c>
      <c r="D57" s="12" t="s">
        <v>17</v>
      </c>
      <c r="E57" s="12" t="s">
        <v>32</v>
      </c>
      <c r="F57" s="7"/>
      <c r="G57" s="5"/>
    </row>
    <row r="58" spans="1:7">
      <c r="A58" s="11">
        <v>10</v>
      </c>
      <c r="B58" s="12" t="str">
        <f>المدخلات!$F$4</f>
        <v>4:00–5:30 م</v>
      </c>
      <c r="C58" s="12">
        <v>1</v>
      </c>
      <c r="D58" s="12" t="s">
        <v>17</v>
      </c>
      <c r="E58" s="12" t="s">
        <v>20</v>
      </c>
      <c r="F58" s="7"/>
      <c r="G58" s="5"/>
    </row>
    <row r="59" spans="1:7">
      <c r="A59" s="11">
        <v>10</v>
      </c>
      <c r="B59" s="12" t="str">
        <f>المدخلات!$F$4</f>
        <v>4:00–5:30 م</v>
      </c>
      <c r="C59" s="12">
        <v>2</v>
      </c>
      <c r="D59" s="12" t="s">
        <v>17</v>
      </c>
      <c r="E59" s="12" t="s">
        <v>19</v>
      </c>
      <c r="F59" s="7"/>
      <c r="G59" s="5"/>
    </row>
    <row r="60" spans="1:7">
      <c r="A60" s="11">
        <v>10</v>
      </c>
      <c r="B60" s="12" t="str">
        <f>المدخلات!$F$5</f>
        <v>5:40–7:10 م</v>
      </c>
      <c r="C60" s="12">
        <v>1</v>
      </c>
      <c r="D60" s="12" t="s">
        <v>89</v>
      </c>
      <c r="E60" s="12" t="s">
        <v>70</v>
      </c>
      <c r="F60" s="7"/>
      <c r="G60" s="5"/>
    </row>
    <row r="61" spans="1:7">
      <c r="A61" s="11">
        <v>10</v>
      </c>
      <c r="B61" s="12" t="str">
        <f>المدخلات!$F$5</f>
        <v>5:40–7:10 م</v>
      </c>
      <c r="C61" s="12">
        <v>2</v>
      </c>
      <c r="D61" s="12" t="s">
        <v>89</v>
      </c>
      <c r="E61" s="12" t="s">
        <v>60</v>
      </c>
      <c r="F61" s="7"/>
      <c r="G61" s="5"/>
    </row>
    <row r="62" spans="1:7">
      <c r="A62" s="11">
        <v>10</v>
      </c>
      <c r="B62" s="12" t="str">
        <f>المدخلات!$F$6</f>
        <v>7:20–8:50 م</v>
      </c>
      <c r="C62" s="12">
        <v>1</v>
      </c>
      <c r="D62" s="12" t="s">
        <v>89</v>
      </c>
      <c r="E62" s="12" t="s">
        <v>93</v>
      </c>
      <c r="F62" s="7"/>
      <c r="G62" s="5"/>
    </row>
    <row r="63" spans="1:7">
      <c r="A63" s="11">
        <v>10</v>
      </c>
      <c r="B63" s="12" t="str">
        <f>المدخلات!$F$6</f>
        <v>7:20–8:50 م</v>
      </c>
      <c r="C63" s="12">
        <v>2</v>
      </c>
      <c r="D63" s="12" t="s">
        <v>17</v>
      </c>
      <c r="E63" s="12" t="s">
        <v>39</v>
      </c>
      <c r="F63" s="7"/>
      <c r="G63" s="5"/>
    </row>
    <row r="64" spans="1:7">
      <c r="A64" s="11">
        <v>11</v>
      </c>
      <c r="B64" s="12" t="str">
        <f>المدخلات!$F$4</f>
        <v>4:00–5:30 م</v>
      </c>
      <c r="C64" s="12">
        <v>1</v>
      </c>
      <c r="D64" s="12" t="s">
        <v>17</v>
      </c>
      <c r="E64" s="12" t="s">
        <v>23</v>
      </c>
      <c r="F64" s="7"/>
      <c r="G64" s="5"/>
    </row>
    <row r="65" spans="1:7">
      <c r="A65" s="11">
        <v>11</v>
      </c>
      <c r="B65" s="12" t="str">
        <f>المدخلات!$F$4</f>
        <v>4:00–5:30 م</v>
      </c>
      <c r="C65" s="12">
        <v>2</v>
      </c>
      <c r="D65" s="12" t="s">
        <v>17</v>
      </c>
      <c r="E65" s="12" t="s">
        <v>18</v>
      </c>
      <c r="F65" s="7"/>
      <c r="G65" s="5"/>
    </row>
    <row r="66" spans="1:7">
      <c r="A66" s="11">
        <v>11</v>
      </c>
      <c r="B66" s="12" t="str">
        <f>المدخلات!$F$5</f>
        <v>5:40–7:10 م</v>
      </c>
      <c r="C66" s="12">
        <v>1</v>
      </c>
      <c r="D66" s="12" t="s">
        <v>17</v>
      </c>
      <c r="E66" s="12" t="s">
        <v>40</v>
      </c>
      <c r="F66" s="7"/>
      <c r="G66" s="5"/>
    </row>
    <row r="67" spans="1:7">
      <c r="A67" s="11">
        <v>11</v>
      </c>
      <c r="B67" s="12" t="str">
        <f>المدخلات!$F$5</f>
        <v>5:40–7:10 م</v>
      </c>
      <c r="C67" s="12">
        <v>2</v>
      </c>
      <c r="D67" s="12" t="s">
        <v>89</v>
      </c>
      <c r="E67" s="12" t="s">
        <v>70</v>
      </c>
      <c r="F67" s="7"/>
      <c r="G67" s="5"/>
    </row>
    <row r="68" spans="1:7">
      <c r="A68" s="11">
        <v>11</v>
      </c>
      <c r="B68" s="12" t="str">
        <f>المدخلات!$F$6</f>
        <v>7:20–8:50 م</v>
      </c>
      <c r="C68" s="12">
        <v>1</v>
      </c>
      <c r="D68" s="12" t="s">
        <v>89</v>
      </c>
      <c r="E68" s="12" t="s">
        <v>60</v>
      </c>
      <c r="F68" s="7"/>
      <c r="G68" s="5"/>
    </row>
    <row r="69" spans="1:7">
      <c r="A69" s="11">
        <v>11</v>
      </c>
      <c r="B69" s="12" t="str">
        <f>المدخلات!$F$6</f>
        <v>7:20–8:50 م</v>
      </c>
      <c r="C69" s="12">
        <v>2</v>
      </c>
      <c r="D69" s="12" t="s">
        <v>89</v>
      </c>
      <c r="E69" s="12" t="s">
        <v>93</v>
      </c>
      <c r="F69" s="7"/>
      <c r="G69" s="5"/>
    </row>
    <row r="70" spans="1:7">
      <c r="A70" s="11">
        <v>12</v>
      </c>
      <c r="B70" s="12" t="str">
        <f>المدخلات!$F$4</f>
        <v>4:00–5:30 م</v>
      </c>
      <c r="C70" s="12">
        <v>1</v>
      </c>
      <c r="D70" s="12" t="s">
        <v>17</v>
      </c>
      <c r="E70" s="12" t="s">
        <v>22</v>
      </c>
      <c r="F70" s="7"/>
      <c r="G70" s="5"/>
    </row>
    <row r="71" spans="1:7">
      <c r="A71" s="11">
        <v>12</v>
      </c>
      <c r="B71" s="12" t="str">
        <f>المدخلات!$F$4</f>
        <v>4:00–5:30 م</v>
      </c>
      <c r="C71" s="12">
        <v>2</v>
      </c>
      <c r="D71" s="12" t="s">
        <v>17</v>
      </c>
      <c r="E71" s="12" t="s">
        <v>41</v>
      </c>
      <c r="F71" s="7"/>
      <c r="G71" s="5"/>
    </row>
    <row r="72" spans="1:7">
      <c r="A72" s="11">
        <v>12</v>
      </c>
      <c r="B72" s="12" t="str">
        <f>المدخلات!$F$5</f>
        <v>5:40–7:10 م</v>
      </c>
      <c r="C72" s="12">
        <v>1</v>
      </c>
      <c r="D72" s="12" t="s">
        <v>17</v>
      </c>
      <c r="E72" s="12" t="s">
        <v>21</v>
      </c>
      <c r="F72" s="7"/>
      <c r="G72" s="5"/>
    </row>
    <row r="73" spans="1:7">
      <c r="A73" s="11">
        <v>12</v>
      </c>
      <c r="B73" s="12" t="str">
        <f>المدخلات!$F$5</f>
        <v>5:40–7:10 م</v>
      </c>
      <c r="C73" s="12">
        <v>2</v>
      </c>
      <c r="D73" s="12" t="s">
        <v>89</v>
      </c>
      <c r="E73" s="12" t="s">
        <v>94</v>
      </c>
      <c r="F73" s="7"/>
      <c r="G73" s="5"/>
    </row>
    <row r="74" spans="1:7">
      <c r="A74" s="11">
        <v>12</v>
      </c>
      <c r="B74" s="12" t="str">
        <f>المدخلات!$F$6</f>
        <v>7:20–8:50 م</v>
      </c>
      <c r="C74" s="12">
        <v>1</v>
      </c>
      <c r="D74" s="12" t="s">
        <v>89</v>
      </c>
      <c r="E74" s="12" t="s">
        <v>56</v>
      </c>
      <c r="F74" s="7"/>
      <c r="G74" s="5"/>
    </row>
    <row r="75" spans="1:7">
      <c r="A75" s="11">
        <v>12</v>
      </c>
      <c r="B75" s="12" t="str">
        <f>المدخلات!$F$6</f>
        <v>7:20–8:50 م</v>
      </c>
      <c r="C75" s="12">
        <v>2</v>
      </c>
      <c r="D75" s="12" t="s">
        <v>89</v>
      </c>
      <c r="E75" s="12" t="s">
        <v>84</v>
      </c>
      <c r="F75" s="7"/>
      <c r="G75" s="5"/>
    </row>
    <row r="76" spans="1:7">
      <c r="A76" s="11">
        <v>13</v>
      </c>
      <c r="B76" s="12" t="str">
        <f>المدخلات!$F$4</f>
        <v>4:00–5:30 م</v>
      </c>
      <c r="C76" s="12">
        <v>1</v>
      </c>
      <c r="D76" s="12" t="s">
        <v>17</v>
      </c>
      <c r="E76" s="12" t="s">
        <v>26</v>
      </c>
      <c r="F76" s="7"/>
      <c r="G76" s="5"/>
    </row>
    <row r="77" spans="1:7">
      <c r="A77" s="11">
        <v>13</v>
      </c>
      <c r="B77" s="12" t="str">
        <f>المدخلات!$F$4</f>
        <v>4:00–5:30 م</v>
      </c>
      <c r="C77" s="12">
        <v>2</v>
      </c>
      <c r="D77" s="12" t="s">
        <v>17</v>
      </c>
      <c r="E77" s="12" t="s">
        <v>25</v>
      </c>
      <c r="F77" s="7"/>
      <c r="G77" s="5"/>
    </row>
    <row r="78" spans="1:7">
      <c r="A78" s="11">
        <v>13</v>
      </c>
      <c r="B78" s="12" t="str">
        <f>المدخلات!$F$5</f>
        <v>5:40–7:10 م</v>
      </c>
      <c r="C78" s="12">
        <v>1</v>
      </c>
      <c r="D78" s="12" t="s">
        <v>17</v>
      </c>
      <c r="E78" s="12" t="s">
        <v>24</v>
      </c>
      <c r="F78" s="7"/>
      <c r="G78" s="5"/>
    </row>
    <row r="79" spans="1:7">
      <c r="A79" s="11">
        <v>13</v>
      </c>
      <c r="B79" s="12" t="str">
        <f>المدخلات!$F$5</f>
        <v>5:40–7:10 م</v>
      </c>
      <c r="C79" s="12">
        <v>2</v>
      </c>
      <c r="D79" s="12" t="s">
        <v>89</v>
      </c>
      <c r="E79" s="12" t="s">
        <v>85</v>
      </c>
      <c r="F79" s="7"/>
      <c r="G79" s="5"/>
    </row>
    <row r="80" spans="1:7">
      <c r="A80" s="11">
        <v>13</v>
      </c>
      <c r="B80" s="12" t="str">
        <f>المدخلات!$F$6</f>
        <v>7:20–8:50 م</v>
      </c>
      <c r="C80" s="12">
        <v>1</v>
      </c>
      <c r="D80" s="12" t="s">
        <v>89</v>
      </c>
      <c r="E80" s="12" t="s">
        <v>74</v>
      </c>
      <c r="F80" s="7"/>
      <c r="G80" s="5"/>
    </row>
    <row r="81" spans="1:7">
      <c r="A81" s="11">
        <v>13</v>
      </c>
      <c r="B81" s="12" t="str">
        <f>المدخلات!$F$6</f>
        <v>7:20–8:50 م</v>
      </c>
      <c r="C81" s="12">
        <v>2</v>
      </c>
      <c r="D81" s="12" t="s">
        <v>89</v>
      </c>
      <c r="E81" s="12" t="s">
        <v>90</v>
      </c>
      <c r="F81" s="7"/>
      <c r="G81" s="5"/>
    </row>
    <row r="82" spans="1:7">
      <c r="A82" s="11">
        <v>14</v>
      </c>
      <c r="B82" s="12" t="str">
        <f>المدخلات!$F$4</f>
        <v>4:00–5:30 م</v>
      </c>
      <c r="C82" s="12">
        <v>1</v>
      </c>
      <c r="D82" s="12" t="s">
        <v>17</v>
      </c>
      <c r="E82" s="12" t="s">
        <v>27</v>
      </c>
      <c r="F82" s="7"/>
      <c r="G82" s="5"/>
    </row>
    <row r="83" spans="1:7">
      <c r="A83" s="11">
        <v>14</v>
      </c>
      <c r="B83" s="12" t="str">
        <f>المدخلات!$F$4</f>
        <v>4:00–5:30 م</v>
      </c>
      <c r="C83" s="12">
        <v>2</v>
      </c>
      <c r="D83" s="12" t="s">
        <v>17</v>
      </c>
      <c r="E83" s="12" t="s">
        <v>42</v>
      </c>
      <c r="F83" s="7"/>
      <c r="G83" s="5"/>
    </row>
    <row r="84" spans="1:7">
      <c r="A84" s="11">
        <v>14</v>
      </c>
      <c r="B84" s="12" t="str">
        <f>المدخلات!$F$5</f>
        <v>5:40–7:10 م</v>
      </c>
      <c r="C84" s="12">
        <v>1</v>
      </c>
      <c r="D84" s="12" t="s">
        <v>17</v>
      </c>
      <c r="E84" s="12" t="s">
        <v>28</v>
      </c>
      <c r="F84" s="7"/>
      <c r="G84" s="5"/>
    </row>
    <row r="85" spans="1:7">
      <c r="A85" s="11">
        <v>14</v>
      </c>
      <c r="B85" s="12" t="str">
        <f>المدخلات!$F$5</f>
        <v>5:40–7:10 م</v>
      </c>
      <c r="C85" s="12">
        <v>2</v>
      </c>
      <c r="D85" s="12" t="s">
        <v>89</v>
      </c>
      <c r="E85" s="12" t="s">
        <v>91</v>
      </c>
      <c r="F85" s="7"/>
      <c r="G85" s="5"/>
    </row>
    <row r="86" spans="1:7">
      <c r="A86" s="11">
        <v>14</v>
      </c>
      <c r="B86" s="12" t="str">
        <f>المدخلات!$F$6</f>
        <v>7:20–8:50 م</v>
      </c>
      <c r="C86" s="12">
        <v>1</v>
      </c>
      <c r="D86" s="12" t="s">
        <v>89</v>
      </c>
      <c r="E86" s="12" t="s">
        <v>64</v>
      </c>
      <c r="F86" s="7"/>
      <c r="G86" s="5"/>
    </row>
    <row r="87" spans="1:7">
      <c r="A87" s="11">
        <v>14</v>
      </c>
      <c r="B87" s="12" t="str">
        <f>المدخلات!$F$6</f>
        <v>7:20–8:50 م</v>
      </c>
      <c r="C87" s="12">
        <v>2</v>
      </c>
      <c r="D87" s="12" t="s">
        <v>89</v>
      </c>
      <c r="E87" s="12" t="s">
        <v>80</v>
      </c>
      <c r="F87" s="7"/>
      <c r="G87" s="5"/>
    </row>
    <row r="88" spans="1:7">
      <c r="A88" s="11">
        <v>15</v>
      </c>
      <c r="B88" s="12" t="str">
        <f>المدخلات!$F$4</f>
        <v>4:00–5:30 م</v>
      </c>
      <c r="C88" s="12">
        <v>1</v>
      </c>
      <c r="D88" s="12" t="s">
        <v>89</v>
      </c>
      <c r="E88" s="12" t="s">
        <v>75</v>
      </c>
      <c r="F88" s="7"/>
      <c r="G88" s="5"/>
    </row>
    <row r="89" spans="1:7">
      <c r="A89" s="11">
        <v>15</v>
      </c>
      <c r="B89" s="12" t="str">
        <f>المدخلات!$F$4</f>
        <v>4:00–5:30 م</v>
      </c>
      <c r="C89" s="12">
        <v>2</v>
      </c>
      <c r="D89" s="12" t="s">
        <v>89</v>
      </c>
      <c r="E89" s="12" t="s">
        <v>79</v>
      </c>
      <c r="F89" s="7"/>
      <c r="G89" s="5"/>
    </row>
    <row r="90" spans="1:7">
      <c r="A90" s="11">
        <v>15</v>
      </c>
      <c r="B90" s="12" t="str">
        <f>المدخلات!$F$5</f>
        <v>5:40–7:10 م</v>
      </c>
      <c r="C90" s="12">
        <v>1</v>
      </c>
      <c r="D90" s="12" t="s">
        <v>89</v>
      </c>
      <c r="E90" s="12" t="s">
        <v>92</v>
      </c>
      <c r="F90" s="7"/>
      <c r="G90" s="5"/>
    </row>
    <row r="91" spans="1:7">
      <c r="A91" s="11">
        <v>15</v>
      </c>
      <c r="B91" s="12" t="str">
        <f>المدخلات!$F$5</f>
        <v>5:40–7:10 م</v>
      </c>
      <c r="C91" s="12">
        <v>2</v>
      </c>
      <c r="D91" s="12" t="s">
        <v>17</v>
      </c>
      <c r="E91" s="12" t="s">
        <v>42</v>
      </c>
      <c r="F91" s="7"/>
      <c r="G91" s="5"/>
    </row>
    <row r="92" spans="1:7">
      <c r="A92" s="11">
        <v>15</v>
      </c>
      <c r="B92" s="12" t="str">
        <f>المدخلات!$F$6</f>
        <v>7:20–8:50 م</v>
      </c>
      <c r="C92" s="12">
        <v>1</v>
      </c>
      <c r="D92" s="12" t="s">
        <v>17</v>
      </c>
      <c r="E92" s="12" t="s">
        <v>27</v>
      </c>
      <c r="F92" s="7"/>
      <c r="G92" s="5"/>
    </row>
    <row r="93" spans="1:7">
      <c r="A93" s="11">
        <v>15</v>
      </c>
      <c r="B93" s="12" t="str">
        <f>المدخلات!$F$6</f>
        <v>7:20–8:50 م</v>
      </c>
      <c r="C93" s="12">
        <v>2</v>
      </c>
      <c r="D93" s="12" t="s">
        <v>17</v>
      </c>
      <c r="E93" s="12" t="s">
        <v>28</v>
      </c>
      <c r="F93" s="7"/>
      <c r="G93" s="5"/>
    </row>
    <row r="94" spans="1:7">
      <c r="A94" s="11">
        <v>16</v>
      </c>
      <c r="B94" s="12" t="str">
        <f>المدخلات!$F$4</f>
        <v>4:00–5:30 م</v>
      </c>
      <c r="C94" s="12">
        <v>1</v>
      </c>
      <c r="D94" s="12" t="s">
        <v>17</v>
      </c>
      <c r="E94" s="12" t="s">
        <v>43</v>
      </c>
      <c r="F94" s="7"/>
      <c r="G94" s="5"/>
    </row>
    <row r="95" spans="1:7">
      <c r="A95" s="11">
        <v>16</v>
      </c>
      <c r="B95" s="12" t="str">
        <f>المدخلات!$F$4</f>
        <v>4:00–5:30 م</v>
      </c>
      <c r="C95" s="12">
        <v>2</v>
      </c>
      <c r="D95" s="12" t="s">
        <v>17</v>
      </c>
      <c r="E95" s="12" t="s">
        <v>30</v>
      </c>
      <c r="F95" s="7"/>
      <c r="G95" s="5"/>
    </row>
    <row r="96" spans="1:7">
      <c r="A96" s="11">
        <v>16</v>
      </c>
      <c r="B96" s="12" t="str">
        <f>المدخلات!$F$5</f>
        <v>5:40–7:10 م</v>
      </c>
      <c r="C96" s="12">
        <v>1</v>
      </c>
      <c r="D96" s="12" t="s">
        <v>17</v>
      </c>
      <c r="E96" s="12" t="s">
        <v>29</v>
      </c>
      <c r="F96" s="7"/>
      <c r="G96" s="5"/>
    </row>
    <row r="97" spans="1:7">
      <c r="A97" s="11">
        <v>16</v>
      </c>
      <c r="B97" s="12" t="str">
        <f>المدخلات!$F$5</f>
        <v>5:40–7:10 م</v>
      </c>
      <c r="C97" s="12">
        <v>2</v>
      </c>
      <c r="D97" s="12" t="s">
        <v>89</v>
      </c>
      <c r="E97" s="12" t="s">
        <v>75</v>
      </c>
      <c r="F97" s="7"/>
      <c r="G97" s="5"/>
    </row>
    <row r="98" spans="1:7">
      <c r="A98" s="11">
        <v>16</v>
      </c>
      <c r="B98" s="12" t="str">
        <f>المدخلات!$F$6</f>
        <v>7:20–8:50 م</v>
      </c>
      <c r="C98" s="12">
        <v>1</v>
      </c>
      <c r="D98" s="12" t="s">
        <v>89</v>
      </c>
      <c r="E98" s="12" t="s">
        <v>79</v>
      </c>
      <c r="F98" s="7"/>
      <c r="G98" s="5"/>
    </row>
    <row r="99" spans="1:7">
      <c r="A99" s="11">
        <v>16</v>
      </c>
      <c r="B99" s="12" t="str">
        <f>المدخلات!$F$6</f>
        <v>7:20–8:50 م</v>
      </c>
      <c r="C99" s="12">
        <v>2</v>
      </c>
      <c r="D99" s="12" t="s">
        <v>89</v>
      </c>
      <c r="E99" s="12" t="s">
        <v>92</v>
      </c>
      <c r="F99" s="7"/>
      <c r="G99" s="5"/>
    </row>
    <row r="100" spans="1:7">
      <c r="A100" s="11">
        <v>17</v>
      </c>
      <c r="B100" s="12" t="str">
        <f>المدخلات!$F$4</f>
        <v>4:00–5:30 م</v>
      </c>
      <c r="C100" s="12">
        <v>1</v>
      </c>
      <c r="D100" s="12" t="s">
        <v>17</v>
      </c>
      <c r="E100" s="12" t="s">
        <v>38</v>
      </c>
      <c r="F100" s="7"/>
      <c r="G100" s="5"/>
    </row>
    <row r="101" spans="1:7">
      <c r="A101" s="11">
        <v>17</v>
      </c>
      <c r="B101" s="12" t="str">
        <f>المدخلات!$F$4</f>
        <v>4:00–5:30 م</v>
      </c>
      <c r="C101" s="12">
        <v>2</v>
      </c>
      <c r="D101" s="12" t="s">
        <v>17</v>
      </c>
      <c r="E101" s="12" t="s">
        <v>32</v>
      </c>
      <c r="F101" s="7"/>
      <c r="G101" s="5"/>
    </row>
    <row r="102" spans="1:7">
      <c r="A102" s="11">
        <v>17</v>
      </c>
      <c r="B102" s="12" t="str">
        <f>المدخلات!$F$5</f>
        <v>5:40–7:10 م</v>
      </c>
      <c r="C102" s="12">
        <v>1</v>
      </c>
      <c r="D102" s="12" t="s">
        <v>17</v>
      </c>
      <c r="E102" s="12" t="s">
        <v>31</v>
      </c>
      <c r="F102" s="7"/>
      <c r="G102" s="5"/>
    </row>
    <row r="103" spans="1:7">
      <c r="A103" s="11">
        <v>17</v>
      </c>
      <c r="B103" s="12" t="str">
        <f>المدخلات!$F$5</f>
        <v>5:40–7:10 م</v>
      </c>
      <c r="C103" s="12">
        <v>2</v>
      </c>
      <c r="D103" s="12" t="s">
        <v>89</v>
      </c>
      <c r="E103" s="12" t="s">
        <v>60</v>
      </c>
      <c r="F103" s="7"/>
      <c r="G103" s="5"/>
    </row>
    <row r="104" spans="1:7">
      <c r="A104" s="11">
        <v>17</v>
      </c>
      <c r="B104" s="12" t="str">
        <f>المدخلات!$F$6</f>
        <v>7:20–8:50 م</v>
      </c>
      <c r="C104" s="12">
        <v>1</v>
      </c>
      <c r="D104" s="12" t="s">
        <v>89</v>
      </c>
      <c r="E104" s="12" t="s">
        <v>93</v>
      </c>
      <c r="F104" s="7"/>
      <c r="G104" s="5"/>
    </row>
    <row r="105" spans="1:7">
      <c r="A105" s="11">
        <v>17</v>
      </c>
      <c r="B105" s="12" t="str">
        <f>المدخلات!$F$6</f>
        <v>7:20–8:50 م</v>
      </c>
      <c r="C105" s="12">
        <v>2</v>
      </c>
      <c r="D105" s="12" t="s">
        <v>89</v>
      </c>
      <c r="E105" s="12" t="s">
        <v>70</v>
      </c>
      <c r="F105" s="7"/>
      <c r="G105" s="5"/>
    </row>
    <row r="106" spans="1:7">
      <c r="A106" s="11">
        <v>18</v>
      </c>
      <c r="B106" s="12" t="str">
        <f>المدخلات!$F$4</f>
        <v>4:00–5:30 م</v>
      </c>
      <c r="C106" s="12">
        <v>1</v>
      </c>
      <c r="D106" s="12" t="s">
        <v>17</v>
      </c>
      <c r="E106" s="12" t="s">
        <v>19</v>
      </c>
      <c r="F106" s="7"/>
      <c r="G106" s="5"/>
    </row>
    <row r="107" spans="1:7">
      <c r="A107" s="11">
        <v>18</v>
      </c>
      <c r="B107" s="12" t="str">
        <f>المدخلات!$F$4</f>
        <v>4:00–5:30 م</v>
      </c>
      <c r="C107" s="12">
        <v>2</v>
      </c>
      <c r="D107" s="12" t="s">
        <v>17</v>
      </c>
      <c r="E107" s="12" t="s">
        <v>39</v>
      </c>
      <c r="F107" s="7"/>
      <c r="G107" s="5"/>
    </row>
    <row r="108" spans="1:7">
      <c r="A108" s="11">
        <v>18</v>
      </c>
      <c r="B108" s="12" t="str">
        <f>المدخلات!$F$5</f>
        <v>5:40–7:10 م</v>
      </c>
      <c r="C108" s="12">
        <v>1</v>
      </c>
      <c r="D108" s="12" t="s">
        <v>17</v>
      </c>
      <c r="E108" s="12" t="s">
        <v>20</v>
      </c>
      <c r="F108" s="7"/>
      <c r="G108" s="5"/>
    </row>
    <row r="109" spans="1:7">
      <c r="A109" s="11">
        <v>18</v>
      </c>
      <c r="B109" s="12" t="str">
        <f>المدخلات!$F$5</f>
        <v>5:40–7:10 م</v>
      </c>
      <c r="C109" s="12">
        <v>2</v>
      </c>
      <c r="D109" s="12" t="s">
        <v>89</v>
      </c>
      <c r="E109" s="12" t="s">
        <v>94</v>
      </c>
      <c r="F109" s="7"/>
      <c r="G109" s="5"/>
    </row>
    <row r="110" spans="1:7">
      <c r="A110" s="11">
        <v>18</v>
      </c>
      <c r="B110" s="12" t="str">
        <f>المدخلات!$F$6</f>
        <v>7:20–8:50 م</v>
      </c>
      <c r="C110" s="12">
        <v>1</v>
      </c>
      <c r="D110" s="12" t="s">
        <v>89</v>
      </c>
      <c r="E110" s="12" t="s">
        <v>84</v>
      </c>
      <c r="F110" s="7"/>
      <c r="G110" s="5"/>
    </row>
    <row r="111" spans="1:7">
      <c r="A111" s="11">
        <v>18</v>
      </c>
      <c r="B111" s="12" t="str">
        <f>المدخلات!$F$6</f>
        <v>7:20–8:50 م</v>
      </c>
      <c r="C111" s="12">
        <v>2</v>
      </c>
      <c r="D111" s="12" t="s">
        <v>89</v>
      </c>
      <c r="E111" s="12" t="s">
        <v>56</v>
      </c>
      <c r="F111" s="7"/>
      <c r="G111" s="5"/>
    </row>
    <row r="112" spans="1:7">
      <c r="A112" s="11">
        <v>19</v>
      </c>
      <c r="B112" s="12" t="str">
        <f>المدخلات!$F$4</f>
        <v>4:00–5:30 م</v>
      </c>
      <c r="C112" s="12">
        <v>1</v>
      </c>
      <c r="D112" s="12" t="s">
        <v>17</v>
      </c>
      <c r="E112" s="12" t="s">
        <v>18</v>
      </c>
      <c r="F112" s="7"/>
      <c r="G112" s="5"/>
    </row>
    <row r="113" spans="1:7">
      <c r="A113" s="11">
        <v>19</v>
      </c>
      <c r="B113" s="12" t="str">
        <f>المدخلات!$F$4</f>
        <v>4:00–5:30 م</v>
      </c>
      <c r="C113" s="12">
        <v>2</v>
      </c>
      <c r="D113" s="12" t="s">
        <v>17</v>
      </c>
      <c r="E113" s="12" t="s">
        <v>23</v>
      </c>
      <c r="F113" s="7"/>
      <c r="G113" s="5"/>
    </row>
    <row r="114" spans="1:7">
      <c r="A114" s="11">
        <v>19</v>
      </c>
      <c r="B114" s="12" t="str">
        <f>المدخلات!$F$5</f>
        <v>5:40–7:10 م</v>
      </c>
      <c r="C114" s="12">
        <v>1</v>
      </c>
      <c r="D114" s="12" t="s">
        <v>17</v>
      </c>
      <c r="E114" s="12" t="s">
        <v>40</v>
      </c>
      <c r="F114" s="7"/>
      <c r="G114" s="5"/>
    </row>
    <row r="115" spans="1:7">
      <c r="A115" s="11">
        <v>19</v>
      </c>
      <c r="B115" s="12" t="str">
        <f>المدخلات!$F$5</f>
        <v>5:40–7:10 م</v>
      </c>
      <c r="C115" s="12">
        <v>2</v>
      </c>
      <c r="D115" s="12" t="s">
        <v>89</v>
      </c>
      <c r="E115" s="12" t="s">
        <v>85</v>
      </c>
      <c r="F115" s="7"/>
      <c r="G115" s="5"/>
    </row>
    <row r="116" spans="1:7">
      <c r="A116" s="11">
        <v>19</v>
      </c>
      <c r="B116" s="12" t="str">
        <f>المدخلات!$F$6</f>
        <v>7:20–8:50 م</v>
      </c>
      <c r="C116" s="12">
        <v>1</v>
      </c>
      <c r="D116" s="12" t="s">
        <v>89</v>
      </c>
      <c r="E116" s="12" t="s">
        <v>90</v>
      </c>
      <c r="F116" s="7"/>
      <c r="G116" s="5"/>
    </row>
    <row r="117" spans="1:7">
      <c r="A117" s="11">
        <v>19</v>
      </c>
      <c r="B117" s="12" t="str">
        <f>المدخلات!$F$6</f>
        <v>7:20–8:50 م</v>
      </c>
      <c r="C117" s="12">
        <v>2</v>
      </c>
      <c r="D117" s="12" t="s">
        <v>89</v>
      </c>
      <c r="E117" s="12" t="s">
        <v>74</v>
      </c>
      <c r="F117" s="7"/>
      <c r="G117" s="5"/>
    </row>
    <row r="118" spans="1:7">
      <c r="A118" s="11">
        <v>20</v>
      </c>
      <c r="B118" s="12" t="str">
        <f>المدخلات!$F$4</f>
        <v>4:00–5:30 م</v>
      </c>
      <c r="C118" s="12">
        <v>1</v>
      </c>
      <c r="D118" s="12" t="s">
        <v>17</v>
      </c>
      <c r="E118" s="12" t="s">
        <v>21</v>
      </c>
      <c r="F118" s="7"/>
      <c r="G118" s="5"/>
    </row>
    <row r="119" spans="1:7">
      <c r="A119" s="11">
        <v>20</v>
      </c>
      <c r="B119" s="12" t="str">
        <f>المدخلات!$F$4</f>
        <v>4:00–5:30 م</v>
      </c>
      <c r="C119" s="12">
        <v>2</v>
      </c>
      <c r="D119" s="12" t="s">
        <v>17</v>
      </c>
      <c r="E119" s="12" t="s">
        <v>22</v>
      </c>
      <c r="F119" s="7"/>
      <c r="G119" s="5"/>
    </row>
    <row r="120" spans="1:7">
      <c r="A120" s="11">
        <v>20</v>
      </c>
      <c r="B120" s="12" t="str">
        <f>المدخلات!$F$5</f>
        <v>5:40–7:10 م</v>
      </c>
      <c r="C120" s="12">
        <v>1</v>
      </c>
      <c r="D120" s="12" t="s">
        <v>17</v>
      </c>
      <c r="E120" s="12" t="s">
        <v>41</v>
      </c>
      <c r="F120" s="7"/>
      <c r="G120" s="5"/>
    </row>
    <row r="121" spans="1:7">
      <c r="A121" s="11">
        <v>20</v>
      </c>
      <c r="B121" s="12" t="str">
        <f>المدخلات!$F$5</f>
        <v>5:40–7:10 م</v>
      </c>
      <c r="C121" s="12">
        <v>2</v>
      </c>
      <c r="D121" s="12" t="s">
        <v>89</v>
      </c>
      <c r="E121" s="12" t="s">
        <v>80</v>
      </c>
      <c r="F121" s="7"/>
      <c r="G121" s="5"/>
    </row>
    <row r="122" spans="1:7">
      <c r="A122" s="11">
        <v>20</v>
      </c>
      <c r="B122" s="12" t="str">
        <f>المدخلات!$F$6</f>
        <v>7:20–8:50 م</v>
      </c>
      <c r="C122" s="12">
        <v>1</v>
      </c>
      <c r="D122" s="12" t="s">
        <v>89</v>
      </c>
      <c r="E122" s="12" t="s">
        <v>91</v>
      </c>
      <c r="F122" s="7"/>
      <c r="G122" s="5"/>
    </row>
    <row r="123" spans="1:7">
      <c r="A123" s="11">
        <v>20</v>
      </c>
      <c r="B123" s="12" t="str">
        <f>المدخلات!$F$6</f>
        <v>7:20–8:50 م</v>
      </c>
      <c r="C123" s="12">
        <v>2</v>
      </c>
      <c r="D123" s="12" t="s">
        <v>89</v>
      </c>
      <c r="E123" s="12" t="s">
        <v>64</v>
      </c>
      <c r="F123" s="7"/>
      <c r="G123" s="5"/>
    </row>
    <row r="124" spans="1:7">
      <c r="A124" s="11">
        <v>21</v>
      </c>
      <c r="B124" s="12" t="str">
        <f>المدخلات!$F$4</f>
        <v>4:00–5:30 م</v>
      </c>
      <c r="C124" s="12">
        <v>1</v>
      </c>
      <c r="D124" s="12" t="s">
        <v>17</v>
      </c>
      <c r="E124" s="12" t="s">
        <v>26</v>
      </c>
      <c r="F124" s="7"/>
      <c r="G124" s="5"/>
    </row>
    <row r="125" spans="1:7">
      <c r="A125" s="11">
        <v>21</v>
      </c>
      <c r="B125" s="12" t="str">
        <f>المدخلات!$F$4</f>
        <v>4:00–5:30 م</v>
      </c>
      <c r="C125" s="12">
        <v>2</v>
      </c>
      <c r="D125" s="12" t="s">
        <v>17</v>
      </c>
      <c r="E125" s="12" t="s">
        <v>25</v>
      </c>
      <c r="F125" s="7"/>
      <c r="G125" s="5"/>
    </row>
    <row r="126" spans="1:7">
      <c r="A126" s="11">
        <v>21</v>
      </c>
      <c r="B126" s="12" t="str">
        <f>المدخلات!$F$5</f>
        <v>5:40–7:10 م</v>
      </c>
      <c r="C126" s="12">
        <v>1</v>
      </c>
      <c r="D126" s="12" t="s">
        <v>17</v>
      </c>
      <c r="E126" s="12" t="s">
        <v>24</v>
      </c>
      <c r="F126" s="7"/>
      <c r="G126" s="5"/>
    </row>
    <row r="127" spans="1:7">
      <c r="A127" s="11">
        <v>22</v>
      </c>
      <c r="B127" s="12" t="str">
        <f>المدخلات!$F$4</f>
        <v>4:00–5:30 م</v>
      </c>
      <c r="C127" s="12">
        <v>1</v>
      </c>
      <c r="D127" s="12" t="s">
        <v>95</v>
      </c>
      <c r="E127" s="12" t="s">
        <v>96</v>
      </c>
      <c r="F127" s="7"/>
      <c r="G127" s="5"/>
    </row>
    <row r="128" spans="1:7">
      <c r="A128" s="5"/>
      <c r="B128" s="5"/>
      <c r="C128" s="5"/>
      <c r="D128" s="5"/>
      <c r="E128" s="5"/>
      <c r="F128" s="5"/>
      <c r="G128" s="5"/>
    </row>
    <row r="129" spans="1:14">
      <c r="A129" s="5"/>
      <c r="B129" s="5"/>
      <c r="C129" s="5"/>
      <c r="D129" s="5"/>
      <c r="E129" s="5"/>
      <c r="F129" s="5"/>
      <c r="G129" s="5"/>
    </row>
    <row r="130" spans="1:14" ht="15.5">
      <c r="A130" s="52" t="s">
        <v>363</v>
      </c>
      <c r="B130" s="52"/>
      <c r="C130" s="52"/>
      <c r="D130" s="52"/>
      <c r="E130" s="52"/>
      <c r="F130" s="52"/>
      <c r="G130" s="52"/>
      <c r="H130" s="52"/>
      <c r="I130" s="52"/>
      <c r="J130" s="52"/>
      <c r="K130" s="52"/>
      <c r="L130" s="52"/>
      <c r="M130" s="52"/>
      <c r="N130" s="52"/>
    </row>
    <row r="131" spans="1:14">
      <c r="A131" s="9" t="s">
        <v>362</v>
      </c>
      <c r="B131" s="9">
        <v>1</v>
      </c>
      <c r="C131" s="9">
        <v>2</v>
      </c>
      <c r="D131" s="9">
        <v>3</v>
      </c>
      <c r="E131" s="9">
        <v>4</v>
      </c>
      <c r="F131" s="9">
        <v>5</v>
      </c>
      <c r="G131" s="9">
        <v>6</v>
      </c>
      <c r="H131" s="9">
        <v>7</v>
      </c>
      <c r="I131" s="9">
        <v>8</v>
      </c>
      <c r="J131" s="9">
        <v>9</v>
      </c>
      <c r="K131" s="9">
        <v>10</v>
      </c>
      <c r="L131" s="9">
        <v>11</v>
      </c>
      <c r="M131" s="9">
        <v>12</v>
      </c>
      <c r="N131" s="9">
        <v>13</v>
      </c>
    </row>
    <row r="132" spans="1:14">
      <c r="A132" s="9">
        <v>1</v>
      </c>
      <c r="B132" s="12" t="str">
        <f t="shared" ref="B132:N144" si="0">IF($A132=B$131,"",COUNTIF($E$4:$E$127,$A132&amp;" ضد "&amp;B$131)+COUNTIF($E$4:$E$127,B$131&amp;" ضد "&amp;$A132))</f>
        <v/>
      </c>
      <c r="C132" s="12">
        <f t="shared" si="0"/>
        <v>3</v>
      </c>
      <c r="D132" s="12">
        <f t="shared" si="0"/>
        <v>3</v>
      </c>
      <c r="E132" s="12">
        <f t="shared" si="0"/>
        <v>3</v>
      </c>
      <c r="F132" s="12">
        <f t="shared" si="0"/>
        <v>3</v>
      </c>
      <c r="G132" s="12">
        <f t="shared" si="0"/>
        <v>3</v>
      </c>
      <c r="H132" s="12">
        <f t="shared" si="0"/>
        <v>3</v>
      </c>
      <c r="I132" s="12">
        <f t="shared" si="0"/>
        <v>0</v>
      </c>
      <c r="J132" s="12">
        <f t="shared" si="0"/>
        <v>0</v>
      </c>
      <c r="K132" s="12">
        <f t="shared" si="0"/>
        <v>0</v>
      </c>
      <c r="L132" s="12">
        <f t="shared" si="0"/>
        <v>0</v>
      </c>
      <c r="M132" s="12">
        <f t="shared" si="0"/>
        <v>0</v>
      </c>
      <c r="N132" s="12">
        <f t="shared" si="0"/>
        <v>0</v>
      </c>
    </row>
    <row r="133" spans="1:14">
      <c r="A133" s="9">
        <v>2</v>
      </c>
      <c r="B133" s="12">
        <f t="shared" si="0"/>
        <v>3</v>
      </c>
      <c r="C133" s="12" t="str">
        <f t="shared" si="0"/>
        <v/>
      </c>
      <c r="D133" s="12">
        <f t="shared" si="0"/>
        <v>3</v>
      </c>
      <c r="E133" s="12">
        <f t="shared" si="0"/>
        <v>3</v>
      </c>
      <c r="F133" s="12">
        <f t="shared" si="0"/>
        <v>3</v>
      </c>
      <c r="G133" s="12">
        <f t="shared" si="0"/>
        <v>3</v>
      </c>
      <c r="H133" s="12">
        <f t="shared" si="0"/>
        <v>3</v>
      </c>
      <c r="I133" s="12">
        <f t="shared" si="0"/>
        <v>0</v>
      </c>
      <c r="J133" s="12">
        <f t="shared" si="0"/>
        <v>0</v>
      </c>
      <c r="K133" s="12">
        <f t="shared" si="0"/>
        <v>0</v>
      </c>
      <c r="L133" s="12">
        <f t="shared" si="0"/>
        <v>0</v>
      </c>
      <c r="M133" s="12">
        <f t="shared" si="0"/>
        <v>0</v>
      </c>
      <c r="N133" s="12">
        <f t="shared" si="0"/>
        <v>0</v>
      </c>
    </row>
    <row r="134" spans="1:14">
      <c r="A134" s="9">
        <v>3</v>
      </c>
      <c r="B134" s="12">
        <f t="shared" si="0"/>
        <v>3</v>
      </c>
      <c r="C134" s="12">
        <f t="shared" si="0"/>
        <v>3</v>
      </c>
      <c r="D134" s="12" t="str">
        <f t="shared" si="0"/>
        <v/>
      </c>
      <c r="E134" s="12">
        <f t="shared" si="0"/>
        <v>3</v>
      </c>
      <c r="F134" s="12">
        <f t="shared" si="0"/>
        <v>3</v>
      </c>
      <c r="G134" s="12">
        <f t="shared" si="0"/>
        <v>3</v>
      </c>
      <c r="H134" s="12">
        <f t="shared" si="0"/>
        <v>3</v>
      </c>
      <c r="I134" s="12">
        <f t="shared" si="0"/>
        <v>0</v>
      </c>
      <c r="J134" s="12">
        <f t="shared" si="0"/>
        <v>0</v>
      </c>
      <c r="K134" s="12">
        <f t="shared" si="0"/>
        <v>0</v>
      </c>
      <c r="L134" s="12">
        <f t="shared" si="0"/>
        <v>0</v>
      </c>
      <c r="M134" s="12">
        <f t="shared" si="0"/>
        <v>0</v>
      </c>
      <c r="N134" s="12">
        <f t="shared" si="0"/>
        <v>0</v>
      </c>
    </row>
    <row r="135" spans="1:14">
      <c r="A135" s="9">
        <v>4</v>
      </c>
      <c r="B135" s="12">
        <f t="shared" si="0"/>
        <v>3</v>
      </c>
      <c r="C135" s="12">
        <f t="shared" si="0"/>
        <v>3</v>
      </c>
      <c r="D135" s="12">
        <f t="shared" si="0"/>
        <v>3</v>
      </c>
      <c r="E135" s="12" t="str">
        <f t="shared" si="0"/>
        <v/>
      </c>
      <c r="F135" s="12">
        <f t="shared" si="0"/>
        <v>3</v>
      </c>
      <c r="G135" s="12">
        <f t="shared" si="0"/>
        <v>3</v>
      </c>
      <c r="H135" s="12">
        <f t="shared" si="0"/>
        <v>3</v>
      </c>
      <c r="I135" s="12">
        <f t="shared" si="0"/>
        <v>0</v>
      </c>
      <c r="J135" s="12">
        <f t="shared" si="0"/>
        <v>0</v>
      </c>
      <c r="K135" s="12">
        <f t="shared" si="0"/>
        <v>0</v>
      </c>
      <c r="L135" s="12">
        <f t="shared" si="0"/>
        <v>0</v>
      </c>
      <c r="M135" s="12">
        <f t="shared" si="0"/>
        <v>0</v>
      </c>
      <c r="N135" s="12">
        <f t="shared" si="0"/>
        <v>0</v>
      </c>
    </row>
    <row r="136" spans="1:14">
      <c r="A136" s="9">
        <v>5</v>
      </c>
      <c r="B136" s="12">
        <f t="shared" si="0"/>
        <v>3</v>
      </c>
      <c r="C136" s="12">
        <f t="shared" si="0"/>
        <v>3</v>
      </c>
      <c r="D136" s="12">
        <f t="shared" si="0"/>
        <v>3</v>
      </c>
      <c r="E136" s="12">
        <f t="shared" si="0"/>
        <v>3</v>
      </c>
      <c r="F136" s="12" t="str">
        <f t="shared" si="0"/>
        <v/>
      </c>
      <c r="G136" s="12">
        <f t="shared" si="0"/>
        <v>3</v>
      </c>
      <c r="H136" s="12">
        <f t="shared" si="0"/>
        <v>3</v>
      </c>
      <c r="I136" s="12">
        <f t="shared" si="0"/>
        <v>0</v>
      </c>
      <c r="J136" s="12">
        <f t="shared" si="0"/>
        <v>0</v>
      </c>
      <c r="K136" s="12">
        <f t="shared" si="0"/>
        <v>0</v>
      </c>
      <c r="L136" s="12">
        <f t="shared" si="0"/>
        <v>0</v>
      </c>
      <c r="M136" s="12">
        <f t="shared" si="0"/>
        <v>0</v>
      </c>
      <c r="N136" s="12">
        <f t="shared" si="0"/>
        <v>0</v>
      </c>
    </row>
    <row r="137" spans="1:14">
      <c r="A137" s="9">
        <v>6</v>
      </c>
      <c r="B137" s="12">
        <f t="shared" si="0"/>
        <v>3</v>
      </c>
      <c r="C137" s="12">
        <f t="shared" si="0"/>
        <v>3</v>
      </c>
      <c r="D137" s="12">
        <f t="shared" si="0"/>
        <v>3</v>
      </c>
      <c r="E137" s="12">
        <f t="shared" si="0"/>
        <v>3</v>
      </c>
      <c r="F137" s="12">
        <f t="shared" si="0"/>
        <v>3</v>
      </c>
      <c r="G137" s="12" t="str">
        <f t="shared" si="0"/>
        <v/>
      </c>
      <c r="H137" s="12">
        <f t="shared" si="0"/>
        <v>3</v>
      </c>
      <c r="I137" s="12">
        <f t="shared" si="0"/>
        <v>0</v>
      </c>
      <c r="J137" s="12">
        <f t="shared" si="0"/>
        <v>0</v>
      </c>
      <c r="K137" s="12">
        <f t="shared" si="0"/>
        <v>0</v>
      </c>
      <c r="L137" s="12">
        <f t="shared" si="0"/>
        <v>0</v>
      </c>
      <c r="M137" s="12">
        <f t="shared" si="0"/>
        <v>0</v>
      </c>
      <c r="N137" s="12">
        <f t="shared" si="0"/>
        <v>0</v>
      </c>
    </row>
    <row r="138" spans="1:14">
      <c r="A138" s="9">
        <v>7</v>
      </c>
      <c r="B138" s="12">
        <f t="shared" si="0"/>
        <v>3</v>
      </c>
      <c r="C138" s="12">
        <f t="shared" si="0"/>
        <v>3</v>
      </c>
      <c r="D138" s="12">
        <f t="shared" si="0"/>
        <v>3</v>
      </c>
      <c r="E138" s="12">
        <f t="shared" si="0"/>
        <v>3</v>
      </c>
      <c r="F138" s="12">
        <f t="shared" si="0"/>
        <v>3</v>
      </c>
      <c r="G138" s="12">
        <f t="shared" si="0"/>
        <v>3</v>
      </c>
      <c r="H138" s="12" t="str">
        <f t="shared" si="0"/>
        <v/>
      </c>
      <c r="I138" s="12">
        <f t="shared" si="0"/>
        <v>0</v>
      </c>
      <c r="J138" s="12">
        <f t="shared" si="0"/>
        <v>0</v>
      </c>
      <c r="K138" s="12">
        <f t="shared" si="0"/>
        <v>0</v>
      </c>
      <c r="L138" s="12">
        <f t="shared" si="0"/>
        <v>0</v>
      </c>
      <c r="M138" s="12">
        <f t="shared" si="0"/>
        <v>0</v>
      </c>
      <c r="N138" s="12">
        <f t="shared" si="0"/>
        <v>0</v>
      </c>
    </row>
    <row r="139" spans="1:14">
      <c r="A139" s="9">
        <v>8</v>
      </c>
      <c r="B139" s="12">
        <f t="shared" si="0"/>
        <v>0</v>
      </c>
      <c r="C139" s="12">
        <f t="shared" si="0"/>
        <v>0</v>
      </c>
      <c r="D139" s="12">
        <f t="shared" si="0"/>
        <v>0</v>
      </c>
      <c r="E139" s="12">
        <f t="shared" si="0"/>
        <v>0</v>
      </c>
      <c r="F139" s="12">
        <f t="shared" si="0"/>
        <v>0</v>
      </c>
      <c r="G139" s="12">
        <f t="shared" si="0"/>
        <v>0</v>
      </c>
      <c r="H139" s="12">
        <f t="shared" si="0"/>
        <v>0</v>
      </c>
      <c r="I139" s="12" t="str">
        <f t="shared" si="0"/>
        <v/>
      </c>
      <c r="J139" s="12">
        <f t="shared" si="0"/>
        <v>4</v>
      </c>
      <c r="K139" s="12">
        <f t="shared" si="0"/>
        <v>4</v>
      </c>
      <c r="L139" s="12">
        <f t="shared" si="0"/>
        <v>4</v>
      </c>
      <c r="M139" s="12">
        <f t="shared" si="0"/>
        <v>4</v>
      </c>
      <c r="N139" s="12">
        <f t="shared" si="0"/>
        <v>4</v>
      </c>
    </row>
    <row r="140" spans="1:14">
      <c r="A140" s="9">
        <v>9</v>
      </c>
      <c r="B140" s="12">
        <f t="shared" si="0"/>
        <v>0</v>
      </c>
      <c r="C140" s="12">
        <f t="shared" si="0"/>
        <v>0</v>
      </c>
      <c r="D140" s="12">
        <f t="shared" si="0"/>
        <v>0</v>
      </c>
      <c r="E140" s="12">
        <f t="shared" si="0"/>
        <v>0</v>
      </c>
      <c r="F140" s="12">
        <f t="shared" si="0"/>
        <v>0</v>
      </c>
      <c r="G140" s="12">
        <f t="shared" si="0"/>
        <v>0</v>
      </c>
      <c r="H140" s="12">
        <f t="shared" si="0"/>
        <v>0</v>
      </c>
      <c r="I140" s="12">
        <f t="shared" si="0"/>
        <v>4</v>
      </c>
      <c r="J140" s="12" t="str">
        <f t="shared" si="0"/>
        <v/>
      </c>
      <c r="K140" s="12">
        <f t="shared" si="0"/>
        <v>4</v>
      </c>
      <c r="L140" s="12">
        <f t="shared" si="0"/>
        <v>4</v>
      </c>
      <c r="M140" s="12">
        <f t="shared" si="0"/>
        <v>4</v>
      </c>
      <c r="N140" s="12">
        <f t="shared" si="0"/>
        <v>4</v>
      </c>
    </row>
    <row r="141" spans="1:14">
      <c r="A141" s="9">
        <v>10</v>
      </c>
      <c r="B141" s="12">
        <f t="shared" si="0"/>
        <v>0</v>
      </c>
      <c r="C141" s="12">
        <f t="shared" si="0"/>
        <v>0</v>
      </c>
      <c r="D141" s="12">
        <f t="shared" si="0"/>
        <v>0</v>
      </c>
      <c r="E141" s="12">
        <f t="shared" si="0"/>
        <v>0</v>
      </c>
      <c r="F141" s="12">
        <f t="shared" si="0"/>
        <v>0</v>
      </c>
      <c r="G141" s="12">
        <f t="shared" si="0"/>
        <v>0</v>
      </c>
      <c r="H141" s="12">
        <f t="shared" si="0"/>
        <v>0</v>
      </c>
      <c r="I141" s="12">
        <f t="shared" si="0"/>
        <v>4</v>
      </c>
      <c r="J141" s="12">
        <f t="shared" si="0"/>
        <v>4</v>
      </c>
      <c r="K141" s="12" t="str">
        <f t="shared" si="0"/>
        <v/>
      </c>
      <c r="L141" s="12">
        <f t="shared" si="0"/>
        <v>4</v>
      </c>
      <c r="M141" s="12">
        <f t="shared" si="0"/>
        <v>4</v>
      </c>
      <c r="N141" s="12">
        <f t="shared" si="0"/>
        <v>4</v>
      </c>
    </row>
    <row r="142" spans="1:14">
      <c r="A142" s="9">
        <v>11</v>
      </c>
      <c r="B142" s="12">
        <f t="shared" si="0"/>
        <v>0</v>
      </c>
      <c r="C142" s="12">
        <f t="shared" si="0"/>
        <v>0</v>
      </c>
      <c r="D142" s="12">
        <f t="shared" si="0"/>
        <v>0</v>
      </c>
      <c r="E142" s="12">
        <f t="shared" si="0"/>
        <v>0</v>
      </c>
      <c r="F142" s="12">
        <f t="shared" si="0"/>
        <v>0</v>
      </c>
      <c r="G142" s="12">
        <f t="shared" si="0"/>
        <v>0</v>
      </c>
      <c r="H142" s="12">
        <f t="shared" si="0"/>
        <v>0</v>
      </c>
      <c r="I142" s="12">
        <f t="shared" si="0"/>
        <v>4</v>
      </c>
      <c r="J142" s="12">
        <f t="shared" si="0"/>
        <v>4</v>
      </c>
      <c r="K142" s="12">
        <f t="shared" si="0"/>
        <v>4</v>
      </c>
      <c r="L142" s="12" t="str">
        <f t="shared" si="0"/>
        <v/>
      </c>
      <c r="M142" s="12">
        <f t="shared" si="0"/>
        <v>4</v>
      </c>
      <c r="N142" s="12">
        <f t="shared" si="0"/>
        <v>4</v>
      </c>
    </row>
    <row r="143" spans="1:14">
      <c r="A143" s="9">
        <v>12</v>
      </c>
      <c r="B143" s="12">
        <f t="shared" si="0"/>
        <v>0</v>
      </c>
      <c r="C143" s="12">
        <f t="shared" si="0"/>
        <v>0</v>
      </c>
      <c r="D143" s="12">
        <f t="shared" si="0"/>
        <v>0</v>
      </c>
      <c r="E143" s="12">
        <f t="shared" si="0"/>
        <v>0</v>
      </c>
      <c r="F143" s="12">
        <f t="shared" si="0"/>
        <v>0</v>
      </c>
      <c r="G143" s="12">
        <f t="shared" si="0"/>
        <v>0</v>
      </c>
      <c r="H143" s="12">
        <f t="shared" si="0"/>
        <v>0</v>
      </c>
      <c r="I143" s="12">
        <f t="shared" si="0"/>
        <v>4</v>
      </c>
      <c r="J143" s="12">
        <f t="shared" si="0"/>
        <v>4</v>
      </c>
      <c r="K143" s="12">
        <f t="shared" si="0"/>
        <v>4</v>
      </c>
      <c r="L143" s="12">
        <f t="shared" si="0"/>
        <v>4</v>
      </c>
      <c r="M143" s="12" t="str">
        <f t="shared" si="0"/>
        <v/>
      </c>
      <c r="N143" s="12">
        <f t="shared" si="0"/>
        <v>4</v>
      </c>
    </row>
    <row r="144" spans="1:14">
      <c r="A144" s="9">
        <v>13</v>
      </c>
      <c r="B144" s="12">
        <f t="shared" si="0"/>
        <v>0</v>
      </c>
      <c r="C144" s="12">
        <f t="shared" si="0"/>
        <v>0</v>
      </c>
      <c r="D144" s="12">
        <f t="shared" si="0"/>
        <v>0</v>
      </c>
      <c r="E144" s="12">
        <f t="shared" si="0"/>
        <v>0</v>
      </c>
      <c r="F144" s="12">
        <f t="shared" si="0"/>
        <v>0</v>
      </c>
      <c r="G144" s="12">
        <f t="shared" si="0"/>
        <v>0</v>
      </c>
      <c r="H144" s="12">
        <f t="shared" si="0"/>
        <v>0</v>
      </c>
      <c r="I144" s="12">
        <f t="shared" si="0"/>
        <v>4</v>
      </c>
      <c r="J144" s="12">
        <f t="shared" si="0"/>
        <v>4</v>
      </c>
      <c r="K144" s="12">
        <f t="shared" si="0"/>
        <v>4</v>
      </c>
      <c r="L144" s="12">
        <f t="shared" si="0"/>
        <v>4</v>
      </c>
      <c r="M144" s="12">
        <f t="shared" si="0"/>
        <v>4</v>
      </c>
      <c r="N144" s="12" t="str">
        <f t="shared" si="0"/>
        <v/>
      </c>
    </row>
    <row r="145" spans="1:7">
      <c r="A145" s="17" t="s">
        <v>434</v>
      </c>
      <c r="B145" s="14">
        <f>_xlfn.MINIFS(B132:N144,B132:N144,"&gt;0")</f>
        <v>3</v>
      </c>
      <c r="C145" s="5"/>
      <c r="D145" s="5"/>
      <c r="E145" s="5"/>
      <c r="F145" s="5"/>
      <c r="G145" s="5"/>
    </row>
    <row r="146" spans="1:7">
      <c r="A146" s="17" t="s">
        <v>435</v>
      </c>
      <c r="B146" s="14">
        <f>MAX(B132:N144)</f>
        <v>4</v>
      </c>
      <c r="C146" s="5"/>
      <c r="D146" s="5"/>
      <c r="E146" s="5"/>
      <c r="F146" s="5"/>
      <c r="G146" s="5"/>
    </row>
    <row r="147" spans="1:7">
      <c r="A147" s="5"/>
      <c r="B147" s="5"/>
      <c r="C147" s="5"/>
      <c r="D147" s="5"/>
      <c r="E147" s="5"/>
      <c r="F147" s="5"/>
      <c r="G147" s="5"/>
    </row>
    <row r="148" spans="1:7">
      <c r="A148" s="5"/>
      <c r="B148" s="5"/>
      <c r="C148" s="5"/>
      <c r="D148" s="5"/>
      <c r="E148" s="5"/>
      <c r="F148" s="5"/>
      <c r="G148" s="5"/>
    </row>
    <row r="149" spans="1:7">
      <c r="A149" s="5"/>
      <c r="B149" s="5"/>
      <c r="C149" s="5"/>
      <c r="D149" s="5"/>
      <c r="E149" s="5"/>
      <c r="F149" s="5"/>
      <c r="G149" s="5"/>
    </row>
    <row r="150" spans="1:7">
      <c r="A150" s="5"/>
      <c r="B150" s="5"/>
      <c r="C150" s="5"/>
      <c r="D150" s="5"/>
      <c r="E150" s="5"/>
      <c r="F150" s="5"/>
      <c r="G150" s="5"/>
    </row>
    <row r="151" spans="1:7">
      <c r="A151" s="5"/>
      <c r="B151" s="5"/>
      <c r="C151" s="5"/>
      <c r="D151" s="5"/>
      <c r="E151" s="5"/>
      <c r="F151" s="5"/>
      <c r="G151" s="5"/>
    </row>
    <row r="152" spans="1:7">
      <c r="A152" s="5"/>
      <c r="B152" s="5"/>
      <c r="C152" s="5"/>
      <c r="D152" s="5"/>
      <c r="E152" s="5"/>
      <c r="F152" s="5"/>
      <c r="G152" s="5"/>
    </row>
    <row r="153" spans="1:7">
      <c r="A153" s="5"/>
      <c r="B153" s="5"/>
      <c r="C153" s="5"/>
      <c r="D153" s="5"/>
      <c r="E153" s="5"/>
      <c r="F153" s="5"/>
      <c r="G153" s="5"/>
    </row>
    <row r="154" spans="1:7">
      <c r="A154" s="5"/>
      <c r="B154" s="5"/>
      <c r="C154" s="5"/>
      <c r="D154" s="5"/>
      <c r="E154" s="5"/>
      <c r="F154" s="5"/>
      <c r="G154" s="5"/>
    </row>
    <row r="155" spans="1:7">
      <c r="A155" s="5"/>
      <c r="B155" s="5"/>
      <c r="C155" s="5"/>
      <c r="D155" s="5"/>
      <c r="E155" s="5"/>
      <c r="F155" s="5"/>
      <c r="G155" s="5"/>
    </row>
    <row r="156" spans="1:7">
      <c r="A156" s="5"/>
      <c r="B156" s="5"/>
      <c r="C156" s="5"/>
      <c r="D156" s="5"/>
      <c r="E156" s="5"/>
      <c r="F156" s="5"/>
      <c r="G156" s="5"/>
    </row>
    <row r="157" spans="1:7">
      <c r="A157" s="5"/>
      <c r="B157" s="5"/>
      <c r="C157" s="5"/>
      <c r="D157" s="5"/>
      <c r="E157" s="5"/>
      <c r="F157" s="5"/>
      <c r="G157" s="5"/>
    </row>
    <row r="158" spans="1:7">
      <c r="A158" s="5"/>
      <c r="B158" s="5"/>
      <c r="C158" s="5"/>
      <c r="D158" s="5"/>
      <c r="E158" s="5"/>
      <c r="F158" s="5"/>
      <c r="G158" s="5"/>
    </row>
    <row r="159" spans="1:7">
      <c r="A159" s="5"/>
      <c r="B159" s="5"/>
      <c r="C159" s="5"/>
      <c r="D159" s="5"/>
      <c r="E159" s="5"/>
      <c r="F159" s="5"/>
      <c r="G159" s="5"/>
    </row>
    <row r="160" spans="1:7">
      <c r="A160" s="5"/>
      <c r="B160" s="5"/>
      <c r="C160" s="5"/>
      <c r="D160" s="5"/>
      <c r="E160" s="5"/>
      <c r="F160" s="5"/>
      <c r="G160" s="5"/>
    </row>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130:N1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7C11-CB78-4AF9-98B6-5A7426656A34}">
  <dimension ref="A1:P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12.90625" style="15" bestFit="1" customWidth="1"/>
    <col min="5" max="5" width="26.179687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39.08984375" style="5" bestFit="1" customWidth="1"/>
    <col min="13" max="13" width="10.1796875" style="5" bestFit="1" customWidth="1"/>
    <col min="14" max="14" width="8.7265625" style="5"/>
    <col min="15" max="15" width="35.54296875" style="5" bestFit="1" customWidth="1"/>
    <col min="16" max="16" width="10.1796875" style="5" bestFit="1" customWidth="1"/>
    <col min="17" max="16384" width="8.7265625" style="5"/>
  </cols>
  <sheetData>
    <row r="1" spans="1:16" ht="18.5">
      <c r="A1" s="49" t="s">
        <v>440</v>
      </c>
      <c r="B1" s="49"/>
      <c r="C1" s="49"/>
      <c r="D1" s="49"/>
      <c r="E1" s="49"/>
      <c r="F1" s="49"/>
      <c r="G1" s="49"/>
      <c r="H1" s="4"/>
      <c r="I1" s="4"/>
      <c r="J1" s="4"/>
      <c r="K1" s="4"/>
      <c r="L1" s="4"/>
      <c r="M1" s="4"/>
      <c r="N1" s="4"/>
      <c r="O1" s="4"/>
      <c r="P1" s="4"/>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16" t="s">
        <v>97</v>
      </c>
    </row>
    <row r="4" spans="1:16">
      <c r="A4" s="11">
        <v>1</v>
      </c>
      <c r="B4" s="12" t="str">
        <f>المدخلات!$F$4</f>
        <v>4:00–5:30 م</v>
      </c>
      <c r="C4" s="12">
        <v>1</v>
      </c>
      <c r="D4" s="12" t="s">
        <v>17</v>
      </c>
      <c r="E4" s="12" t="s">
        <v>38</v>
      </c>
      <c r="F4" s="7"/>
      <c r="G4" s="5"/>
    </row>
    <row r="5" spans="1:16">
      <c r="A5" s="11">
        <v>1</v>
      </c>
      <c r="B5" s="12" t="str">
        <f>المدخلات!$F$4</f>
        <v>4:00–5:30 م</v>
      </c>
      <c r="C5" s="12">
        <v>2</v>
      </c>
      <c r="D5" s="12" t="s">
        <v>17</v>
      </c>
      <c r="E5" s="12" t="s">
        <v>31</v>
      </c>
      <c r="F5" s="7"/>
      <c r="G5" s="5"/>
    </row>
    <row r="6" spans="1:16">
      <c r="A6" s="11">
        <v>1</v>
      </c>
      <c r="B6" s="12" t="str">
        <f>المدخلات!$F$5</f>
        <v>5:40–7:10 م</v>
      </c>
      <c r="C6" s="12">
        <v>1</v>
      </c>
      <c r="D6" s="12" t="s">
        <v>17</v>
      </c>
      <c r="E6" s="12" t="s">
        <v>32</v>
      </c>
      <c r="F6" s="7"/>
      <c r="G6" s="5"/>
    </row>
    <row r="7" spans="1:16">
      <c r="A7" s="11">
        <v>1</v>
      </c>
      <c r="B7" s="12" t="str">
        <f>المدخلات!$F$5</f>
        <v>5:40–7:10 م</v>
      </c>
      <c r="C7" s="12">
        <v>2</v>
      </c>
      <c r="D7" s="12" t="s">
        <v>89</v>
      </c>
      <c r="E7" s="12" t="s">
        <v>94</v>
      </c>
      <c r="F7" s="7"/>
      <c r="G7" s="5"/>
    </row>
    <row r="8" spans="1:16">
      <c r="A8" s="11">
        <v>1</v>
      </c>
      <c r="B8" s="12" t="str">
        <f>المدخلات!$F$6</f>
        <v>7:20–8:50 م</v>
      </c>
      <c r="C8" s="12">
        <v>1</v>
      </c>
      <c r="D8" s="12" t="s">
        <v>89</v>
      </c>
      <c r="E8" s="12" t="s">
        <v>98</v>
      </c>
      <c r="F8" s="7"/>
      <c r="G8" s="5"/>
    </row>
    <row r="9" spans="1:16">
      <c r="A9" s="11">
        <v>1</v>
      </c>
      <c r="B9" s="12" t="str">
        <f>المدخلات!$F$6</f>
        <v>7:20–8:50 م</v>
      </c>
      <c r="C9" s="12">
        <v>2</v>
      </c>
      <c r="D9" s="12" t="s">
        <v>89</v>
      </c>
      <c r="E9" s="12" t="s">
        <v>84</v>
      </c>
      <c r="F9" s="7"/>
      <c r="G9" s="5"/>
    </row>
    <row r="10" spans="1:16">
      <c r="A10" s="11">
        <v>2</v>
      </c>
      <c r="B10" s="12" t="str">
        <f>المدخلات!$F$4</f>
        <v>4:00–5:30 م</v>
      </c>
      <c r="C10" s="12">
        <v>1</v>
      </c>
      <c r="D10" s="12" t="s">
        <v>89</v>
      </c>
      <c r="E10" s="12" t="s">
        <v>74</v>
      </c>
      <c r="F10" s="7"/>
      <c r="G10" s="5"/>
    </row>
    <row r="11" spans="1:16">
      <c r="A11" s="11">
        <v>2</v>
      </c>
      <c r="B11" s="12" t="str">
        <f>المدخلات!$F$4</f>
        <v>4:00–5:30 م</v>
      </c>
      <c r="C11" s="12">
        <v>2</v>
      </c>
      <c r="D11" s="12" t="s">
        <v>89</v>
      </c>
      <c r="E11" s="12" t="s">
        <v>99</v>
      </c>
      <c r="F11" s="7"/>
      <c r="G11" s="5"/>
    </row>
    <row r="12" spans="1:16">
      <c r="A12" s="11">
        <v>2</v>
      </c>
      <c r="B12" s="12" t="str">
        <f>المدخلات!$F$5</f>
        <v>5:40–7:10 م</v>
      </c>
      <c r="C12" s="12">
        <v>1</v>
      </c>
      <c r="D12" s="12" t="s">
        <v>89</v>
      </c>
      <c r="E12" s="12" t="s">
        <v>85</v>
      </c>
      <c r="F12" s="7"/>
      <c r="G12" s="5"/>
    </row>
    <row r="13" spans="1:16">
      <c r="A13" s="11">
        <v>2</v>
      </c>
      <c r="B13" s="12" t="str">
        <f>المدخلات!$F$5</f>
        <v>5:40–7:10 م</v>
      </c>
      <c r="C13" s="12">
        <v>2</v>
      </c>
      <c r="D13" s="12" t="s">
        <v>17</v>
      </c>
      <c r="E13" s="12" t="s">
        <v>39</v>
      </c>
      <c r="F13" s="7"/>
      <c r="G13" s="5"/>
    </row>
    <row r="14" spans="1:16">
      <c r="A14" s="11">
        <v>2</v>
      </c>
      <c r="B14" s="12" t="str">
        <f>المدخلات!$F$6</f>
        <v>7:20–8:50 م</v>
      </c>
      <c r="C14" s="12">
        <v>1</v>
      </c>
      <c r="D14" s="12" t="s">
        <v>17</v>
      </c>
      <c r="E14" s="12" t="s">
        <v>20</v>
      </c>
      <c r="F14" s="7"/>
      <c r="G14" s="5"/>
    </row>
    <row r="15" spans="1:16">
      <c r="A15" s="11">
        <v>2</v>
      </c>
      <c r="B15" s="12" t="str">
        <f>المدخلات!$F$6</f>
        <v>7:20–8:50 م</v>
      </c>
      <c r="C15" s="12">
        <v>2</v>
      </c>
      <c r="D15" s="12" t="s">
        <v>17</v>
      </c>
      <c r="E15" s="12" t="s">
        <v>19</v>
      </c>
      <c r="F15" s="7"/>
      <c r="G15" s="5"/>
    </row>
    <row r="16" spans="1:16">
      <c r="A16" s="11">
        <v>3</v>
      </c>
      <c r="B16" s="12" t="str">
        <f>المدخلات!$F$4</f>
        <v>4:00–5:30 م</v>
      </c>
      <c r="C16" s="12">
        <v>1</v>
      </c>
      <c r="D16" s="12" t="s">
        <v>17</v>
      </c>
      <c r="E16" s="12" t="s">
        <v>40</v>
      </c>
      <c r="F16" s="7"/>
      <c r="G16" s="5"/>
    </row>
    <row r="17" spans="1:7">
      <c r="A17" s="11">
        <v>3</v>
      </c>
      <c r="B17" s="12" t="str">
        <f>المدخلات!$F$4</f>
        <v>4:00–5:30 م</v>
      </c>
      <c r="C17" s="12">
        <v>2</v>
      </c>
      <c r="D17" s="12" t="s">
        <v>89</v>
      </c>
      <c r="E17" s="12" t="s">
        <v>64</v>
      </c>
      <c r="F17" s="7"/>
      <c r="G17" s="5"/>
    </row>
    <row r="18" spans="1:7">
      <c r="A18" s="11">
        <v>3</v>
      </c>
      <c r="B18" s="12" t="str">
        <f>المدخلات!$F$5</f>
        <v>5:40–7:10 م</v>
      </c>
      <c r="C18" s="12">
        <v>1</v>
      </c>
      <c r="D18" s="12" t="s">
        <v>17</v>
      </c>
      <c r="E18" s="12" t="s">
        <v>23</v>
      </c>
      <c r="F18" s="7"/>
      <c r="G18" s="5"/>
    </row>
    <row r="19" spans="1:7">
      <c r="A19" s="11">
        <v>3</v>
      </c>
      <c r="B19" s="12" t="str">
        <f>المدخلات!$F$5</f>
        <v>5:40–7:10 م</v>
      </c>
      <c r="C19" s="12">
        <v>2</v>
      </c>
      <c r="D19" s="12" t="s">
        <v>89</v>
      </c>
      <c r="E19" s="12" t="s">
        <v>100</v>
      </c>
      <c r="F19" s="7"/>
      <c r="G19" s="5"/>
    </row>
    <row r="20" spans="1:7">
      <c r="A20" s="11">
        <v>3</v>
      </c>
      <c r="B20" s="12" t="str">
        <f>المدخلات!$F$6</f>
        <v>7:20–8:50 م</v>
      </c>
      <c r="C20" s="12">
        <v>1</v>
      </c>
      <c r="D20" s="12" t="s">
        <v>17</v>
      </c>
      <c r="E20" s="12" t="s">
        <v>18</v>
      </c>
      <c r="F20" s="7"/>
      <c r="G20" s="5"/>
    </row>
    <row r="21" spans="1:7">
      <c r="A21" s="11">
        <v>3</v>
      </c>
      <c r="B21" s="12" t="str">
        <f>المدخلات!$F$6</f>
        <v>7:20–8:50 م</v>
      </c>
      <c r="C21" s="12">
        <v>2</v>
      </c>
      <c r="D21" s="12" t="s">
        <v>89</v>
      </c>
      <c r="E21" s="12" t="s">
        <v>90</v>
      </c>
      <c r="F21" s="7"/>
      <c r="G21" s="5"/>
    </row>
    <row r="22" spans="1:7">
      <c r="A22" s="11">
        <v>4</v>
      </c>
      <c r="B22" s="12" t="str">
        <f>المدخلات!$F$4</f>
        <v>4:00–5:30 م</v>
      </c>
      <c r="C22" s="12">
        <v>1</v>
      </c>
      <c r="D22" s="12" t="s">
        <v>89</v>
      </c>
      <c r="E22" s="12" t="s">
        <v>80</v>
      </c>
      <c r="F22" s="7"/>
      <c r="G22" s="5"/>
    </row>
    <row r="23" spans="1:7">
      <c r="A23" s="11">
        <v>4</v>
      </c>
      <c r="B23" s="12" t="str">
        <f>المدخلات!$F$4</f>
        <v>4:00–5:30 م</v>
      </c>
      <c r="C23" s="12">
        <v>2</v>
      </c>
      <c r="D23" s="12" t="s">
        <v>17</v>
      </c>
      <c r="E23" s="12" t="s">
        <v>21</v>
      </c>
      <c r="F23" s="7"/>
      <c r="G23" s="5"/>
    </row>
    <row r="24" spans="1:7">
      <c r="A24" s="11">
        <v>4</v>
      </c>
      <c r="B24" s="12" t="str">
        <f>المدخلات!$F$5</f>
        <v>5:40–7:10 م</v>
      </c>
      <c r="C24" s="12">
        <v>1</v>
      </c>
      <c r="D24" s="12" t="s">
        <v>89</v>
      </c>
      <c r="E24" s="12" t="s">
        <v>91</v>
      </c>
      <c r="F24" s="7"/>
      <c r="G24" s="5"/>
    </row>
    <row r="25" spans="1:7">
      <c r="A25" s="11">
        <v>4</v>
      </c>
      <c r="B25" s="12" t="str">
        <f>المدخلات!$F$5</f>
        <v>5:40–7:10 م</v>
      </c>
      <c r="C25" s="12">
        <v>2</v>
      </c>
      <c r="D25" s="12" t="s">
        <v>17</v>
      </c>
      <c r="E25" s="12" t="s">
        <v>22</v>
      </c>
      <c r="F25" s="7"/>
      <c r="G25" s="5"/>
    </row>
    <row r="26" spans="1:7">
      <c r="A26" s="11">
        <v>4</v>
      </c>
      <c r="B26" s="12" t="str">
        <f>المدخلات!$F$6</f>
        <v>7:20–8:50 م</v>
      </c>
      <c r="C26" s="12">
        <v>1</v>
      </c>
      <c r="D26" s="12" t="s">
        <v>89</v>
      </c>
      <c r="E26" s="12" t="s">
        <v>101</v>
      </c>
      <c r="F26" s="7"/>
      <c r="G26" s="5"/>
    </row>
    <row r="27" spans="1:7">
      <c r="A27" s="11">
        <v>4</v>
      </c>
      <c r="B27" s="12" t="str">
        <f>المدخلات!$F$6</f>
        <v>7:20–8:50 م</v>
      </c>
      <c r="C27" s="12">
        <v>2</v>
      </c>
      <c r="D27" s="12" t="s">
        <v>17</v>
      </c>
      <c r="E27" s="12" t="s">
        <v>41</v>
      </c>
      <c r="F27" s="7"/>
      <c r="G27" s="5"/>
    </row>
    <row r="28" spans="1:7">
      <c r="A28" s="11">
        <v>5</v>
      </c>
      <c r="B28" s="12" t="str">
        <f>المدخلات!$F$4</f>
        <v>4:00–5:30 م</v>
      </c>
      <c r="C28" s="12">
        <v>1</v>
      </c>
      <c r="D28" s="12" t="s">
        <v>89</v>
      </c>
      <c r="E28" s="12" t="s">
        <v>92</v>
      </c>
      <c r="F28" s="7"/>
      <c r="G28" s="5"/>
    </row>
    <row r="29" spans="1:7">
      <c r="A29" s="11">
        <v>5</v>
      </c>
      <c r="B29" s="12" t="str">
        <f>المدخلات!$F$4</f>
        <v>4:00–5:30 م</v>
      </c>
      <c r="C29" s="12">
        <v>2</v>
      </c>
      <c r="D29" s="12" t="s">
        <v>17</v>
      </c>
      <c r="E29" s="12" t="s">
        <v>24</v>
      </c>
      <c r="F29" s="7"/>
      <c r="G29" s="5"/>
    </row>
    <row r="30" spans="1:7">
      <c r="A30" s="11">
        <v>5</v>
      </c>
      <c r="B30" s="12" t="str">
        <f>المدخلات!$F$5</f>
        <v>5:40–7:10 م</v>
      </c>
      <c r="C30" s="12">
        <v>1</v>
      </c>
      <c r="D30" s="12" t="s">
        <v>17</v>
      </c>
      <c r="E30" s="12" t="s">
        <v>25</v>
      </c>
      <c r="F30" s="7"/>
      <c r="G30" s="5"/>
    </row>
    <row r="31" spans="1:7">
      <c r="A31" s="11">
        <v>5</v>
      </c>
      <c r="B31" s="12" t="str">
        <f>المدخلات!$F$5</f>
        <v>5:40–7:10 م</v>
      </c>
      <c r="C31" s="12">
        <v>2</v>
      </c>
      <c r="D31" s="12" t="s">
        <v>89</v>
      </c>
      <c r="E31" s="12" t="s">
        <v>75</v>
      </c>
      <c r="F31" s="7"/>
      <c r="G31" s="5"/>
    </row>
    <row r="32" spans="1:7">
      <c r="A32" s="11">
        <v>5</v>
      </c>
      <c r="B32" s="12" t="str">
        <f>المدخلات!$F$6</f>
        <v>7:20–8:50 م</v>
      </c>
      <c r="C32" s="12">
        <v>1</v>
      </c>
      <c r="D32" s="12" t="s">
        <v>89</v>
      </c>
      <c r="E32" s="12" t="s">
        <v>79</v>
      </c>
      <c r="F32" s="7"/>
      <c r="G32" s="5"/>
    </row>
    <row r="33" spans="1:7">
      <c r="A33" s="11">
        <v>5</v>
      </c>
      <c r="B33" s="12" t="str">
        <f>المدخلات!$F$6</f>
        <v>7:20–8:50 م</v>
      </c>
      <c r="C33" s="12">
        <v>2</v>
      </c>
      <c r="D33" s="12" t="s">
        <v>17</v>
      </c>
      <c r="E33" s="12" t="s">
        <v>26</v>
      </c>
      <c r="F33" s="7"/>
      <c r="G33" s="5"/>
    </row>
    <row r="34" spans="1:7">
      <c r="A34" s="11">
        <v>6</v>
      </c>
      <c r="B34" s="12" t="str">
        <f>المدخلات!$F$4</f>
        <v>4:00–5:30 م</v>
      </c>
      <c r="C34" s="12">
        <v>1</v>
      </c>
      <c r="D34" s="12" t="s">
        <v>89</v>
      </c>
      <c r="E34" s="12" t="s">
        <v>102</v>
      </c>
      <c r="F34" s="7"/>
      <c r="G34" s="5"/>
    </row>
    <row r="35" spans="1:7">
      <c r="A35" s="11">
        <v>6</v>
      </c>
      <c r="B35" s="12" t="str">
        <f>المدخلات!$F$4</f>
        <v>4:00–5:30 م</v>
      </c>
      <c r="C35" s="12">
        <v>2</v>
      </c>
      <c r="D35" s="12" t="s">
        <v>17</v>
      </c>
      <c r="E35" s="12" t="s">
        <v>28</v>
      </c>
      <c r="F35" s="7"/>
      <c r="G35" s="5"/>
    </row>
    <row r="36" spans="1:7">
      <c r="A36" s="11">
        <v>6</v>
      </c>
      <c r="B36" s="12" t="str">
        <f>المدخلات!$F$5</f>
        <v>5:40–7:10 م</v>
      </c>
      <c r="C36" s="12">
        <v>1</v>
      </c>
      <c r="D36" s="12" t="s">
        <v>17</v>
      </c>
      <c r="E36" s="12" t="s">
        <v>42</v>
      </c>
      <c r="F36" s="7"/>
      <c r="G36" s="5"/>
    </row>
    <row r="37" spans="1:7">
      <c r="A37" s="11">
        <v>6</v>
      </c>
      <c r="B37" s="12" t="str">
        <f>المدخلات!$F$5</f>
        <v>5:40–7:10 م</v>
      </c>
      <c r="C37" s="12">
        <v>2</v>
      </c>
      <c r="D37" s="12" t="s">
        <v>89</v>
      </c>
      <c r="E37" s="12" t="s">
        <v>60</v>
      </c>
      <c r="F37" s="7"/>
      <c r="G37" s="5"/>
    </row>
    <row r="38" spans="1:7">
      <c r="A38" s="11">
        <v>6</v>
      </c>
      <c r="B38" s="12" t="str">
        <f>المدخلات!$F$6</f>
        <v>7:20–8:50 م</v>
      </c>
      <c r="C38" s="12">
        <v>1</v>
      </c>
      <c r="D38" s="12" t="s">
        <v>17</v>
      </c>
      <c r="E38" s="12" t="s">
        <v>27</v>
      </c>
      <c r="F38" s="7"/>
      <c r="G38" s="5"/>
    </row>
    <row r="39" spans="1:7">
      <c r="A39" s="11">
        <v>6</v>
      </c>
      <c r="B39" s="12" t="str">
        <f>المدخلات!$F$6</f>
        <v>7:20–8:50 م</v>
      </c>
      <c r="C39" s="12">
        <v>2</v>
      </c>
      <c r="D39" s="12" t="s">
        <v>89</v>
      </c>
      <c r="E39" s="12" t="s">
        <v>70</v>
      </c>
      <c r="F39" s="7"/>
      <c r="G39" s="5"/>
    </row>
    <row r="40" spans="1:7">
      <c r="A40" s="11">
        <v>7</v>
      </c>
      <c r="B40" s="12" t="str">
        <f>المدخلات!$F$4</f>
        <v>4:00–5:30 م</v>
      </c>
      <c r="C40" s="12">
        <v>1</v>
      </c>
      <c r="D40" s="12" t="s">
        <v>17</v>
      </c>
      <c r="E40" s="12" t="s">
        <v>29</v>
      </c>
      <c r="F40" s="7"/>
      <c r="G40" s="5"/>
    </row>
    <row r="41" spans="1:7">
      <c r="A41" s="11">
        <v>7</v>
      </c>
      <c r="B41" s="12" t="str">
        <f>المدخلات!$F$4</f>
        <v>4:00–5:30 م</v>
      </c>
      <c r="C41" s="12">
        <v>2</v>
      </c>
      <c r="D41" s="12" t="s">
        <v>89</v>
      </c>
      <c r="E41" s="12" t="s">
        <v>93</v>
      </c>
      <c r="F41" s="7"/>
      <c r="G41" s="5"/>
    </row>
    <row r="42" spans="1:7">
      <c r="A42" s="11">
        <v>7</v>
      </c>
      <c r="B42" s="12" t="str">
        <f>المدخلات!$F$5</f>
        <v>5:40–7:10 م</v>
      </c>
      <c r="C42" s="12">
        <v>1</v>
      </c>
      <c r="D42" s="12" t="s">
        <v>17</v>
      </c>
      <c r="E42" s="12" t="s">
        <v>30</v>
      </c>
      <c r="F42" s="7"/>
      <c r="G42" s="5"/>
    </row>
    <row r="43" spans="1:7">
      <c r="A43" s="11">
        <v>7</v>
      </c>
      <c r="B43" s="12" t="str">
        <f>المدخلات!$F$5</f>
        <v>5:40–7:10 م</v>
      </c>
      <c r="C43" s="12">
        <v>2</v>
      </c>
      <c r="D43" s="12" t="s">
        <v>89</v>
      </c>
      <c r="E43" s="12" t="s">
        <v>103</v>
      </c>
      <c r="F43" s="7"/>
      <c r="G43" s="5"/>
    </row>
    <row r="44" spans="1:7">
      <c r="A44" s="11">
        <v>7</v>
      </c>
      <c r="B44" s="12" t="str">
        <f>المدخلات!$F$6</f>
        <v>7:20–8:50 م</v>
      </c>
      <c r="C44" s="12">
        <v>1</v>
      </c>
      <c r="D44" s="12" t="s">
        <v>89</v>
      </c>
      <c r="E44" s="12" t="s">
        <v>56</v>
      </c>
      <c r="F44" s="7"/>
      <c r="G44" s="5"/>
    </row>
    <row r="45" spans="1:7">
      <c r="A45" s="11">
        <v>7</v>
      </c>
      <c r="B45" s="12" t="str">
        <f>المدخلات!$F$6</f>
        <v>7:20–8:50 م</v>
      </c>
      <c r="C45" s="12">
        <v>2</v>
      </c>
      <c r="D45" s="12" t="s">
        <v>17</v>
      </c>
      <c r="E45" s="12" t="s">
        <v>43</v>
      </c>
      <c r="F45" s="7"/>
      <c r="G45" s="5"/>
    </row>
    <row r="46" spans="1:7">
      <c r="A46" s="11">
        <v>8</v>
      </c>
      <c r="B46" s="12" t="str">
        <f>المدخلات!$F$4</f>
        <v>4:00–5:30 م</v>
      </c>
      <c r="C46" s="12">
        <v>1</v>
      </c>
      <c r="D46" s="12" t="s">
        <v>89</v>
      </c>
      <c r="E46" s="12" t="s">
        <v>103</v>
      </c>
      <c r="F46" s="7"/>
      <c r="G46" s="5"/>
    </row>
    <row r="47" spans="1:7">
      <c r="A47" s="11">
        <v>8</v>
      </c>
      <c r="B47" s="12" t="str">
        <f>المدخلات!$F$4</f>
        <v>4:00–5:30 م</v>
      </c>
      <c r="C47" s="12">
        <v>2</v>
      </c>
      <c r="D47" s="12" t="s">
        <v>17</v>
      </c>
      <c r="E47" s="12" t="s">
        <v>30</v>
      </c>
      <c r="F47" s="7"/>
      <c r="G47" s="5"/>
    </row>
    <row r="48" spans="1:7">
      <c r="A48" s="11">
        <v>8</v>
      </c>
      <c r="B48" s="12" t="str">
        <f>المدخلات!$F$5</f>
        <v>5:40–7:10 م</v>
      </c>
      <c r="C48" s="12">
        <v>1</v>
      </c>
      <c r="D48" s="12" t="s">
        <v>17</v>
      </c>
      <c r="E48" s="12" t="s">
        <v>43</v>
      </c>
      <c r="F48" s="7"/>
      <c r="G48" s="5"/>
    </row>
    <row r="49" spans="1:7">
      <c r="A49" s="11">
        <v>8</v>
      </c>
      <c r="B49" s="12" t="str">
        <f>المدخلات!$F$5</f>
        <v>5:40–7:10 م</v>
      </c>
      <c r="C49" s="12">
        <v>2</v>
      </c>
      <c r="D49" s="12" t="s">
        <v>89</v>
      </c>
      <c r="E49" s="12" t="s">
        <v>56</v>
      </c>
      <c r="F49" s="7"/>
      <c r="G49" s="5"/>
    </row>
    <row r="50" spans="1:7">
      <c r="A50" s="11">
        <v>8</v>
      </c>
      <c r="B50" s="12" t="str">
        <f>المدخلات!$F$6</f>
        <v>7:20–8:50 م</v>
      </c>
      <c r="C50" s="12">
        <v>1</v>
      </c>
      <c r="D50" s="12" t="s">
        <v>89</v>
      </c>
      <c r="E50" s="12" t="s">
        <v>93</v>
      </c>
      <c r="F50" s="7"/>
      <c r="G50" s="5"/>
    </row>
    <row r="51" spans="1:7">
      <c r="A51" s="11">
        <v>8</v>
      </c>
      <c r="B51" s="12" t="str">
        <f>المدخلات!$F$6</f>
        <v>7:20–8:50 م</v>
      </c>
      <c r="C51" s="12">
        <v>2</v>
      </c>
      <c r="D51" s="12" t="s">
        <v>17</v>
      </c>
      <c r="E51" s="12" t="s">
        <v>29</v>
      </c>
      <c r="F51" s="7"/>
      <c r="G51" s="5"/>
    </row>
    <row r="52" spans="1:7">
      <c r="A52" s="11">
        <v>9</v>
      </c>
      <c r="B52" s="12" t="str">
        <f>المدخلات!$F$4</f>
        <v>4:00–5:30 م</v>
      </c>
      <c r="C52" s="12">
        <v>1</v>
      </c>
      <c r="D52" s="12" t="s">
        <v>89</v>
      </c>
      <c r="E52" s="12" t="s">
        <v>84</v>
      </c>
      <c r="F52" s="7"/>
      <c r="G52" s="5"/>
    </row>
    <row r="53" spans="1:7">
      <c r="A53" s="11">
        <v>9</v>
      </c>
      <c r="B53" s="12" t="str">
        <f>المدخلات!$F$4</f>
        <v>4:00–5:30 م</v>
      </c>
      <c r="C53" s="12">
        <v>2</v>
      </c>
      <c r="D53" s="12" t="s">
        <v>17</v>
      </c>
      <c r="E53" s="12" t="s">
        <v>31</v>
      </c>
      <c r="F53" s="7"/>
      <c r="G53" s="5"/>
    </row>
    <row r="54" spans="1:7">
      <c r="A54" s="11">
        <v>9</v>
      </c>
      <c r="B54" s="12" t="str">
        <f>المدخلات!$F$5</f>
        <v>5:40–7:10 م</v>
      </c>
      <c r="C54" s="12">
        <v>1</v>
      </c>
      <c r="D54" s="12" t="s">
        <v>89</v>
      </c>
      <c r="E54" s="12" t="s">
        <v>94</v>
      </c>
      <c r="F54" s="7"/>
      <c r="G54" s="5"/>
    </row>
    <row r="55" spans="1:7">
      <c r="A55" s="11">
        <v>9</v>
      </c>
      <c r="B55" s="12" t="str">
        <f>المدخلات!$F$5</f>
        <v>5:40–7:10 م</v>
      </c>
      <c r="C55" s="12">
        <v>2</v>
      </c>
      <c r="D55" s="12" t="s">
        <v>89</v>
      </c>
      <c r="E55" s="12" t="s">
        <v>98</v>
      </c>
      <c r="F55" s="7"/>
      <c r="G55" s="5"/>
    </row>
    <row r="56" spans="1:7">
      <c r="A56" s="11">
        <v>9</v>
      </c>
      <c r="B56" s="12" t="str">
        <f>المدخلات!$F$6</f>
        <v>7:20–8:50 م</v>
      </c>
      <c r="C56" s="12">
        <v>1</v>
      </c>
      <c r="D56" s="12" t="s">
        <v>17</v>
      </c>
      <c r="E56" s="12" t="s">
        <v>38</v>
      </c>
      <c r="F56" s="7"/>
      <c r="G56" s="5"/>
    </row>
    <row r="57" spans="1:7">
      <c r="A57" s="11">
        <v>9</v>
      </c>
      <c r="B57" s="12" t="str">
        <f>المدخلات!$F$6</f>
        <v>7:20–8:50 م</v>
      </c>
      <c r="C57" s="12">
        <v>2</v>
      </c>
      <c r="D57" s="12" t="s">
        <v>17</v>
      </c>
      <c r="E57" s="12" t="s">
        <v>32</v>
      </c>
      <c r="F57" s="7"/>
      <c r="G57" s="5"/>
    </row>
    <row r="58" spans="1:7">
      <c r="A58" s="11">
        <v>10</v>
      </c>
      <c r="B58" s="12" t="str">
        <f>المدخلات!$F$4</f>
        <v>4:00–5:30 م</v>
      </c>
      <c r="C58" s="12">
        <v>1</v>
      </c>
      <c r="D58" s="12" t="s">
        <v>17</v>
      </c>
      <c r="E58" s="12" t="s">
        <v>20</v>
      </c>
      <c r="F58" s="7"/>
      <c r="G58" s="5"/>
    </row>
    <row r="59" spans="1:7">
      <c r="A59" s="11">
        <v>10</v>
      </c>
      <c r="B59" s="12" t="str">
        <f>المدخلات!$F$4</f>
        <v>4:00–5:30 م</v>
      </c>
      <c r="C59" s="12">
        <v>2</v>
      </c>
      <c r="D59" s="12" t="s">
        <v>17</v>
      </c>
      <c r="E59" s="12" t="s">
        <v>39</v>
      </c>
      <c r="F59" s="7"/>
      <c r="G59" s="5"/>
    </row>
    <row r="60" spans="1:7">
      <c r="A60" s="11">
        <v>10</v>
      </c>
      <c r="B60" s="12" t="str">
        <f>المدخلات!$F$5</f>
        <v>5:40–7:10 م</v>
      </c>
      <c r="C60" s="12">
        <v>1</v>
      </c>
      <c r="D60" s="12" t="s">
        <v>17</v>
      </c>
      <c r="E60" s="12" t="s">
        <v>19</v>
      </c>
      <c r="F60" s="7"/>
      <c r="G60" s="5"/>
    </row>
    <row r="61" spans="1:7">
      <c r="A61" s="11">
        <v>10</v>
      </c>
      <c r="B61" s="12" t="str">
        <f>المدخلات!$F$5</f>
        <v>5:40–7:10 م</v>
      </c>
      <c r="C61" s="12">
        <v>2</v>
      </c>
      <c r="D61" s="12" t="s">
        <v>89</v>
      </c>
      <c r="E61" s="12" t="s">
        <v>85</v>
      </c>
      <c r="F61" s="7"/>
      <c r="G61" s="5"/>
    </row>
    <row r="62" spans="1:7">
      <c r="A62" s="11">
        <v>10</v>
      </c>
      <c r="B62" s="12" t="str">
        <f>المدخلات!$F$6</f>
        <v>7:20–8:50 م</v>
      </c>
      <c r="C62" s="12">
        <v>1</v>
      </c>
      <c r="D62" s="12" t="s">
        <v>89</v>
      </c>
      <c r="E62" s="12" t="s">
        <v>99</v>
      </c>
      <c r="F62" s="7"/>
      <c r="G62" s="5"/>
    </row>
    <row r="63" spans="1:7">
      <c r="A63" s="11">
        <v>10</v>
      </c>
      <c r="B63" s="12" t="str">
        <f>المدخلات!$F$6</f>
        <v>7:20–8:50 م</v>
      </c>
      <c r="C63" s="12">
        <v>2</v>
      </c>
      <c r="D63" s="12" t="s">
        <v>89</v>
      </c>
      <c r="E63" s="12" t="s">
        <v>74</v>
      </c>
      <c r="F63" s="7"/>
      <c r="G63" s="5"/>
    </row>
    <row r="64" spans="1:7">
      <c r="A64" s="11">
        <v>11</v>
      </c>
      <c r="B64" s="12" t="str">
        <f>المدخلات!$F$4</f>
        <v>4:00–5:30 م</v>
      </c>
      <c r="C64" s="12">
        <v>1</v>
      </c>
      <c r="D64" s="12" t="s">
        <v>89</v>
      </c>
      <c r="E64" s="12" t="s">
        <v>64</v>
      </c>
      <c r="F64" s="7"/>
      <c r="G64" s="5"/>
    </row>
    <row r="65" spans="1:7">
      <c r="A65" s="11">
        <v>11</v>
      </c>
      <c r="B65" s="12" t="str">
        <f>المدخلات!$F$4</f>
        <v>4:00–5:30 م</v>
      </c>
      <c r="C65" s="12">
        <v>2</v>
      </c>
      <c r="D65" s="12" t="s">
        <v>17</v>
      </c>
      <c r="E65" s="12" t="s">
        <v>40</v>
      </c>
      <c r="F65" s="7"/>
      <c r="G65" s="5"/>
    </row>
    <row r="66" spans="1:7">
      <c r="A66" s="11">
        <v>11</v>
      </c>
      <c r="B66" s="12" t="str">
        <f>المدخلات!$F$5</f>
        <v>5:40–7:10 م</v>
      </c>
      <c r="C66" s="12">
        <v>1</v>
      </c>
      <c r="D66" s="12" t="s">
        <v>17</v>
      </c>
      <c r="E66" s="12" t="s">
        <v>18</v>
      </c>
      <c r="F66" s="7"/>
      <c r="G66" s="5"/>
    </row>
    <row r="67" spans="1:7">
      <c r="A67" s="11">
        <v>11</v>
      </c>
      <c r="B67" s="12" t="str">
        <f>المدخلات!$F$5</f>
        <v>5:40–7:10 م</v>
      </c>
      <c r="C67" s="12">
        <v>2</v>
      </c>
      <c r="D67" s="12" t="s">
        <v>17</v>
      </c>
      <c r="E67" s="12" t="s">
        <v>23</v>
      </c>
      <c r="F67" s="7"/>
      <c r="G67" s="5"/>
    </row>
    <row r="68" spans="1:7">
      <c r="A68" s="11">
        <v>11</v>
      </c>
      <c r="B68" s="12" t="str">
        <f>المدخلات!$F$6</f>
        <v>7:20–8:50 م</v>
      </c>
      <c r="C68" s="12">
        <v>1</v>
      </c>
      <c r="D68" s="12" t="s">
        <v>89</v>
      </c>
      <c r="E68" s="12" t="s">
        <v>90</v>
      </c>
      <c r="F68" s="7"/>
      <c r="G68" s="5"/>
    </row>
    <row r="69" spans="1:7">
      <c r="A69" s="11">
        <v>11</v>
      </c>
      <c r="B69" s="12" t="str">
        <f>المدخلات!$F$6</f>
        <v>7:20–8:50 م</v>
      </c>
      <c r="C69" s="12">
        <v>2</v>
      </c>
      <c r="D69" s="12" t="s">
        <v>89</v>
      </c>
      <c r="E69" s="12" t="s">
        <v>100</v>
      </c>
      <c r="F69" s="7"/>
      <c r="G69" s="5"/>
    </row>
    <row r="70" spans="1:7">
      <c r="A70" s="11">
        <v>12</v>
      </c>
      <c r="B70" s="12" t="str">
        <f>المدخلات!$F$4</f>
        <v>4:00–5:30 م</v>
      </c>
      <c r="C70" s="12">
        <v>1</v>
      </c>
      <c r="D70" s="12" t="s">
        <v>89</v>
      </c>
      <c r="E70" s="12" t="s">
        <v>80</v>
      </c>
      <c r="F70" s="7"/>
      <c r="G70" s="5"/>
    </row>
    <row r="71" spans="1:7">
      <c r="A71" s="11">
        <v>12</v>
      </c>
      <c r="B71" s="12" t="str">
        <f>المدخلات!$F$4</f>
        <v>4:00–5:30 م</v>
      </c>
      <c r="C71" s="12">
        <v>2</v>
      </c>
      <c r="D71" s="12" t="s">
        <v>89</v>
      </c>
      <c r="E71" s="12" t="s">
        <v>101</v>
      </c>
      <c r="F71" s="7"/>
      <c r="G71" s="5"/>
    </row>
    <row r="72" spans="1:7">
      <c r="A72" s="11">
        <v>12</v>
      </c>
      <c r="B72" s="12" t="str">
        <f>المدخلات!$F$5</f>
        <v>5:40–7:10 م</v>
      </c>
      <c r="C72" s="12">
        <v>1</v>
      </c>
      <c r="D72" s="12" t="s">
        <v>17</v>
      </c>
      <c r="E72" s="12" t="s">
        <v>22</v>
      </c>
      <c r="F72" s="7"/>
      <c r="G72" s="5"/>
    </row>
    <row r="73" spans="1:7">
      <c r="A73" s="11">
        <v>12</v>
      </c>
      <c r="B73" s="12" t="str">
        <f>المدخلات!$F$5</f>
        <v>5:40–7:10 م</v>
      </c>
      <c r="C73" s="12">
        <v>2</v>
      </c>
      <c r="D73" s="12" t="s">
        <v>17</v>
      </c>
      <c r="E73" s="12" t="s">
        <v>41</v>
      </c>
      <c r="F73" s="7"/>
      <c r="G73" s="5"/>
    </row>
    <row r="74" spans="1:7">
      <c r="A74" s="11">
        <v>12</v>
      </c>
      <c r="B74" s="12" t="str">
        <f>المدخلات!$F$6</f>
        <v>7:20–8:50 م</v>
      </c>
      <c r="C74" s="12">
        <v>1</v>
      </c>
      <c r="D74" s="12" t="s">
        <v>17</v>
      </c>
      <c r="E74" s="12" t="s">
        <v>21</v>
      </c>
      <c r="F74" s="7"/>
      <c r="G74" s="5"/>
    </row>
    <row r="75" spans="1:7">
      <c r="A75" s="11">
        <v>12</v>
      </c>
      <c r="B75" s="12" t="str">
        <f>المدخلات!$F$6</f>
        <v>7:20–8:50 م</v>
      </c>
      <c r="C75" s="12">
        <v>2</v>
      </c>
      <c r="D75" s="12" t="s">
        <v>89</v>
      </c>
      <c r="E75" s="12" t="s">
        <v>91</v>
      </c>
      <c r="F75" s="7"/>
      <c r="G75" s="5"/>
    </row>
    <row r="76" spans="1:7">
      <c r="A76" s="11">
        <v>13</v>
      </c>
      <c r="B76" s="12" t="str">
        <f>المدخلات!$F$4</f>
        <v>4:00–5:30 م</v>
      </c>
      <c r="C76" s="12">
        <v>1</v>
      </c>
      <c r="D76" s="12" t="s">
        <v>17</v>
      </c>
      <c r="E76" s="12" t="s">
        <v>26</v>
      </c>
      <c r="F76" s="7"/>
      <c r="G76" s="5"/>
    </row>
    <row r="77" spans="1:7">
      <c r="A77" s="11">
        <v>13</v>
      </c>
      <c r="B77" s="12" t="str">
        <f>المدخلات!$F$4</f>
        <v>4:00–5:30 م</v>
      </c>
      <c r="C77" s="12">
        <v>2</v>
      </c>
      <c r="D77" s="12" t="s">
        <v>89</v>
      </c>
      <c r="E77" s="12" t="s">
        <v>92</v>
      </c>
      <c r="F77" s="7"/>
      <c r="G77" s="5"/>
    </row>
    <row r="78" spans="1:7">
      <c r="A78" s="11">
        <v>13</v>
      </c>
      <c r="B78" s="12" t="str">
        <f>المدخلات!$F$5</f>
        <v>5:40–7:10 م</v>
      </c>
      <c r="C78" s="12">
        <v>1</v>
      </c>
      <c r="D78" s="12" t="s">
        <v>89</v>
      </c>
      <c r="E78" s="12" t="s">
        <v>75</v>
      </c>
      <c r="F78" s="7"/>
      <c r="G78" s="5"/>
    </row>
    <row r="79" spans="1:7">
      <c r="A79" s="11">
        <v>13</v>
      </c>
      <c r="B79" s="12" t="str">
        <f>المدخلات!$F$5</f>
        <v>5:40–7:10 م</v>
      </c>
      <c r="C79" s="12">
        <v>2</v>
      </c>
      <c r="D79" s="12" t="s">
        <v>89</v>
      </c>
      <c r="E79" s="12" t="s">
        <v>79</v>
      </c>
      <c r="F79" s="7"/>
      <c r="G79" s="5"/>
    </row>
    <row r="80" spans="1:7">
      <c r="A80" s="11">
        <v>13</v>
      </c>
      <c r="B80" s="12" t="str">
        <f>المدخلات!$F$6</f>
        <v>7:20–8:50 م</v>
      </c>
      <c r="C80" s="12">
        <v>1</v>
      </c>
      <c r="D80" s="12" t="s">
        <v>17</v>
      </c>
      <c r="E80" s="12" t="s">
        <v>24</v>
      </c>
      <c r="F80" s="7"/>
      <c r="G80" s="5"/>
    </row>
    <row r="81" spans="1:7">
      <c r="A81" s="11">
        <v>13</v>
      </c>
      <c r="B81" s="12" t="str">
        <f>المدخلات!$F$6</f>
        <v>7:20–8:50 م</v>
      </c>
      <c r="C81" s="12">
        <v>2</v>
      </c>
      <c r="D81" s="12" t="s">
        <v>17</v>
      </c>
      <c r="E81" s="12" t="s">
        <v>25</v>
      </c>
      <c r="F81" s="7"/>
      <c r="G81" s="5"/>
    </row>
    <row r="82" spans="1:7">
      <c r="A82" s="11">
        <v>14</v>
      </c>
      <c r="B82" s="12" t="str">
        <f>المدخلات!$F$4</f>
        <v>4:00–5:30 م</v>
      </c>
      <c r="C82" s="12">
        <v>1</v>
      </c>
      <c r="D82" s="12" t="s">
        <v>89</v>
      </c>
      <c r="E82" s="12" t="s">
        <v>70</v>
      </c>
      <c r="F82" s="7"/>
      <c r="G82" s="5"/>
    </row>
    <row r="83" spans="1:7">
      <c r="A83" s="11">
        <v>14</v>
      </c>
      <c r="B83" s="12" t="str">
        <f>المدخلات!$F$4</f>
        <v>4:00–5:30 م</v>
      </c>
      <c r="C83" s="12">
        <v>2</v>
      </c>
      <c r="D83" s="12" t="s">
        <v>17</v>
      </c>
      <c r="E83" s="12" t="s">
        <v>28</v>
      </c>
      <c r="F83" s="7"/>
      <c r="G83" s="5"/>
    </row>
    <row r="84" spans="1:7">
      <c r="A84" s="11">
        <v>14</v>
      </c>
      <c r="B84" s="12" t="str">
        <f>المدخلات!$F$5</f>
        <v>5:40–7:10 م</v>
      </c>
      <c r="C84" s="12">
        <v>1</v>
      </c>
      <c r="D84" s="12" t="s">
        <v>89</v>
      </c>
      <c r="E84" s="12" t="s">
        <v>102</v>
      </c>
      <c r="F84" s="7"/>
      <c r="G84" s="5"/>
    </row>
    <row r="85" spans="1:7">
      <c r="A85" s="11">
        <v>14</v>
      </c>
      <c r="B85" s="12" t="str">
        <f>المدخلات!$F$5</f>
        <v>5:40–7:10 م</v>
      </c>
      <c r="C85" s="12">
        <v>2</v>
      </c>
      <c r="D85" s="12" t="s">
        <v>17</v>
      </c>
      <c r="E85" s="12" t="s">
        <v>27</v>
      </c>
      <c r="F85" s="7"/>
      <c r="G85" s="5"/>
    </row>
    <row r="86" spans="1:7">
      <c r="A86" s="11">
        <v>14</v>
      </c>
      <c r="B86" s="12" t="str">
        <f>المدخلات!$F$6</f>
        <v>7:20–8:50 م</v>
      </c>
      <c r="C86" s="12">
        <v>1</v>
      </c>
      <c r="D86" s="12" t="s">
        <v>17</v>
      </c>
      <c r="E86" s="12" t="s">
        <v>42</v>
      </c>
      <c r="F86" s="7"/>
      <c r="G86" s="5"/>
    </row>
    <row r="87" spans="1:7">
      <c r="A87" s="11">
        <v>14</v>
      </c>
      <c r="B87" s="12" t="str">
        <f>المدخلات!$F$6</f>
        <v>7:20–8:50 م</v>
      </c>
      <c r="C87" s="12">
        <v>2</v>
      </c>
      <c r="D87" s="12" t="s">
        <v>89</v>
      </c>
      <c r="E87" s="12" t="s">
        <v>60</v>
      </c>
      <c r="F87" s="7"/>
      <c r="G87" s="5"/>
    </row>
    <row r="88" spans="1:7">
      <c r="A88" s="11">
        <v>15</v>
      </c>
      <c r="B88" s="12" t="str">
        <f>المدخلات!$F$4</f>
        <v>4:00–5:30 م</v>
      </c>
      <c r="C88" s="12">
        <v>1</v>
      </c>
      <c r="D88" s="12" t="s">
        <v>17</v>
      </c>
      <c r="E88" s="12" t="s">
        <v>27</v>
      </c>
      <c r="F88" s="7"/>
      <c r="G88" s="5"/>
    </row>
    <row r="89" spans="1:7">
      <c r="A89" s="11">
        <v>15</v>
      </c>
      <c r="B89" s="12" t="str">
        <f>المدخلات!$F$4</f>
        <v>4:00–5:30 م</v>
      </c>
      <c r="C89" s="12">
        <v>2</v>
      </c>
      <c r="D89" s="12" t="s">
        <v>89</v>
      </c>
      <c r="E89" s="12" t="s">
        <v>60</v>
      </c>
      <c r="F89" s="7"/>
      <c r="G89" s="5"/>
    </row>
    <row r="90" spans="1:7">
      <c r="A90" s="11">
        <v>15</v>
      </c>
      <c r="B90" s="12" t="str">
        <f>المدخلات!$F$5</f>
        <v>5:40–7:10 م</v>
      </c>
      <c r="C90" s="12">
        <v>1</v>
      </c>
      <c r="D90" s="12" t="s">
        <v>89</v>
      </c>
      <c r="E90" s="12" t="s">
        <v>102</v>
      </c>
      <c r="F90" s="7"/>
      <c r="G90" s="5"/>
    </row>
    <row r="91" spans="1:7">
      <c r="A91" s="11">
        <v>15</v>
      </c>
      <c r="B91" s="12" t="str">
        <f>المدخلات!$F$5</f>
        <v>5:40–7:10 م</v>
      </c>
      <c r="C91" s="12">
        <v>2</v>
      </c>
      <c r="D91" s="12" t="s">
        <v>17</v>
      </c>
      <c r="E91" s="12" t="s">
        <v>42</v>
      </c>
      <c r="F91" s="7"/>
      <c r="G91" s="5"/>
    </row>
    <row r="92" spans="1:7">
      <c r="A92" s="11">
        <v>15</v>
      </c>
      <c r="B92" s="12" t="str">
        <f>المدخلات!$F$6</f>
        <v>7:20–8:50 م</v>
      </c>
      <c r="C92" s="12">
        <v>1</v>
      </c>
      <c r="D92" s="12" t="s">
        <v>17</v>
      </c>
      <c r="E92" s="12" t="s">
        <v>28</v>
      </c>
      <c r="F92" s="7"/>
      <c r="G92" s="5"/>
    </row>
    <row r="93" spans="1:7">
      <c r="A93" s="11">
        <v>15</v>
      </c>
      <c r="B93" s="12" t="str">
        <f>المدخلات!$F$6</f>
        <v>7:20–8:50 م</v>
      </c>
      <c r="C93" s="12">
        <v>2</v>
      </c>
      <c r="D93" s="12" t="s">
        <v>89</v>
      </c>
      <c r="E93" s="12" t="s">
        <v>70</v>
      </c>
      <c r="F93" s="7"/>
      <c r="G93" s="5"/>
    </row>
    <row r="94" spans="1:7">
      <c r="A94" s="11">
        <v>16</v>
      </c>
      <c r="B94" s="12" t="str">
        <f>المدخلات!$F$4</f>
        <v>4:00–5:30 م</v>
      </c>
      <c r="C94" s="12">
        <v>1</v>
      </c>
      <c r="D94" s="12" t="s">
        <v>17</v>
      </c>
      <c r="E94" s="12" t="s">
        <v>43</v>
      </c>
      <c r="F94" s="7"/>
      <c r="G94" s="5"/>
    </row>
    <row r="95" spans="1:7">
      <c r="A95" s="11">
        <v>16</v>
      </c>
      <c r="B95" s="12" t="str">
        <f>المدخلات!$F$4</f>
        <v>4:00–5:30 م</v>
      </c>
      <c r="C95" s="12">
        <v>2</v>
      </c>
      <c r="D95" s="12" t="s">
        <v>89</v>
      </c>
      <c r="E95" s="12" t="s">
        <v>103</v>
      </c>
      <c r="F95" s="7"/>
      <c r="G95" s="5"/>
    </row>
    <row r="96" spans="1:7">
      <c r="A96" s="11">
        <v>16</v>
      </c>
      <c r="B96" s="12" t="str">
        <f>المدخلات!$F$5</f>
        <v>5:40–7:10 م</v>
      </c>
      <c r="C96" s="12">
        <v>1</v>
      </c>
      <c r="D96" s="12" t="s">
        <v>89</v>
      </c>
      <c r="E96" s="12" t="s">
        <v>56</v>
      </c>
      <c r="F96" s="7"/>
      <c r="G96" s="5"/>
    </row>
    <row r="97" spans="1:7">
      <c r="A97" s="11">
        <v>16</v>
      </c>
      <c r="B97" s="12" t="str">
        <f>المدخلات!$F$5</f>
        <v>5:40–7:10 م</v>
      </c>
      <c r="C97" s="12">
        <v>2</v>
      </c>
      <c r="D97" s="12" t="s">
        <v>17</v>
      </c>
      <c r="E97" s="12" t="s">
        <v>29</v>
      </c>
      <c r="F97" s="7"/>
      <c r="G97" s="5"/>
    </row>
    <row r="98" spans="1:7">
      <c r="A98" s="11">
        <v>16</v>
      </c>
      <c r="B98" s="12" t="str">
        <f>المدخلات!$F$6</f>
        <v>7:20–8:50 م</v>
      </c>
      <c r="C98" s="12">
        <v>1</v>
      </c>
      <c r="D98" s="12" t="s">
        <v>17</v>
      </c>
      <c r="E98" s="12" t="s">
        <v>30</v>
      </c>
      <c r="F98" s="7"/>
      <c r="G98" s="5"/>
    </row>
    <row r="99" spans="1:7">
      <c r="A99" s="11">
        <v>16</v>
      </c>
      <c r="B99" s="12" t="str">
        <f>المدخلات!$F$6</f>
        <v>7:20–8:50 م</v>
      </c>
      <c r="C99" s="12">
        <v>2</v>
      </c>
      <c r="D99" s="12" t="s">
        <v>89</v>
      </c>
      <c r="E99" s="12" t="s">
        <v>93</v>
      </c>
      <c r="F99" s="7"/>
      <c r="G99" s="5"/>
    </row>
    <row r="100" spans="1:7">
      <c r="A100" s="11">
        <v>17</v>
      </c>
      <c r="B100" s="12" t="str">
        <f>المدخلات!$F$4</f>
        <v>4:00–5:30 م</v>
      </c>
      <c r="C100" s="12">
        <v>1</v>
      </c>
      <c r="D100" s="12" t="s">
        <v>17</v>
      </c>
      <c r="E100" s="12" t="s">
        <v>31</v>
      </c>
      <c r="F100" s="7"/>
      <c r="G100" s="5"/>
    </row>
    <row r="101" spans="1:7">
      <c r="A101" s="11">
        <v>17</v>
      </c>
      <c r="B101" s="12" t="str">
        <f>المدخلات!$F$4</f>
        <v>4:00–5:30 م</v>
      </c>
      <c r="C101" s="12">
        <v>2</v>
      </c>
      <c r="D101" s="12" t="s">
        <v>89</v>
      </c>
      <c r="E101" s="12" t="s">
        <v>94</v>
      </c>
      <c r="F101" s="7"/>
      <c r="G101" s="5"/>
    </row>
    <row r="102" spans="1:7">
      <c r="A102" s="11">
        <v>17</v>
      </c>
      <c r="B102" s="12" t="str">
        <f>المدخلات!$F$5</f>
        <v>5:40–7:10 م</v>
      </c>
      <c r="C102" s="12">
        <v>1</v>
      </c>
      <c r="D102" s="12" t="s">
        <v>89</v>
      </c>
      <c r="E102" s="12" t="s">
        <v>84</v>
      </c>
      <c r="F102" s="7"/>
      <c r="G102" s="5"/>
    </row>
    <row r="103" spans="1:7">
      <c r="A103" s="11">
        <v>17</v>
      </c>
      <c r="B103" s="12" t="str">
        <f>المدخلات!$F$5</f>
        <v>5:40–7:10 م</v>
      </c>
      <c r="C103" s="12">
        <v>2</v>
      </c>
      <c r="D103" s="12" t="s">
        <v>17</v>
      </c>
      <c r="E103" s="12" t="s">
        <v>32</v>
      </c>
      <c r="F103" s="7"/>
      <c r="G103" s="5"/>
    </row>
    <row r="104" spans="1:7">
      <c r="A104" s="11">
        <v>17</v>
      </c>
      <c r="B104" s="12" t="str">
        <f>المدخلات!$F$6</f>
        <v>7:20–8:50 م</v>
      </c>
      <c r="C104" s="12">
        <v>1</v>
      </c>
      <c r="D104" s="12" t="s">
        <v>89</v>
      </c>
      <c r="E104" s="12" t="s">
        <v>98</v>
      </c>
      <c r="F104" s="7"/>
      <c r="G104" s="5"/>
    </row>
    <row r="105" spans="1:7">
      <c r="A105" s="11">
        <v>17</v>
      </c>
      <c r="B105" s="12" t="str">
        <f>المدخلات!$F$6</f>
        <v>7:20–8:50 م</v>
      </c>
      <c r="C105" s="12">
        <v>2</v>
      </c>
      <c r="D105" s="12" t="s">
        <v>17</v>
      </c>
      <c r="E105" s="12" t="s">
        <v>38</v>
      </c>
      <c r="F105" s="7"/>
      <c r="G105" s="5"/>
    </row>
    <row r="106" spans="1:7">
      <c r="A106" s="11">
        <v>18</v>
      </c>
      <c r="B106" s="12" t="str">
        <f>المدخلات!$F$4</f>
        <v>4:00–5:30 م</v>
      </c>
      <c r="C106" s="12">
        <v>1</v>
      </c>
      <c r="D106" s="12" t="s">
        <v>89</v>
      </c>
      <c r="E106" s="12" t="s">
        <v>85</v>
      </c>
      <c r="F106" s="7"/>
      <c r="G106" s="5"/>
    </row>
    <row r="107" spans="1:7">
      <c r="A107" s="11">
        <v>18</v>
      </c>
      <c r="B107" s="12" t="str">
        <f>المدخلات!$F$4</f>
        <v>4:00–5:30 م</v>
      </c>
      <c r="C107" s="12">
        <v>2</v>
      </c>
      <c r="D107" s="12" t="s">
        <v>89</v>
      </c>
      <c r="E107" s="12" t="s">
        <v>99</v>
      </c>
      <c r="F107" s="7"/>
      <c r="G107" s="5"/>
    </row>
    <row r="108" spans="1:7">
      <c r="A108" s="11">
        <v>18</v>
      </c>
      <c r="B108" s="12" t="str">
        <f>المدخلات!$F$5</f>
        <v>5:40–7:10 م</v>
      </c>
      <c r="C108" s="12">
        <v>1</v>
      </c>
      <c r="D108" s="12" t="s">
        <v>17</v>
      </c>
      <c r="E108" s="12" t="s">
        <v>19</v>
      </c>
      <c r="F108" s="7"/>
      <c r="G108" s="5"/>
    </row>
    <row r="109" spans="1:7">
      <c r="A109" s="11">
        <v>18</v>
      </c>
      <c r="B109" s="12" t="str">
        <f>المدخلات!$F$5</f>
        <v>5:40–7:10 م</v>
      </c>
      <c r="C109" s="12">
        <v>2</v>
      </c>
      <c r="D109" s="12" t="s">
        <v>17</v>
      </c>
      <c r="E109" s="12" t="s">
        <v>39</v>
      </c>
      <c r="F109" s="7"/>
      <c r="G109" s="5"/>
    </row>
    <row r="110" spans="1:7">
      <c r="A110" s="11">
        <v>18</v>
      </c>
      <c r="B110" s="12" t="str">
        <f>المدخلات!$F$6</f>
        <v>7:20–8:50 م</v>
      </c>
      <c r="C110" s="12">
        <v>1</v>
      </c>
      <c r="D110" s="12" t="s">
        <v>89</v>
      </c>
      <c r="E110" s="12" t="s">
        <v>74</v>
      </c>
      <c r="F110" s="7"/>
      <c r="G110" s="5"/>
    </row>
    <row r="111" spans="1:7">
      <c r="A111" s="11">
        <v>18</v>
      </c>
      <c r="B111" s="12" t="str">
        <f>المدخلات!$F$6</f>
        <v>7:20–8:50 م</v>
      </c>
      <c r="C111" s="12">
        <v>2</v>
      </c>
      <c r="D111" s="12" t="s">
        <v>17</v>
      </c>
      <c r="E111" s="12" t="s">
        <v>20</v>
      </c>
      <c r="F111" s="7"/>
      <c r="G111" s="5"/>
    </row>
    <row r="112" spans="1:7">
      <c r="A112" s="11">
        <v>19</v>
      </c>
      <c r="B112" s="12" t="str">
        <f>المدخلات!$F$4</f>
        <v>4:00–5:30 م</v>
      </c>
      <c r="C112" s="12">
        <v>1</v>
      </c>
      <c r="D112" s="12" t="s">
        <v>17</v>
      </c>
      <c r="E112" s="12" t="s">
        <v>40</v>
      </c>
      <c r="F112" s="7"/>
      <c r="G112" s="5"/>
    </row>
    <row r="113" spans="1:7">
      <c r="A113" s="11">
        <v>19</v>
      </c>
      <c r="B113" s="12" t="str">
        <f>المدخلات!$F$4</f>
        <v>4:00–5:30 م</v>
      </c>
      <c r="C113" s="12">
        <v>2</v>
      </c>
      <c r="D113" s="12" t="s">
        <v>17</v>
      </c>
      <c r="E113" s="12" t="s">
        <v>23</v>
      </c>
      <c r="F113" s="7"/>
      <c r="G113" s="5"/>
    </row>
    <row r="114" spans="1:7">
      <c r="A114" s="11">
        <v>19</v>
      </c>
      <c r="B114" s="12" t="str">
        <f>المدخلات!$F$5</f>
        <v>5:40–7:10 م</v>
      </c>
      <c r="C114" s="12">
        <v>1</v>
      </c>
      <c r="D114" s="12" t="s">
        <v>89</v>
      </c>
      <c r="E114" s="12" t="s">
        <v>64</v>
      </c>
      <c r="F114" s="7"/>
      <c r="G114" s="5"/>
    </row>
    <row r="115" spans="1:7">
      <c r="A115" s="11">
        <v>19</v>
      </c>
      <c r="B115" s="12" t="str">
        <f>المدخلات!$F$5</f>
        <v>5:40–7:10 م</v>
      </c>
      <c r="C115" s="12">
        <v>2</v>
      </c>
      <c r="D115" s="12" t="s">
        <v>89</v>
      </c>
      <c r="E115" s="12" t="s">
        <v>100</v>
      </c>
      <c r="F115" s="7"/>
      <c r="G115" s="5"/>
    </row>
    <row r="116" spans="1:7">
      <c r="A116" s="11">
        <v>19</v>
      </c>
      <c r="B116" s="12" t="str">
        <f>المدخلات!$F$6</f>
        <v>7:20–8:50 م</v>
      </c>
      <c r="C116" s="12">
        <v>1</v>
      </c>
      <c r="D116" s="12" t="s">
        <v>89</v>
      </c>
      <c r="E116" s="12" t="s">
        <v>90</v>
      </c>
      <c r="F116" s="7"/>
      <c r="G116" s="5"/>
    </row>
    <row r="117" spans="1:7">
      <c r="A117" s="11">
        <v>19</v>
      </c>
      <c r="B117" s="12" t="str">
        <f>المدخلات!$F$6</f>
        <v>7:20–8:50 م</v>
      </c>
      <c r="C117" s="12">
        <v>2</v>
      </c>
      <c r="D117" s="12" t="s">
        <v>17</v>
      </c>
      <c r="E117" s="12" t="s">
        <v>18</v>
      </c>
      <c r="F117" s="7"/>
      <c r="G117" s="5"/>
    </row>
    <row r="118" spans="1:7">
      <c r="A118" s="11">
        <v>20</v>
      </c>
      <c r="B118" s="12" t="str">
        <f>المدخلات!$F$4</f>
        <v>4:00–5:30 م</v>
      </c>
      <c r="C118" s="12">
        <v>1</v>
      </c>
      <c r="D118" s="12" t="s">
        <v>17</v>
      </c>
      <c r="E118" s="12" t="s">
        <v>21</v>
      </c>
      <c r="F118" s="7"/>
      <c r="G118" s="5"/>
    </row>
    <row r="119" spans="1:7">
      <c r="A119" s="11">
        <v>20</v>
      </c>
      <c r="B119" s="12" t="str">
        <f>المدخلات!$F$4</f>
        <v>4:00–5:30 م</v>
      </c>
      <c r="C119" s="12">
        <v>2</v>
      </c>
      <c r="D119" s="12" t="s">
        <v>17</v>
      </c>
      <c r="E119" s="12" t="s">
        <v>22</v>
      </c>
      <c r="F119" s="7"/>
      <c r="G119" s="5"/>
    </row>
    <row r="120" spans="1:7">
      <c r="A120" s="11">
        <v>20</v>
      </c>
      <c r="B120" s="12" t="str">
        <f>المدخلات!$F$5</f>
        <v>5:40–7:10 م</v>
      </c>
      <c r="C120" s="12">
        <v>1</v>
      </c>
      <c r="D120" s="12" t="s">
        <v>89</v>
      </c>
      <c r="E120" s="12" t="s">
        <v>80</v>
      </c>
      <c r="F120" s="7"/>
      <c r="G120" s="5"/>
    </row>
    <row r="121" spans="1:7">
      <c r="A121" s="11">
        <v>20</v>
      </c>
      <c r="B121" s="12" t="str">
        <f>المدخلات!$F$5</f>
        <v>5:40–7:10 م</v>
      </c>
      <c r="C121" s="12">
        <v>2</v>
      </c>
      <c r="D121" s="12" t="s">
        <v>89</v>
      </c>
      <c r="E121" s="12" t="s">
        <v>91</v>
      </c>
      <c r="F121" s="7"/>
      <c r="G121" s="5"/>
    </row>
    <row r="122" spans="1:7">
      <c r="A122" s="11">
        <v>20</v>
      </c>
      <c r="B122" s="12" t="str">
        <f>المدخلات!$F$6</f>
        <v>7:20–8:50 م</v>
      </c>
      <c r="C122" s="12">
        <v>1</v>
      </c>
      <c r="D122" s="12" t="s">
        <v>17</v>
      </c>
      <c r="E122" s="12" t="s">
        <v>41</v>
      </c>
      <c r="F122" s="7"/>
      <c r="G122" s="5"/>
    </row>
    <row r="123" spans="1:7">
      <c r="A123" s="11">
        <v>20</v>
      </c>
      <c r="B123" s="12" t="str">
        <f>المدخلات!$F$6</f>
        <v>7:20–8:50 م</v>
      </c>
      <c r="C123" s="12">
        <v>2</v>
      </c>
      <c r="D123" s="12" t="s">
        <v>89</v>
      </c>
      <c r="E123" s="12" t="s">
        <v>101</v>
      </c>
      <c r="F123" s="7"/>
      <c r="G123" s="5"/>
    </row>
    <row r="124" spans="1:7">
      <c r="A124" s="11">
        <v>21</v>
      </c>
      <c r="B124" s="12" t="str">
        <f>المدخلات!$F$4</f>
        <v>4:00–5:30 م</v>
      </c>
      <c r="C124" s="12">
        <v>1</v>
      </c>
      <c r="D124" s="12" t="s">
        <v>89</v>
      </c>
      <c r="E124" s="12" t="s">
        <v>79</v>
      </c>
      <c r="F124" s="7"/>
      <c r="G124" s="5"/>
    </row>
    <row r="125" spans="1:7">
      <c r="A125" s="11">
        <v>21</v>
      </c>
      <c r="B125" s="12" t="str">
        <f>المدخلات!$F$4</f>
        <v>4:00–5:30 م</v>
      </c>
      <c r="C125" s="12">
        <v>2</v>
      </c>
      <c r="D125" s="12" t="s">
        <v>89</v>
      </c>
      <c r="E125" s="12" t="s">
        <v>75</v>
      </c>
      <c r="F125" s="7"/>
      <c r="G125" s="5"/>
    </row>
    <row r="126" spans="1:7">
      <c r="A126" s="11">
        <v>21</v>
      </c>
      <c r="B126" s="12" t="str">
        <f>المدخلات!$F$5</f>
        <v>5:40–7:10 م</v>
      </c>
      <c r="C126" s="12">
        <v>1</v>
      </c>
      <c r="D126" s="12" t="s">
        <v>17</v>
      </c>
      <c r="E126" s="12" t="s">
        <v>24</v>
      </c>
      <c r="F126" s="7"/>
      <c r="G126" s="5"/>
    </row>
    <row r="127" spans="1:7">
      <c r="A127" s="11">
        <v>21</v>
      </c>
      <c r="B127" s="12" t="str">
        <f>المدخلات!$F$5</f>
        <v>5:40–7:10 م</v>
      </c>
      <c r="C127" s="12">
        <v>2</v>
      </c>
      <c r="D127" s="12" t="s">
        <v>17</v>
      </c>
      <c r="E127" s="12" t="s">
        <v>25</v>
      </c>
      <c r="F127" s="7"/>
      <c r="G127" s="5"/>
    </row>
    <row r="128" spans="1:7">
      <c r="A128" s="11">
        <v>21</v>
      </c>
      <c r="B128" s="12" t="str">
        <f>المدخلات!$F$6</f>
        <v>7:20–8:50 م</v>
      </c>
      <c r="C128" s="12">
        <v>1</v>
      </c>
      <c r="D128" s="12" t="s">
        <v>17</v>
      </c>
      <c r="E128" s="12" t="s">
        <v>26</v>
      </c>
      <c r="F128" s="7"/>
      <c r="G128" s="5"/>
    </row>
    <row r="129" spans="1:15">
      <c r="A129" s="11">
        <v>21</v>
      </c>
      <c r="B129" s="12" t="str">
        <f>المدخلات!$F$6</f>
        <v>7:20–8:50 م</v>
      </c>
      <c r="C129" s="12">
        <v>2</v>
      </c>
      <c r="D129" s="12" t="s">
        <v>89</v>
      </c>
      <c r="E129" s="12" t="s">
        <v>92</v>
      </c>
      <c r="F129" s="7"/>
      <c r="G129" s="5"/>
    </row>
    <row r="130" spans="1:15">
      <c r="A130" s="11">
        <v>22</v>
      </c>
      <c r="B130" s="12" t="str">
        <f>المدخلات!$F$4</f>
        <v>4:00–5:30 م</v>
      </c>
      <c r="C130" s="12">
        <v>1</v>
      </c>
      <c r="D130" s="12" t="s">
        <v>95</v>
      </c>
      <c r="E130" s="12" t="s">
        <v>96</v>
      </c>
      <c r="F130" s="7"/>
      <c r="G130" s="5"/>
    </row>
    <row r="131" spans="1:15">
      <c r="A131" s="5"/>
      <c r="B131" s="5"/>
      <c r="C131" s="5"/>
      <c r="D131" s="5"/>
      <c r="E131" s="5"/>
      <c r="F131" s="5"/>
      <c r="G131" s="5"/>
    </row>
    <row r="132" spans="1:15">
      <c r="A132" s="5"/>
      <c r="B132" s="5"/>
      <c r="C132" s="5"/>
      <c r="D132" s="5"/>
      <c r="E132" s="5"/>
      <c r="F132" s="5"/>
      <c r="G132" s="5"/>
    </row>
    <row r="133" spans="1:15" ht="15.5">
      <c r="A133" s="52" t="s">
        <v>363</v>
      </c>
      <c r="B133" s="52"/>
      <c r="C133" s="52"/>
      <c r="D133" s="52"/>
      <c r="E133" s="52"/>
      <c r="F133" s="52"/>
      <c r="G133" s="52"/>
      <c r="H133" s="52"/>
      <c r="I133" s="52"/>
      <c r="J133" s="52"/>
      <c r="K133" s="52"/>
      <c r="L133" s="52"/>
      <c r="M133" s="52"/>
      <c r="N133" s="52"/>
      <c r="O133" s="52"/>
    </row>
    <row r="134" spans="1:15">
      <c r="A134" s="9" t="s">
        <v>362</v>
      </c>
      <c r="B134" s="9">
        <v>1</v>
      </c>
      <c r="C134" s="9">
        <v>2</v>
      </c>
      <c r="D134" s="9">
        <v>3</v>
      </c>
      <c r="E134" s="9">
        <v>4</v>
      </c>
      <c r="F134" s="9">
        <v>5</v>
      </c>
      <c r="G134" s="9">
        <v>6</v>
      </c>
      <c r="H134" s="9">
        <v>7</v>
      </c>
      <c r="I134" s="9">
        <v>8</v>
      </c>
      <c r="J134" s="9">
        <v>9</v>
      </c>
      <c r="K134" s="9">
        <v>10</v>
      </c>
      <c r="L134" s="9">
        <v>11</v>
      </c>
      <c r="M134" s="9">
        <v>12</v>
      </c>
      <c r="N134" s="9">
        <v>13</v>
      </c>
      <c r="O134" s="9">
        <v>14</v>
      </c>
    </row>
    <row r="135" spans="1:15">
      <c r="A135" s="9">
        <v>1</v>
      </c>
      <c r="B135" s="12" t="str">
        <f t="shared" ref="B135:O148" si="0">IF($A135=B$134,"",COUNTIF($E$4:$E$130,$A135&amp;" ضد "&amp;B$134)+COUNTIF($E$4:$E$130,B$134&amp;" ضد "&amp;$A135))</f>
        <v/>
      </c>
      <c r="C135" s="12">
        <f t="shared" si="0"/>
        <v>3</v>
      </c>
      <c r="D135" s="12">
        <f t="shared" si="0"/>
        <v>3</v>
      </c>
      <c r="E135" s="12">
        <f t="shared" si="0"/>
        <v>3</v>
      </c>
      <c r="F135" s="12">
        <f t="shared" si="0"/>
        <v>3</v>
      </c>
      <c r="G135" s="12">
        <f t="shared" si="0"/>
        <v>3</v>
      </c>
      <c r="H135" s="12">
        <f t="shared" si="0"/>
        <v>3</v>
      </c>
      <c r="I135" s="12">
        <f t="shared" si="0"/>
        <v>0</v>
      </c>
      <c r="J135" s="12">
        <f t="shared" si="0"/>
        <v>0</v>
      </c>
      <c r="K135" s="12">
        <f t="shared" si="0"/>
        <v>0</v>
      </c>
      <c r="L135" s="12">
        <f t="shared" si="0"/>
        <v>0</v>
      </c>
      <c r="M135" s="12">
        <f t="shared" si="0"/>
        <v>0</v>
      </c>
      <c r="N135" s="12">
        <f t="shared" si="0"/>
        <v>0</v>
      </c>
      <c r="O135" s="12">
        <f t="shared" si="0"/>
        <v>0</v>
      </c>
    </row>
    <row r="136" spans="1:15">
      <c r="A136" s="9">
        <v>2</v>
      </c>
      <c r="B136" s="12">
        <f t="shared" si="0"/>
        <v>3</v>
      </c>
      <c r="C136" s="12" t="str">
        <f t="shared" si="0"/>
        <v/>
      </c>
      <c r="D136" s="12">
        <f t="shared" si="0"/>
        <v>3</v>
      </c>
      <c r="E136" s="12">
        <f t="shared" si="0"/>
        <v>3</v>
      </c>
      <c r="F136" s="12">
        <f t="shared" si="0"/>
        <v>3</v>
      </c>
      <c r="G136" s="12">
        <f t="shared" si="0"/>
        <v>3</v>
      </c>
      <c r="H136" s="12">
        <f t="shared" si="0"/>
        <v>3</v>
      </c>
      <c r="I136" s="12">
        <f t="shared" si="0"/>
        <v>0</v>
      </c>
      <c r="J136" s="12">
        <f t="shared" si="0"/>
        <v>0</v>
      </c>
      <c r="K136" s="12">
        <f t="shared" si="0"/>
        <v>0</v>
      </c>
      <c r="L136" s="12">
        <f t="shared" si="0"/>
        <v>0</v>
      </c>
      <c r="M136" s="12">
        <f t="shared" si="0"/>
        <v>0</v>
      </c>
      <c r="N136" s="12">
        <f t="shared" si="0"/>
        <v>0</v>
      </c>
      <c r="O136" s="12">
        <f t="shared" si="0"/>
        <v>0</v>
      </c>
    </row>
    <row r="137" spans="1:15">
      <c r="A137" s="9">
        <v>3</v>
      </c>
      <c r="B137" s="12">
        <f t="shared" si="0"/>
        <v>3</v>
      </c>
      <c r="C137" s="12">
        <f t="shared" si="0"/>
        <v>3</v>
      </c>
      <c r="D137" s="12" t="str">
        <f t="shared" si="0"/>
        <v/>
      </c>
      <c r="E137" s="12">
        <f t="shared" si="0"/>
        <v>3</v>
      </c>
      <c r="F137" s="12">
        <f t="shared" si="0"/>
        <v>3</v>
      </c>
      <c r="G137" s="12">
        <f t="shared" si="0"/>
        <v>3</v>
      </c>
      <c r="H137" s="12">
        <f t="shared" si="0"/>
        <v>3</v>
      </c>
      <c r="I137" s="12">
        <f t="shared" si="0"/>
        <v>0</v>
      </c>
      <c r="J137" s="12">
        <f t="shared" si="0"/>
        <v>0</v>
      </c>
      <c r="K137" s="12">
        <f t="shared" si="0"/>
        <v>0</v>
      </c>
      <c r="L137" s="12">
        <f t="shared" si="0"/>
        <v>0</v>
      </c>
      <c r="M137" s="12">
        <f t="shared" si="0"/>
        <v>0</v>
      </c>
      <c r="N137" s="12">
        <f t="shared" si="0"/>
        <v>0</v>
      </c>
      <c r="O137" s="12">
        <f t="shared" si="0"/>
        <v>0</v>
      </c>
    </row>
    <row r="138" spans="1:15">
      <c r="A138" s="9">
        <v>4</v>
      </c>
      <c r="B138" s="12">
        <f t="shared" si="0"/>
        <v>3</v>
      </c>
      <c r="C138" s="12">
        <f t="shared" si="0"/>
        <v>3</v>
      </c>
      <c r="D138" s="12">
        <f t="shared" si="0"/>
        <v>3</v>
      </c>
      <c r="E138" s="12" t="str">
        <f t="shared" si="0"/>
        <v/>
      </c>
      <c r="F138" s="12">
        <f t="shared" si="0"/>
        <v>3</v>
      </c>
      <c r="G138" s="12">
        <f t="shared" si="0"/>
        <v>3</v>
      </c>
      <c r="H138" s="12">
        <f t="shared" si="0"/>
        <v>3</v>
      </c>
      <c r="I138" s="12">
        <f t="shared" si="0"/>
        <v>0</v>
      </c>
      <c r="J138" s="12">
        <f t="shared" si="0"/>
        <v>0</v>
      </c>
      <c r="K138" s="12">
        <f t="shared" si="0"/>
        <v>0</v>
      </c>
      <c r="L138" s="12">
        <f t="shared" si="0"/>
        <v>0</v>
      </c>
      <c r="M138" s="12">
        <f t="shared" si="0"/>
        <v>0</v>
      </c>
      <c r="N138" s="12">
        <f t="shared" si="0"/>
        <v>0</v>
      </c>
      <c r="O138" s="12">
        <f t="shared" si="0"/>
        <v>0</v>
      </c>
    </row>
    <row r="139" spans="1:15">
      <c r="A139" s="9">
        <v>5</v>
      </c>
      <c r="B139" s="12">
        <f t="shared" si="0"/>
        <v>3</v>
      </c>
      <c r="C139" s="12">
        <f t="shared" si="0"/>
        <v>3</v>
      </c>
      <c r="D139" s="12">
        <f t="shared" si="0"/>
        <v>3</v>
      </c>
      <c r="E139" s="12">
        <f t="shared" si="0"/>
        <v>3</v>
      </c>
      <c r="F139" s="12" t="str">
        <f t="shared" si="0"/>
        <v/>
      </c>
      <c r="G139" s="12">
        <f t="shared" si="0"/>
        <v>3</v>
      </c>
      <c r="H139" s="12">
        <f t="shared" si="0"/>
        <v>3</v>
      </c>
      <c r="I139" s="12">
        <f t="shared" si="0"/>
        <v>0</v>
      </c>
      <c r="J139" s="12">
        <f t="shared" si="0"/>
        <v>0</v>
      </c>
      <c r="K139" s="12">
        <f t="shared" si="0"/>
        <v>0</v>
      </c>
      <c r="L139" s="12">
        <f t="shared" si="0"/>
        <v>0</v>
      </c>
      <c r="M139" s="12">
        <f t="shared" si="0"/>
        <v>0</v>
      </c>
      <c r="N139" s="12">
        <f t="shared" si="0"/>
        <v>0</v>
      </c>
      <c r="O139" s="12">
        <f t="shared" si="0"/>
        <v>0</v>
      </c>
    </row>
    <row r="140" spans="1:15">
      <c r="A140" s="9">
        <v>6</v>
      </c>
      <c r="B140" s="12">
        <f t="shared" si="0"/>
        <v>3</v>
      </c>
      <c r="C140" s="12">
        <f t="shared" si="0"/>
        <v>3</v>
      </c>
      <c r="D140" s="12">
        <f t="shared" si="0"/>
        <v>3</v>
      </c>
      <c r="E140" s="12">
        <f t="shared" si="0"/>
        <v>3</v>
      </c>
      <c r="F140" s="12">
        <f t="shared" si="0"/>
        <v>3</v>
      </c>
      <c r="G140" s="12" t="str">
        <f t="shared" si="0"/>
        <v/>
      </c>
      <c r="H140" s="12">
        <f t="shared" si="0"/>
        <v>3</v>
      </c>
      <c r="I140" s="12">
        <f t="shared" si="0"/>
        <v>0</v>
      </c>
      <c r="J140" s="12">
        <f t="shared" si="0"/>
        <v>0</v>
      </c>
      <c r="K140" s="12">
        <f t="shared" si="0"/>
        <v>0</v>
      </c>
      <c r="L140" s="12">
        <f t="shared" si="0"/>
        <v>0</v>
      </c>
      <c r="M140" s="12">
        <f t="shared" si="0"/>
        <v>0</v>
      </c>
      <c r="N140" s="12">
        <f t="shared" si="0"/>
        <v>0</v>
      </c>
      <c r="O140" s="12">
        <f t="shared" si="0"/>
        <v>0</v>
      </c>
    </row>
    <row r="141" spans="1:15">
      <c r="A141" s="9">
        <v>7</v>
      </c>
      <c r="B141" s="12">
        <f t="shared" si="0"/>
        <v>3</v>
      </c>
      <c r="C141" s="12">
        <f t="shared" si="0"/>
        <v>3</v>
      </c>
      <c r="D141" s="12">
        <f t="shared" si="0"/>
        <v>3</v>
      </c>
      <c r="E141" s="12">
        <f t="shared" si="0"/>
        <v>3</v>
      </c>
      <c r="F141" s="12">
        <f t="shared" si="0"/>
        <v>3</v>
      </c>
      <c r="G141" s="12">
        <f t="shared" si="0"/>
        <v>3</v>
      </c>
      <c r="H141" s="12" t="str">
        <f t="shared" si="0"/>
        <v/>
      </c>
      <c r="I141" s="12">
        <f t="shared" si="0"/>
        <v>0</v>
      </c>
      <c r="J141" s="12">
        <f t="shared" si="0"/>
        <v>0</v>
      </c>
      <c r="K141" s="12">
        <f t="shared" si="0"/>
        <v>0</v>
      </c>
      <c r="L141" s="12">
        <f t="shared" si="0"/>
        <v>0</v>
      </c>
      <c r="M141" s="12">
        <f t="shared" si="0"/>
        <v>0</v>
      </c>
      <c r="N141" s="12">
        <f t="shared" si="0"/>
        <v>0</v>
      </c>
      <c r="O141" s="12">
        <f t="shared" si="0"/>
        <v>0</v>
      </c>
    </row>
    <row r="142" spans="1:15">
      <c r="A142" s="9">
        <v>8</v>
      </c>
      <c r="B142" s="12">
        <f t="shared" si="0"/>
        <v>0</v>
      </c>
      <c r="C142" s="12">
        <f t="shared" si="0"/>
        <v>0</v>
      </c>
      <c r="D142" s="12">
        <f t="shared" si="0"/>
        <v>0</v>
      </c>
      <c r="E142" s="12">
        <f t="shared" si="0"/>
        <v>0</v>
      </c>
      <c r="F142" s="12">
        <f t="shared" si="0"/>
        <v>0</v>
      </c>
      <c r="G142" s="12">
        <f t="shared" si="0"/>
        <v>0</v>
      </c>
      <c r="H142" s="12">
        <f t="shared" si="0"/>
        <v>0</v>
      </c>
      <c r="I142" s="12" t="str">
        <f t="shared" si="0"/>
        <v/>
      </c>
      <c r="J142" s="12">
        <f t="shared" si="0"/>
        <v>3</v>
      </c>
      <c r="K142" s="12">
        <f t="shared" si="0"/>
        <v>3</v>
      </c>
      <c r="L142" s="12">
        <f t="shared" si="0"/>
        <v>3</v>
      </c>
      <c r="M142" s="12">
        <f t="shared" si="0"/>
        <v>3</v>
      </c>
      <c r="N142" s="12">
        <f t="shared" si="0"/>
        <v>3</v>
      </c>
      <c r="O142" s="12">
        <f t="shared" si="0"/>
        <v>3</v>
      </c>
    </row>
    <row r="143" spans="1:15">
      <c r="A143" s="9">
        <v>9</v>
      </c>
      <c r="B143" s="12">
        <f t="shared" si="0"/>
        <v>0</v>
      </c>
      <c r="C143" s="12">
        <f t="shared" si="0"/>
        <v>0</v>
      </c>
      <c r="D143" s="12">
        <f t="shared" si="0"/>
        <v>0</v>
      </c>
      <c r="E143" s="12">
        <f t="shared" si="0"/>
        <v>0</v>
      </c>
      <c r="F143" s="12">
        <f t="shared" si="0"/>
        <v>0</v>
      </c>
      <c r="G143" s="12">
        <f t="shared" si="0"/>
        <v>0</v>
      </c>
      <c r="H143" s="12">
        <f t="shared" si="0"/>
        <v>0</v>
      </c>
      <c r="I143" s="12">
        <f t="shared" si="0"/>
        <v>3</v>
      </c>
      <c r="J143" s="12" t="str">
        <f t="shared" si="0"/>
        <v/>
      </c>
      <c r="K143" s="12">
        <f t="shared" si="0"/>
        <v>3</v>
      </c>
      <c r="L143" s="12">
        <f t="shared" si="0"/>
        <v>3</v>
      </c>
      <c r="M143" s="12">
        <f t="shared" si="0"/>
        <v>3</v>
      </c>
      <c r="N143" s="12">
        <f t="shared" si="0"/>
        <v>3</v>
      </c>
      <c r="O143" s="12">
        <f t="shared" si="0"/>
        <v>3</v>
      </c>
    </row>
    <row r="144" spans="1:15">
      <c r="A144" s="9">
        <v>10</v>
      </c>
      <c r="B144" s="12">
        <f t="shared" si="0"/>
        <v>0</v>
      </c>
      <c r="C144" s="12">
        <f t="shared" si="0"/>
        <v>0</v>
      </c>
      <c r="D144" s="12">
        <f t="shared" si="0"/>
        <v>0</v>
      </c>
      <c r="E144" s="12">
        <f t="shared" si="0"/>
        <v>0</v>
      </c>
      <c r="F144" s="12">
        <f t="shared" si="0"/>
        <v>0</v>
      </c>
      <c r="G144" s="12">
        <f t="shared" si="0"/>
        <v>0</v>
      </c>
      <c r="H144" s="12">
        <f t="shared" si="0"/>
        <v>0</v>
      </c>
      <c r="I144" s="12">
        <f t="shared" si="0"/>
        <v>3</v>
      </c>
      <c r="J144" s="12">
        <f t="shared" si="0"/>
        <v>3</v>
      </c>
      <c r="K144" s="12" t="str">
        <f t="shared" si="0"/>
        <v/>
      </c>
      <c r="L144" s="12">
        <f t="shared" si="0"/>
        <v>3</v>
      </c>
      <c r="M144" s="12">
        <f t="shared" si="0"/>
        <v>3</v>
      </c>
      <c r="N144" s="12">
        <f t="shared" si="0"/>
        <v>3</v>
      </c>
      <c r="O144" s="12">
        <f t="shared" si="0"/>
        <v>3</v>
      </c>
    </row>
    <row r="145" spans="1:15">
      <c r="A145" s="9">
        <v>11</v>
      </c>
      <c r="B145" s="12">
        <f t="shared" si="0"/>
        <v>0</v>
      </c>
      <c r="C145" s="12">
        <f t="shared" si="0"/>
        <v>0</v>
      </c>
      <c r="D145" s="12">
        <f t="shared" si="0"/>
        <v>0</v>
      </c>
      <c r="E145" s="12">
        <f t="shared" si="0"/>
        <v>0</v>
      </c>
      <c r="F145" s="12">
        <f t="shared" si="0"/>
        <v>0</v>
      </c>
      <c r="G145" s="12">
        <f t="shared" si="0"/>
        <v>0</v>
      </c>
      <c r="H145" s="12">
        <f t="shared" si="0"/>
        <v>0</v>
      </c>
      <c r="I145" s="12">
        <f t="shared" si="0"/>
        <v>3</v>
      </c>
      <c r="J145" s="12">
        <f t="shared" si="0"/>
        <v>3</v>
      </c>
      <c r="K145" s="12">
        <f t="shared" si="0"/>
        <v>3</v>
      </c>
      <c r="L145" s="12" t="str">
        <f t="shared" si="0"/>
        <v/>
      </c>
      <c r="M145" s="12">
        <f t="shared" si="0"/>
        <v>3</v>
      </c>
      <c r="N145" s="12">
        <f t="shared" si="0"/>
        <v>3</v>
      </c>
      <c r="O145" s="12">
        <f t="shared" si="0"/>
        <v>3</v>
      </c>
    </row>
    <row r="146" spans="1:15">
      <c r="A146" s="9">
        <v>12</v>
      </c>
      <c r="B146" s="12">
        <f t="shared" si="0"/>
        <v>0</v>
      </c>
      <c r="C146" s="12">
        <f t="shared" si="0"/>
        <v>0</v>
      </c>
      <c r="D146" s="12">
        <f t="shared" si="0"/>
        <v>0</v>
      </c>
      <c r="E146" s="12">
        <f t="shared" si="0"/>
        <v>0</v>
      </c>
      <c r="F146" s="12">
        <f t="shared" si="0"/>
        <v>0</v>
      </c>
      <c r="G146" s="12">
        <f t="shared" si="0"/>
        <v>0</v>
      </c>
      <c r="H146" s="12">
        <f t="shared" si="0"/>
        <v>0</v>
      </c>
      <c r="I146" s="12">
        <f t="shared" si="0"/>
        <v>3</v>
      </c>
      <c r="J146" s="12">
        <f t="shared" si="0"/>
        <v>3</v>
      </c>
      <c r="K146" s="12">
        <f t="shared" si="0"/>
        <v>3</v>
      </c>
      <c r="L146" s="12">
        <f t="shared" si="0"/>
        <v>3</v>
      </c>
      <c r="M146" s="12" t="str">
        <f t="shared" si="0"/>
        <v/>
      </c>
      <c r="N146" s="12">
        <f t="shared" si="0"/>
        <v>3</v>
      </c>
      <c r="O146" s="12">
        <f t="shared" si="0"/>
        <v>3</v>
      </c>
    </row>
    <row r="147" spans="1:15">
      <c r="A147" s="9">
        <v>13</v>
      </c>
      <c r="B147" s="12">
        <f t="shared" si="0"/>
        <v>0</v>
      </c>
      <c r="C147" s="12">
        <f t="shared" si="0"/>
        <v>0</v>
      </c>
      <c r="D147" s="12">
        <f t="shared" si="0"/>
        <v>0</v>
      </c>
      <c r="E147" s="12">
        <f t="shared" si="0"/>
        <v>0</v>
      </c>
      <c r="F147" s="12">
        <f t="shared" si="0"/>
        <v>0</v>
      </c>
      <c r="G147" s="12">
        <f t="shared" si="0"/>
        <v>0</v>
      </c>
      <c r="H147" s="12">
        <f t="shared" si="0"/>
        <v>0</v>
      </c>
      <c r="I147" s="12">
        <f t="shared" si="0"/>
        <v>3</v>
      </c>
      <c r="J147" s="12">
        <f t="shared" si="0"/>
        <v>3</v>
      </c>
      <c r="K147" s="12">
        <f t="shared" si="0"/>
        <v>3</v>
      </c>
      <c r="L147" s="12">
        <f t="shared" si="0"/>
        <v>3</v>
      </c>
      <c r="M147" s="12">
        <f t="shared" si="0"/>
        <v>3</v>
      </c>
      <c r="N147" s="12" t="str">
        <f t="shared" si="0"/>
        <v/>
      </c>
      <c r="O147" s="12">
        <f t="shared" si="0"/>
        <v>3</v>
      </c>
    </row>
    <row r="148" spans="1:15">
      <c r="A148" s="9">
        <v>14</v>
      </c>
      <c r="B148" s="12">
        <f t="shared" si="0"/>
        <v>0</v>
      </c>
      <c r="C148" s="12">
        <f t="shared" si="0"/>
        <v>0</v>
      </c>
      <c r="D148" s="12">
        <f t="shared" si="0"/>
        <v>0</v>
      </c>
      <c r="E148" s="12">
        <f t="shared" si="0"/>
        <v>0</v>
      </c>
      <c r="F148" s="12">
        <f t="shared" si="0"/>
        <v>0</v>
      </c>
      <c r="G148" s="12">
        <f t="shared" si="0"/>
        <v>0</v>
      </c>
      <c r="H148" s="12">
        <f t="shared" si="0"/>
        <v>0</v>
      </c>
      <c r="I148" s="12">
        <f t="shared" si="0"/>
        <v>3</v>
      </c>
      <c r="J148" s="12">
        <f t="shared" si="0"/>
        <v>3</v>
      </c>
      <c r="K148" s="12">
        <f t="shared" si="0"/>
        <v>3</v>
      </c>
      <c r="L148" s="12">
        <f t="shared" si="0"/>
        <v>3</v>
      </c>
      <c r="M148" s="12">
        <f t="shared" si="0"/>
        <v>3</v>
      </c>
      <c r="N148" s="12">
        <f t="shared" si="0"/>
        <v>3</v>
      </c>
      <c r="O148" s="12" t="str">
        <f t="shared" si="0"/>
        <v/>
      </c>
    </row>
    <row r="149" spans="1:15">
      <c r="A149" s="17" t="s">
        <v>434</v>
      </c>
      <c r="B149" s="14">
        <f>_xlfn.MINIFS(B135:O148,B135:O148,"&gt;0")</f>
        <v>3</v>
      </c>
      <c r="C149" s="5"/>
      <c r="D149" s="5"/>
      <c r="E149" s="5"/>
      <c r="F149" s="5"/>
      <c r="G149" s="5"/>
    </row>
    <row r="150" spans="1:15">
      <c r="A150" s="17" t="s">
        <v>435</v>
      </c>
      <c r="B150" s="14">
        <f>MAX(B135:O148)</f>
        <v>3</v>
      </c>
      <c r="C150" s="5"/>
      <c r="D150" s="5"/>
      <c r="E150" s="5"/>
      <c r="F150" s="5"/>
      <c r="G150" s="5"/>
    </row>
    <row r="151" spans="1:15">
      <c r="A151" s="5"/>
      <c r="B151" s="5"/>
      <c r="C151" s="5"/>
      <c r="D151" s="5"/>
      <c r="E151" s="5"/>
      <c r="F151" s="5"/>
      <c r="G151" s="5"/>
    </row>
    <row r="152" spans="1:15">
      <c r="A152" s="5"/>
      <c r="B152" s="5"/>
      <c r="C152" s="5"/>
      <c r="D152" s="5"/>
      <c r="E152" s="5"/>
      <c r="F152" s="5"/>
      <c r="G152" s="5"/>
    </row>
    <row r="153" spans="1:15">
      <c r="A153" s="5"/>
      <c r="B153" s="5"/>
      <c r="C153" s="5"/>
      <c r="D153" s="5"/>
      <c r="E153" s="5"/>
      <c r="F153" s="5"/>
      <c r="G153" s="5"/>
    </row>
    <row r="154" spans="1:15">
      <c r="A154" s="5"/>
      <c r="B154" s="5"/>
      <c r="C154" s="5"/>
      <c r="D154" s="5"/>
      <c r="E154" s="5"/>
      <c r="F154" s="5"/>
      <c r="G154" s="5"/>
    </row>
    <row r="155" spans="1:15">
      <c r="A155" s="5"/>
      <c r="B155" s="5"/>
      <c r="C155" s="5"/>
      <c r="D155" s="5"/>
      <c r="E155" s="5"/>
      <c r="F155" s="5"/>
      <c r="G155" s="5"/>
    </row>
    <row r="156" spans="1:15">
      <c r="A156" s="5"/>
      <c r="B156" s="5"/>
      <c r="C156" s="5"/>
      <c r="D156" s="5"/>
      <c r="E156" s="5"/>
      <c r="F156" s="5"/>
      <c r="G156" s="5"/>
    </row>
    <row r="157" spans="1:15">
      <c r="A157" s="5"/>
      <c r="B157" s="5"/>
      <c r="C157" s="5"/>
      <c r="D157" s="5"/>
      <c r="E157" s="5"/>
      <c r="F157" s="5"/>
      <c r="G157" s="5"/>
    </row>
    <row r="158" spans="1:15">
      <c r="A158" s="5"/>
      <c r="B158" s="5"/>
      <c r="C158" s="5"/>
      <c r="D158" s="5"/>
      <c r="E158" s="5"/>
      <c r="F158" s="5"/>
      <c r="G158" s="5"/>
    </row>
    <row r="159" spans="1:15">
      <c r="A159" s="5"/>
      <c r="B159" s="5"/>
      <c r="C159" s="5"/>
      <c r="D159" s="5"/>
      <c r="E159" s="5"/>
      <c r="F159" s="5"/>
      <c r="G159" s="5"/>
    </row>
    <row r="160" spans="1:15">
      <c r="A160" s="5"/>
      <c r="B160" s="5"/>
      <c r="C160" s="5"/>
      <c r="D160" s="5"/>
      <c r="E160" s="5"/>
      <c r="F160" s="5"/>
      <c r="G160" s="5"/>
    </row>
    <row r="161" s="5" customFormat="1"/>
    <row r="162" s="5" customFormat="1"/>
    <row r="163" s="5" customFormat="1"/>
    <row r="164" s="5" customFormat="1"/>
    <row r="165" s="5" customFormat="1"/>
    <row r="166" s="5" customFormat="1"/>
    <row r="167" s="5" customFormat="1"/>
    <row r="168" s="5" customFormat="1"/>
    <row r="169" s="5" customFormat="1"/>
    <row r="170" s="5" customFormat="1"/>
    <row r="171" s="5" customFormat="1"/>
    <row r="172" s="5" customFormat="1"/>
    <row r="173" s="5" customFormat="1"/>
    <row r="174" s="5" customFormat="1"/>
    <row r="175" s="5" customFormat="1"/>
    <row r="176" s="5" customFormat="1"/>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133:O1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DCDD-63F0-4599-ACCF-4BB5CF8D5664}">
  <dimension ref="A1:P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12.90625" style="15" bestFit="1" customWidth="1"/>
    <col min="5" max="5" width="26.179687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39.08984375" style="5" bestFit="1" customWidth="1"/>
    <col min="13" max="13" width="10.1796875" style="5" bestFit="1" customWidth="1"/>
    <col min="14" max="14" width="8.7265625" style="5"/>
    <col min="15" max="15" width="35.54296875" style="5" bestFit="1" customWidth="1"/>
    <col min="16" max="16" width="10.1796875" style="5" bestFit="1" customWidth="1"/>
    <col min="17" max="16384" width="8.7265625" style="5"/>
  </cols>
  <sheetData>
    <row r="1" spans="1:16" ht="18.5">
      <c r="A1" s="49" t="s">
        <v>441</v>
      </c>
      <c r="B1" s="49"/>
      <c r="C1" s="49"/>
      <c r="D1" s="49"/>
      <c r="E1" s="49"/>
      <c r="F1" s="49"/>
      <c r="G1" s="49"/>
      <c r="H1" s="4"/>
      <c r="I1" s="4"/>
      <c r="J1" s="4"/>
      <c r="K1" s="4"/>
      <c r="L1" s="4"/>
      <c r="M1" s="4"/>
      <c r="N1" s="4"/>
      <c r="O1" s="4"/>
      <c r="P1" s="4"/>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16" t="s">
        <v>97</v>
      </c>
    </row>
    <row r="4" spans="1:16">
      <c r="A4" s="11">
        <v>1</v>
      </c>
      <c r="B4" s="12" t="str">
        <f>المدخلات!$F$4</f>
        <v>4:00–5:30 م</v>
      </c>
      <c r="C4" s="12">
        <v>1</v>
      </c>
      <c r="D4" s="12" t="s">
        <v>17</v>
      </c>
      <c r="E4" s="12" t="s">
        <v>44</v>
      </c>
      <c r="F4" s="7"/>
      <c r="G4" s="5"/>
    </row>
    <row r="5" spans="1:16">
      <c r="A5" s="11">
        <v>1</v>
      </c>
      <c r="B5" s="12" t="str">
        <f>المدخلات!$F$4</f>
        <v>4:00–5:30 م</v>
      </c>
      <c r="C5" s="12">
        <v>2</v>
      </c>
      <c r="D5" s="12" t="s">
        <v>17</v>
      </c>
      <c r="E5" s="12" t="s">
        <v>38</v>
      </c>
      <c r="F5" s="7"/>
      <c r="G5" s="5"/>
    </row>
    <row r="6" spans="1:16">
      <c r="A6" s="11">
        <v>1</v>
      </c>
      <c r="B6" s="12" t="str">
        <f>المدخلات!$F$4</f>
        <v>4:00–5:30 م</v>
      </c>
      <c r="C6" s="12">
        <v>3</v>
      </c>
      <c r="D6" s="12" t="s">
        <v>17</v>
      </c>
      <c r="E6" s="12" t="s">
        <v>31</v>
      </c>
      <c r="F6" s="7"/>
      <c r="G6" s="5"/>
    </row>
    <row r="7" spans="1:16">
      <c r="A7" s="11">
        <v>1</v>
      </c>
      <c r="B7" s="12" t="str">
        <f>المدخلات!$F$5</f>
        <v>5:40–7:10 م</v>
      </c>
      <c r="C7" s="12">
        <v>1</v>
      </c>
      <c r="D7" s="12" t="s">
        <v>17</v>
      </c>
      <c r="E7" s="12" t="s">
        <v>32</v>
      </c>
      <c r="F7" s="7"/>
      <c r="G7" s="5"/>
    </row>
    <row r="8" spans="1:16">
      <c r="A8" s="11">
        <v>1</v>
      </c>
      <c r="B8" s="12" t="str">
        <f>المدخلات!$F$5</f>
        <v>5:40–7:10 م</v>
      </c>
      <c r="C8" s="12">
        <v>2</v>
      </c>
      <c r="D8" s="12" t="s">
        <v>89</v>
      </c>
      <c r="E8" s="12" t="s">
        <v>104</v>
      </c>
      <c r="F8" s="7"/>
      <c r="G8" s="5"/>
    </row>
    <row r="9" spans="1:16">
      <c r="A9" s="11">
        <v>1</v>
      </c>
      <c r="B9" s="12" t="str">
        <f>المدخلات!$F$5</f>
        <v>5:40–7:10 م</v>
      </c>
      <c r="C9" s="12">
        <v>3</v>
      </c>
      <c r="D9" s="12" t="s">
        <v>89</v>
      </c>
      <c r="E9" s="12" t="s">
        <v>103</v>
      </c>
      <c r="F9" s="7"/>
      <c r="G9" s="5"/>
    </row>
    <row r="10" spans="1:16">
      <c r="A10" s="11">
        <v>1</v>
      </c>
      <c r="B10" s="12" t="str">
        <f>المدخلات!$F$6</f>
        <v>7:20–8:50 م</v>
      </c>
      <c r="C10" s="12">
        <v>1</v>
      </c>
      <c r="D10" s="12" t="s">
        <v>89</v>
      </c>
      <c r="E10" s="12" t="s">
        <v>93</v>
      </c>
      <c r="F10" s="7"/>
      <c r="G10" s="5"/>
    </row>
    <row r="11" spans="1:16">
      <c r="A11" s="11">
        <v>2</v>
      </c>
      <c r="B11" s="12" t="str">
        <f>المدخلات!$F$4</f>
        <v>4:00–5:30 م</v>
      </c>
      <c r="C11" s="12">
        <v>1</v>
      </c>
      <c r="D11" s="12" t="s">
        <v>89</v>
      </c>
      <c r="E11" s="12" t="s">
        <v>105</v>
      </c>
      <c r="F11" s="7"/>
      <c r="G11" s="5"/>
    </row>
    <row r="12" spans="1:16">
      <c r="A12" s="11">
        <v>2</v>
      </c>
      <c r="B12" s="12" t="str">
        <f>المدخلات!$F$4</f>
        <v>4:00–5:30 م</v>
      </c>
      <c r="C12" s="12">
        <v>2</v>
      </c>
      <c r="D12" s="12" t="s">
        <v>89</v>
      </c>
      <c r="E12" s="12" t="s">
        <v>84</v>
      </c>
      <c r="F12" s="7"/>
      <c r="G12" s="5"/>
    </row>
    <row r="13" spans="1:16">
      <c r="A13" s="11">
        <v>2</v>
      </c>
      <c r="B13" s="12" t="str">
        <f>المدخلات!$F$4</f>
        <v>4:00–5:30 م</v>
      </c>
      <c r="C13" s="12">
        <v>3</v>
      </c>
      <c r="D13" s="12" t="s">
        <v>89</v>
      </c>
      <c r="E13" s="12" t="s">
        <v>94</v>
      </c>
      <c r="F13" s="7"/>
      <c r="G13" s="5"/>
    </row>
    <row r="14" spans="1:16">
      <c r="A14" s="11">
        <v>2</v>
      </c>
      <c r="B14" s="12" t="str">
        <f>المدخلات!$F$5</f>
        <v>5:40–7:10 م</v>
      </c>
      <c r="C14" s="12">
        <v>1</v>
      </c>
      <c r="D14" s="12" t="s">
        <v>17</v>
      </c>
      <c r="E14" s="12" t="s">
        <v>20</v>
      </c>
      <c r="F14" s="7"/>
      <c r="G14" s="5"/>
    </row>
    <row r="15" spans="1:16">
      <c r="A15" s="11">
        <v>2</v>
      </c>
      <c r="B15" s="12" t="str">
        <f>المدخلات!$F$5</f>
        <v>5:40–7:10 م</v>
      </c>
      <c r="C15" s="12">
        <v>2</v>
      </c>
      <c r="D15" s="12" t="s">
        <v>17</v>
      </c>
      <c r="E15" s="12" t="s">
        <v>45</v>
      </c>
      <c r="F15" s="7"/>
      <c r="G15" s="5"/>
    </row>
    <row r="16" spans="1:16">
      <c r="A16" s="11">
        <v>2</v>
      </c>
      <c r="B16" s="12" t="str">
        <f>المدخلات!$F$5</f>
        <v>5:40–7:10 م</v>
      </c>
      <c r="C16" s="12">
        <v>3</v>
      </c>
      <c r="D16" s="12" t="s">
        <v>17</v>
      </c>
      <c r="E16" s="12" t="s">
        <v>39</v>
      </c>
      <c r="F16" s="7"/>
      <c r="G16" s="5"/>
    </row>
    <row r="17" spans="1:7">
      <c r="A17" s="11">
        <v>2</v>
      </c>
      <c r="B17" s="12" t="str">
        <f>المدخلات!$F$6</f>
        <v>7:20–8:50 م</v>
      </c>
      <c r="C17" s="12">
        <v>1</v>
      </c>
      <c r="D17" s="12" t="s">
        <v>17</v>
      </c>
      <c r="E17" s="12" t="s">
        <v>19</v>
      </c>
      <c r="F17" s="7"/>
      <c r="G17" s="5"/>
    </row>
    <row r="18" spans="1:7">
      <c r="A18" s="11">
        <v>3</v>
      </c>
      <c r="B18" s="12" t="str">
        <f>المدخلات!$F$4</f>
        <v>4:00–5:30 م</v>
      </c>
      <c r="C18" s="12">
        <v>1</v>
      </c>
      <c r="D18" s="12" t="s">
        <v>89</v>
      </c>
      <c r="E18" s="12" t="s">
        <v>98</v>
      </c>
      <c r="F18" s="7"/>
      <c r="G18" s="5"/>
    </row>
    <row r="19" spans="1:7">
      <c r="A19" s="11">
        <v>3</v>
      </c>
      <c r="B19" s="12" t="str">
        <f>المدخلات!$F$4</f>
        <v>4:00–5:30 م</v>
      </c>
      <c r="C19" s="12">
        <v>2</v>
      </c>
      <c r="D19" s="12" t="s">
        <v>17</v>
      </c>
      <c r="E19" s="12" t="s">
        <v>40</v>
      </c>
      <c r="F19" s="7"/>
      <c r="G19" s="5"/>
    </row>
    <row r="20" spans="1:7">
      <c r="A20" s="11">
        <v>3</v>
      </c>
      <c r="B20" s="12" t="str">
        <f>المدخلات!$F$4</f>
        <v>4:00–5:30 م</v>
      </c>
      <c r="C20" s="12">
        <v>3</v>
      </c>
      <c r="D20" s="12" t="s">
        <v>17</v>
      </c>
      <c r="E20" s="12" t="s">
        <v>46</v>
      </c>
      <c r="F20" s="7"/>
      <c r="G20" s="5"/>
    </row>
    <row r="21" spans="1:7">
      <c r="A21" s="11">
        <v>3</v>
      </c>
      <c r="B21" s="12" t="str">
        <f>المدخلات!$F$5</f>
        <v>5:40–7:10 م</v>
      </c>
      <c r="C21" s="12">
        <v>1</v>
      </c>
      <c r="D21" s="12" t="s">
        <v>89</v>
      </c>
      <c r="E21" s="12" t="s">
        <v>74</v>
      </c>
      <c r="F21" s="7"/>
      <c r="G21" s="5"/>
    </row>
    <row r="22" spans="1:7">
      <c r="A22" s="11">
        <v>3</v>
      </c>
      <c r="B22" s="12" t="str">
        <f>المدخلات!$F$5</f>
        <v>5:40–7:10 م</v>
      </c>
      <c r="C22" s="12">
        <v>2</v>
      </c>
      <c r="D22" s="12" t="s">
        <v>89</v>
      </c>
      <c r="E22" s="12" t="s">
        <v>106</v>
      </c>
      <c r="F22" s="7"/>
      <c r="G22" s="5"/>
    </row>
    <row r="23" spans="1:7">
      <c r="A23" s="11">
        <v>3</v>
      </c>
      <c r="B23" s="12" t="str">
        <f>المدخلات!$F$5</f>
        <v>5:40–7:10 م</v>
      </c>
      <c r="C23" s="12">
        <v>3</v>
      </c>
      <c r="D23" s="12" t="s">
        <v>17</v>
      </c>
      <c r="E23" s="12" t="s">
        <v>23</v>
      </c>
      <c r="F23" s="7"/>
      <c r="G23" s="5"/>
    </row>
    <row r="24" spans="1:7">
      <c r="A24" s="11">
        <v>3</v>
      </c>
      <c r="B24" s="12" t="str">
        <f>المدخلات!$F$6</f>
        <v>7:20–8:50 م</v>
      </c>
      <c r="C24" s="12">
        <v>1</v>
      </c>
      <c r="D24" s="12" t="s">
        <v>17</v>
      </c>
      <c r="E24" s="12" t="s">
        <v>18</v>
      </c>
      <c r="F24" s="7"/>
      <c r="G24" s="5"/>
    </row>
    <row r="25" spans="1:7">
      <c r="A25" s="11">
        <v>4</v>
      </c>
      <c r="B25" s="12" t="str">
        <f>المدخلات!$F$4</f>
        <v>4:00–5:30 م</v>
      </c>
      <c r="C25" s="12">
        <v>1</v>
      </c>
      <c r="D25" s="12" t="s">
        <v>89</v>
      </c>
      <c r="E25" s="12" t="s">
        <v>107</v>
      </c>
      <c r="F25" s="7"/>
      <c r="G25" s="5"/>
    </row>
    <row r="26" spans="1:7">
      <c r="A26" s="11">
        <v>4</v>
      </c>
      <c r="B26" s="12" t="str">
        <f>المدخلات!$F$4</f>
        <v>4:00–5:30 م</v>
      </c>
      <c r="C26" s="12">
        <v>2</v>
      </c>
      <c r="D26" s="12" t="s">
        <v>17</v>
      </c>
      <c r="E26" s="12" t="s">
        <v>22</v>
      </c>
      <c r="F26" s="7"/>
      <c r="G26" s="5"/>
    </row>
    <row r="27" spans="1:7">
      <c r="A27" s="11">
        <v>4</v>
      </c>
      <c r="B27" s="12" t="str">
        <f>المدخلات!$F$4</f>
        <v>4:00–5:30 م</v>
      </c>
      <c r="C27" s="12">
        <v>3</v>
      </c>
      <c r="D27" s="12" t="s">
        <v>17</v>
      </c>
      <c r="E27" s="12" t="s">
        <v>21</v>
      </c>
      <c r="F27" s="7"/>
      <c r="G27" s="5"/>
    </row>
    <row r="28" spans="1:7">
      <c r="A28" s="11">
        <v>4</v>
      </c>
      <c r="B28" s="12" t="str">
        <f>المدخلات!$F$5</f>
        <v>5:40–7:10 م</v>
      </c>
      <c r="C28" s="12">
        <v>1</v>
      </c>
      <c r="D28" s="12" t="s">
        <v>17</v>
      </c>
      <c r="E28" s="12" t="s">
        <v>47</v>
      </c>
      <c r="F28" s="7"/>
      <c r="G28" s="5"/>
    </row>
    <row r="29" spans="1:7">
      <c r="A29" s="11">
        <v>4</v>
      </c>
      <c r="B29" s="12" t="str">
        <f>المدخلات!$F$5</f>
        <v>5:40–7:10 م</v>
      </c>
      <c r="C29" s="12">
        <v>2</v>
      </c>
      <c r="D29" s="12" t="s">
        <v>89</v>
      </c>
      <c r="E29" s="12" t="s">
        <v>92</v>
      </c>
      <c r="F29" s="7"/>
      <c r="G29" s="5"/>
    </row>
    <row r="30" spans="1:7">
      <c r="A30" s="11">
        <v>4</v>
      </c>
      <c r="B30" s="12" t="str">
        <f>المدخلات!$F$5</f>
        <v>5:40–7:10 م</v>
      </c>
      <c r="C30" s="12">
        <v>3</v>
      </c>
      <c r="D30" s="12" t="s">
        <v>89</v>
      </c>
      <c r="E30" s="12" t="s">
        <v>100</v>
      </c>
      <c r="F30" s="7"/>
      <c r="G30" s="5"/>
    </row>
    <row r="31" spans="1:7">
      <c r="A31" s="11">
        <v>4</v>
      </c>
      <c r="B31" s="12" t="str">
        <f>المدخلات!$F$6</f>
        <v>7:20–8:50 م</v>
      </c>
      <c r="C31" s="12">
        <v>1</v>
      </c>
      <c r="D31" s="12" t="s">
        <v>17</v>
      </c>
      <c r="E31" s="12" t="s">
        <v>41</v>
      </c>
      <c r="F31" s="7"/>
      <c r="G31" s="5"/>
    </row>
    <row r="32" spans="1:7">
      <c r="A32" s="11">
        <v>5</v>
      </c>
      <c r="B32" s="12" t="str">
        <f>المدخلات!$F$4</f>
        <v>4:00–5:30 م</v>
      </c>
      <c r="C32" s="12">
        <v>1</v>
      </c>
      <c r="D32" s="12" t="s">
        <v>89</v>
      </c>
      <c r="E32" s="12" t="s">
        <v>101</v>
      </c>
      <c r="F32" s="7"/>
      <c r="G32" s="5"/>
    </row>
    <row r="33" spans="1:7">
      <c r="A33" s="11">
        <v>5</v>
      </c>
      <c r="B33" s="12" t="str">
        <f>المدخلات!$F$4</f>
        <v>4:00–5:30 م</v>
      </c>
      <c r="C33" s="12">
        <v>2</v>
      </c>
      <c r="D33" s="12" t="s">
        <v>17</v>
      </c>
      <c r="E33" s="12" t="s">
        <v>25</v>
      </c>
      <c r="F33" s="7"/>
      <c r="G33" s="5"/>
    </row>
    <row r="34" spans="1:7">
      <c r="A34" s="11">
        <v>5</v>
      </c>
      <c r="B34" s="12" t="str">
        <f>المدخلات!$F$4</f>
        <v>4:00–5:30 م</v>
      </c>
      <c r="C34" s="12">
        <v>3</v>
      </c>
      <c r="D34" s="12" t="s">
        <v>89</v>
      </c>
      <c r="E34" s="12" t="s">
        <v>91</v>
      </c>
      <c r="F34" s="7"/>
      <c r="G34" s="5"/>
    </row>
    <row r="35" spans="1:7">
      <c r="A35" s="11">
        <v>5</v>
      </c>
      <c r="B35" s="12" t="str">
        <f>المدخلات!$F$5</f>
        <v>5:40–7:10 م</v>
      </c>
      <c r="C35" s="12">
        <v>1</v>
      </c>
      <c r="D35" s="12" t="s">
        <v>17</v>
      </c>
      <c r="E35" s="12" t="s">
        <v>26</v>
      </c>
      <c r="F35" s="7"/>
      <c r="G35" s="5"/>
    </row>
    <row r="36" spans="1:7">
      <c r="A36" s="11">
        <v>5</v>
      </c>
      <c r="B36" s="12" t="str">
        <f>المدخلات!$F$5</f>
        <v>5:40–7:10 م</v>
      </c>
      <c r="C36" s="12">
        <v>2</v>
      </c>
      <c r="D36" s="12" t="s">
        <v>17</v>
      </c>
      <c r="E36" s="12" t="s">
        <v>24</v>
      </c>
      <c r="F36" s="7"/>
      <c r="G36" s="5"/>
    </row>
    <row r="37" spans="1:7">
      <c r="A37" s="11">
        <v>5</v>
      </c>
      <c r="B37" s="12" t="str">
        <f>المدخلات!$F$5</f>
        <v>5:40–7:10 م</v>
      </c>
      <c r="C37" s="12">
        <v>3</v>
      </c>
      <c r="D37" s="12" t="s">
        <v>89</v>
      </c>
      <c r="E37" s="12" t="s">
        <v>85</v>
      </c>
      <c r="F37" s="7"/>
      <c r="G37" s="5"/>
    </row>
    <row r="38" spans="1:7">
      <c r="A38" s="11">
        <v>5</v>
      </c>
      <c r="B38" s="12" t="str">
        <f>المدخلات!$F$6</f>
        <v>7:20–8:50 م</v>
      </c>
      <c r="C38" s="12">
        <v>1</v>
      </c>
      <c r="D38" s="12" t="s">
        <v>17</v>
      </c>
      <c r="E38" s="12" t="s">
        <v>48</v>
      </c>
      <c r="F38" s="7"/>
      <c r="G38" s="5"/>
    </row>
    <row r="39" spans="1:7">
      <c r="A39" s="11">
        <v>6</v>
      </c>
      <c r="B39" s="12" t="str">
        <f>المدخلات!$F$4</f>
        <v>4:00–5:30 م</v>
      </c>
      <c r="C39" s="12">
        <v>1</v>
      </c>
      <c r="D39" s="12" t="s">
        <v>89</v>
      </c>
      <c r="E39" s="12" t="s">
        <v>79</v>
      </c>
      <c r="F39" s="7"/>
      <c r="G39" s="5"/>
    </row>
    <row r="40" spans="1:7">
      <c r="A40" s="11">
        <v>6</v>
      </c>
      <c r="B40" s="12" t="str">
        <f>المدخلات!$F$4</f>
        <v>4:00–5:30 م</v>
      </c>
      <c r="C40" s="12">
        <v>2</v>
      </c>
      <c r="D40" s="12" t="s">
        <v>17</v>
      </c>
      <c r="E40" s="12" t="s">
        <v>27</v>
      </c>
      <c r="F40" s="7"/>
      <c r="G40" s="5"/>
    </row>
    <row r="41" spans="1:7">
      <c r="A41" s="11">
        <v>6</v>
      </c>
      <c r="B41" s="12" t="str">
        <f>المدخلات!$F$4</f>
        <v>4:00–5:30 م</v>
      </c>
      <c r="C41" s="12">
        <v>3</v>
      </c>
      <c r="D41" s="12" t="s">
        <v>17</v>
      </c>
      <c r="E41" s="12" t="s">
        <v>28</v>
      </c>
      <c r="F41" s="7"/>
      <c r="G41" s="5"/>
    </row>
    <row r="42" spans="1:7">
      <c r="A42" s="11">
        <v>6</v>
      </c>
      <c r="B42" s="12" t="str">
        <f>المدخلات!$F$5</f>
        <v>5:40–7:10 م</v>
      </c>
      <c r="C42" s="12">
        <v>1</v>
      </c>
      <c r="D42" s="12" t="s">
        <v>17</v>
      </c>
      <c r="E42" s="12" t="s">
        <v>42</v>
      </c>
      <c r="F42" s="7"/>
      <c r="G42" s="5"/>
    </row>
    <row r="43" spans="1:7">
      <c r="A43" s="11">
        <v>6</v>
      </c>
      <c r="B43" s="12" t="str">
        <f>المدخلات!$F$5</f>
        <v>5:40–7:10 م</v>
      </c>
      <c r="C43" s="12">
        <v>2</v>
      </c>
      <c r="D43" s="12" t="s">
        <v>89</v>
      </c>
      <c r="E43" s="12" t="s">
        <v>108</v>
      </c>
      <c r="F43" s="7"/>
      <c r="G43" s="5"/>
    </row>
    <row r="44" spans="1:7">
      <c r="A44" s="11">
        <v>6</v>
      </c>
      <c r="B44" s="12" t="str">
        <f>المدخلات!$F$5</f>
        <v>5:40–7:10 م</v>
      </c>
      <c r="C44" s="12">
        <v>3</v>
      </c>
      <c r="D44" s="12" t="s">
        <v>17</v>
      </c>
      <c r="E44" s="12" t="s">
        <v>49</v>
      </c>
      <c r="F44" s="7"/>
      <c r="G44" s="5"/>
    </row>
    <row r="45" spans="1:7">
      <c r="A45" s="11">
        <v>6</v>
      </c>
      <c r="B45" s="12" t="str">
        <f>المدخلات!$F$6</f>
        <v>7:20–8:50 م</v>
      </c>
      <c r="C45" s="12">
        <v>1</v>
      </c>
      <c r="D45" s="12" t="s">
        <v>89</v>
      </c>
      <c r="E45" s="12" t="s">
        <v>70</v>
      </c>
      <c r="F45" s="7"/>
      <c r="G45" s="5"/>
    </row>
    <row r="46" spans="1:7">
      <c r="A46" s="11">
        <v>7</v>
      </c>
      <c r="B46" s="12" t="str">
        <f>المدخلات!$F$4</f>
        <v>4:00–5:30 م</v>
      </c>
      <c r="C46" s="12">
        <v>1</v>
      </c>
      <c r="D46" s="12" t="s">
        <v>89</v>
      </c>
      <c r="E46" s="12" t="s">
        <v>102</v>
      </c>
      <c r="F46" s="7"/>
      <c r="G46" s="5"/>
    </row>
    <row r="47" spans="1:7">
      <c r="A47" s="11">
        <v>7</v>
      </c>
      <c r="B47" s="12" t="str">
        <f>المدخلات!$F$4</f>
        <v>4:00–5:30 م</v>
      </c>
      <c r="C47" s="12">
        <v>2</v>
      </c>
      <c r="D47" s="12" t="s">
        <v>17</v>
      </c>
      <c r="E47" s="12" t="s">
        <v>50</v>
      </c>
      <c r="F47" s="7"/>
      <c r="G47" s="5"/>
    </row>
    <row r="48" spans="1:7">
      <c r="A48" s="11">
        <v>7</v>
      </c>
      <c r="B48" s="12" t="str">
        <f>المدخلات!$F$4</f>
        <v>4:00–5:30 م</v>
      </c>
      <c r="C48" s="12">
        <v>3</v>
      </c>
      <c r="D48" s="12" t="s">
        <v>89</v>
      </c>
      <c r="E48" s="12" t="s">
        <v>109</v>
      </c>
      <c r="F48" s="7"/>
      <c r="G48" s="5"/>
    </row>
    <row r="49" spans="1:7">
      <c r="A49" s="11">
        <v>7</v>
      </c>
      <c r="B49" s="12" t="str">
        <f>المدخلات!$F$5</f>
        <v>5:40–7:10 م</v>
      </c>
      <c r="C49" s="12">
        <v>1</v>
      </c>
      <c r="D49" s="12" t="s">
        <v>17</v>
      </c>
      <c r="E49" s="12" t="s">
        <v>43</v>
      </c>
      <c r="F49" s="7"/>
      <c r="G49" s="5"/>
    </row>
    <row r="50" spans="1:7">
      <c r="A50" s="11">
        <v>7</v>
      </c>
      <c r="B50" s="12" t="str">
        <f>المدخلات!$F$5</f>
        <v>5:40–7:10 م</v>
      </c>
      <c r="C50" s="12">
        <v>2</v>
      </c>
      <c r="D50" s="12" t="s">
        <v>89</v>
      </c>
      <c r="E50" s="12" t="s">
        <v>64</v>
      </c>
      <c r="F50" s="7"/>
      <c r="G50" s="5"/>
    </row>
    <row r="51" spans="1:7">
      <c r="A51" s="11">
        <v>7</v>
      </c>
      <c r="B51" s="12" t="str">
        <f>المدخلات!$F$5</f>
        <v>5:40–7:10 م</v>
      </c>
      <c r="C51" s="12">
        <v>3</v>
      </c>
      <c r="D51" s="12" t="s">
        <v>17</v>
      </c>
      <c r="E51" s="12" t="s">
        <v>29</v>
      </c>
      <c r="F51" s="7"/>
      <c r="G51" s="5"/>
    </row>
    <row r="52" spans="1:7">
      <c r="A52" s="11">
        <v>7</v>
      </c>
      <c r="B52" s="12" t="str">
        <f>المدخلات!$F$6</f>
        <v>7:20–8:50 م</v>
      </c>
      <c r="C52" s="12">
        <v>1</v>
      </c>
      <c r="D52" s="12" t="s">
        <v>17</v>
      </c>
      <c r="E52" s="12" t="s">
        <v>30</v>
      </c>
      <c r="F52" s="7"/>
      <c r="G52" s="5"/>
    </row>
    <row r="53" spans="1:7">
      <c r="A53" s="11">
        <v>8</v>
      </c>
      <c r="B53" s="12" t="str">
        <f>المدخلات!$F$4</f>
        <v>4:00–5:30 م</v>
      </c>
      <c r="C53" s="12">
        <v>1</v>
      </c>
      <c r="D53" s="12" t="s">
        <v>17</v>
      </c>
      <c r="E53" s="12" t="s">
        <v>29</v>
      </c>
      <c r="F53" s="7"/>
      <c r="G53" s="5"/>
    </row>
    <row r="54" spans="1:7">
      <c r="A54" s="11">
        <v>8</v>
      </c>
      <c r="B54" s="12" t="str">
        <f>المدخلات!$F$4</f>
        <v>4:00–5:30 م</v>
      </c>
      <c r="C54" s="12">
        <v>2</v>
      </c>
      <c r="D54" s="12" t="s">
        <v>17</v>
      </c>
      <c r="E54" s="12" t="s">
        <v>43</v>
      </c>
      <c r="F54" s="7"/>
      <c r="G54" s="5"/>
    </row>
    <row r="55" spans="1:7">
      <c r="A55" s="11">
        <v>8</v>
      </c>
      <c r="B55" s="12" t="str">
        <f>المدخلات!$F$4</f>
        <v>4:00–5:30 م</v>
      </c>
      <c r="C55" s="12">
        <v>3</v>
      </c>
      <c r="D55" s="12" t="s">
        <v>89</v>
      </c>
      <c r="E55" s="12" t="s">
        <v>64</v>
      </c>
      <c r="F55" s="7"/>
      <c r="G55" s="5"/>
    </row>
    <row r="56" spans="1:7">
      <c r="A56" s="11">
        <v>8</v>
      </c>
      <c r="B56" s="12" t="str">
        <f>المدخلات!$F$5</f>
        <v>5:40–7:10 م</v>
      </c>
      <c r="C56" s="12">
        <v>1</v>
      </c>
      <c r="D56" s="12" t="s">
        <v>89</v>
      </c>
      <c r="E56" s="12" t="s">
        <v>102</v>
      </c>
      <c r="F56" s="7"/>
      <c r="G56" s="5"/>
    </row>
    <row r="57" spans="1:7">
      <c r="A57" s="11">
        <v>8</v>
      </c>
      <c r="B57" s="12" t="str">
        <f>المدخلات!$F$5</f>
        <v>5:40–7:10 م</v>
      </c>
      <c r="C57" s="12">
        <v>2</v>
      </c>
      <c r="D57" s="12" t="s">
        <v>17</v>
      </c>
      <c r="E57" s="12" t="s">
        <v>30</v>
      </c>
      <c r="F57" s="7"/>
      <c r="G57" s="5"/>
    </row>
    <row r="58" spans="1:7">
      <c r="A58" s="11">
        <v>8</v>
      </c>
      <c r="B58" s="12" t="str">
        <f>المدخلات!$F$5</f>
        <v>5:40–7:10 م</v>
      </c>
      <c r="C58" s="12">
        <v>3</v>
      </c>
      <c r="D58" s="12" t="s">
        <v>17</v>
      </c>
      <c r="E58" s="12" t="s">
        <v>50</v>
      </c>
      <c r="F58" s="7"/>
      <c r="G58" s="5"/>
    </row>
    <row r="59" spans="1:7">
      <c r="A59" s="11">
        <v>8</v>
      </c>
      <c r="B59" s="12" t="str">
        <f>المدخلات!$F$6</f>
        <v>7:20–8:50 م</v>
      </c>
      <c r="C59" s="12">
        <v>1</v>
      </c>
      <c r="D59" s="12" t="s">
        <v>89</v>
      </c>
      <c r="E59" s="12" t="s">
        <v>109</v>
      </c>
      <c r="F59" s="7"/>
      <c r="G59" s="5"/>
    </row>
    <row r="60" spans="1:7">
      <c r="A60" s="11">
        <v>9</v>
      </c>
      <c r="B60" s="12" t="str">
        <f>المدخلات!$F$4</f>
        <v>4:00–5:30 م</v>
      </c>
      <c r="C60" s="12">
        <v>1</v>
      </c>
      <c r="D60" s="12" t="s">
        <v>17</v>
      </c>
      <c r="E60" s="12" t="s">
        <v>44</v>
      </c>
      <c r="F60" s="7"/>
      <c r="G60" s="5"/>
    </row>
    <row r="61" spans="1:7">
      <c r="A61" s="11">
        <v>9</v>
      </c>
      <c r="B61" s="12" t="str">
        <f>المدخلات!$F$4</f>
        <v>4:00–5:30 م</v>
      </c>
      <c r="C61" s="12">
        <v>2</v>
      </c>
      <c r="D61" s="12" t="s">
        <v>89</v>
      </c>
      <c r="E61" s="12" t="s">
        <v>103</v>
      </c>
      <c r="F61" s="7"/>
      <c r="G61" s="5"/>
    </row>
    <row r="62" spans="1:7">
      <c r="A62" s="11">
        <v>9</v>
      </c>
      <c r="B62" s="12" t="str">
        <f>المدخلات!$F$4</f>
        <v>4:00–5:30 م</v>
      </c>
      <c r="C62" s="12">
        <v>3</v>
      </c>
      <c r="D62" s="12" t="s">
        <v>17</v>
      </c>
      <c r="E62" s="12" t="s">
        <v>38</v>
      </c>
      <c r="F62" s="7"/>
      <c r="G62" s="5"/>
    </row>
    <row r="63" spans="1:7">
      <c r="A63" s="11">
        <v>9</v>
      </c>
      <c r="B63" s="12" t="str">
        <f>المدخلات!$F$5</f>
        <v>5:40–7:10 م</v>
      </c>
      <c r="C63" s="12">
        <v>1</v>
      </c>
      <c r="D63" s="12" t="s">
        <v>17</v>
      </c>
      <c r="E63" s="12" t="s">
        <v>31</v>
      </c>
      <c r="F63" s="7"/>
      <c r="G63" s="5"/>
    </row>
    <row r="64" spans="1:7">
      <c r="A64" s="11">
        <v>9</v>
      </c>
      <c r="B64" s="12" t="str">
        <f>المدخلات!$F$5</f>
        <v>5:40–7:10 م</v>
      </c>
      <c r="C64" s="12">
        <v>2</v>
      </c>
      <c r="D64" s="12" t="s">
        <v>89</v>
      </c>
      <c r="E64" s="12" t="s">
        <v>93</v>
      </c>
      <c r="F64" s="7"/>
      <c r="G64" s="5"/>
    </row>
    <row r="65" spans="1:7">
      <c r="A65" s="11">
        <v>9</v>
      </c>
      <c r="B65" s="12" t="str">
        <f>المدخلات!$F$5</f>
        <v>5:40–7:10 م</v>
      </c>
      <c r="C65" s="12">
        <v>3</v>
      </c>
      <c r="D65" s="12" t="s">
        <v>89</v>
      </c>
      <c r="E65" s="12" t="s">
        <v>104</v>
      </c>
      <c r="F65" s="7"/>
      <c r="G65" s="5"/>
    </row>
    <row r="66" spans="1:7">
      <c r="A66" s="11">
        <v>9</v>
      </c>
      <c r="B66" s="12" t="str">
        <f>المدخلات!$F$6</f>
        <v>7:20–8:50 م</v>
      </c>
      <c r="C66" s="12">
        <v>1</v>
      </c>
      <c r="D66" s="12" t="s">
        <v>17</v>
      </c>
      <c r="E66" s="12" t="s">
        <v>32</v>
      </c>
      <c r="F66" s="7"/>
      <c r="G66" s="5"/>
    </row>
    <row r="67" spans="1:7">
      <c r="A67" s="11">
        <v>10</v>
      </c>
      <c r="B67" s="12" t="str">
        <f>المدخلات!$F$4</f>
        <v>4:00–5:30 م</v>
      </c>
      <c r="C67" s="12">
        <v>1</v>
      </c>
      <c r="D67" s="12" t="s">
        <v>89</v>
      </c>
      <c r="E67" s="12" t="s">
        <v>94</v>
      </c>
      <c r="F67" s="7"/>
      <c r="G67" s="5"/>
    </row>
    <row r="68" spans="1:7">
      <c r="A68" s="11">
        <v>10</v>
      </c>
      <c r="B68" s="12" t="str">
        <f>المدخلات!$F$4</f>
        <v>4:00–5:30 م</v>
      </c>
      <c r="C68" s="12">
        <v>2</v>
      </c>
      <c r="D68" s="12" t="s">
        <v>17</v>
      </c>
      <c r="E68" s="12" t="s">
        <v>45</v>
      </c>
      <c r="F68" s="7"/>
      <c r="G68" s="5"/>
    </row>
    <row r="69" spans="1:7">
      <c r="A69" s="11">
        <v>10</v>
      </c>
      <c r="B69" s="12" t="str">
        <f>المدخلات!$F$4</f>
        <v>4:00–5:30 م</v>
      </c>
      <c r="C69" s="12">
        <v>3</v>
      </c>
      <c r="D69" s="12" t="s">
        <v>89</v>
      </c>
      <c r="E69" s="12" t="s">
        <v>105</v>
      </c>
      <c r="F69" s="7"/>
      <c r="G69" s="5"/>
    </row>
    <row r="70" spans="1:7">
      <c r="A70" s="11">
        <v>10</v>
      </c>
      <c r="B70" s="12" t="str">
        <f>المدخلات!$F$5</f>
        <v>5:40–7:10 م</v>
      </c>
      <c r="C70" s="12">
        <v>1</v>
      </c>
      <c r="D70" s="12" t="s">
        <v>89</v>
      </c>
      <c r="E70" s="12" t="s">
        <v>84</v>
      </c>
      <c r="F70" s="7"/>
      <c r="G70" s="5"/>
    </row>
    <row r="71" spans="1:7">
      <c r="A71" s="11">
        <v>10</v>
      </c>
      <c r="B71" s="12" t="str">
        <f>المدخلات!$F$5</f>
        <v>5:40–7:10 م</v>
      </c>
      <c r="C71" s="12">
        <v>2</v>
      </c>
      <c r="D71" s="12" t="s">
        <v>17</v>
      </c>
      <c r="E71" s="12" t="s">
        <v>19</v>
      </c>
      <c r="F71" s="7"/>
      <c r="G71" s="5"/>
    </row>
    <row r="72" spans="1:7">
      <c r="A72" s="11">
        <v>10</v>
      </c>
      <c r="B72" s="12" t="str">
        <f>المدخلات!$F$5</f>
        <v>5:40–7:10 م</v>
      </c>
      <c r="C72" s="12">
        <v>3</v>
      </c>
      <c r="D72" s="12" t="s">
        <v>17</v>
      </c>
      <c r="E72" s="12" t="s">
        <v>39</v>
      </c>
      <c r="F72" s="7"/>
      <c r="G72" s="5"/>
    </row>
    <row r="73" spans="1:7">
      <c r="A73" s="11">
        <v>10</v>
      </c>
      <c r="B73" s="12" t="str">
        <f>المدخلات!$F$6</f>
        <v>7:20–8:50 م</v>
      </c>
      <c r="C73" s="12">
        <v>1</v>
      </c>
      <c r="D73" s="12" t="s">
        <v>17</v>
      </c>
      <c r="E73" s="12" t="s">
        <v>20</v>
      </c>
      <c r="F73" s="7"/>
      <c r="G73" s="5"/>
    </row>
    <row r="74" spans="1:7">
      <c r="A74" s="11">
        <v>11</v>
      </c>
      <c r="B74" s="12" t="str">
        <f>المدخلات!$F$4</f>
        <v>4:00–5:30 م</v>
      </c>
      <c r="C74" s="12">
        <v>1</v>
      </c>
      <c r="D74" s="12" t="s">
        <v>17</v>
      </c>
      <c r="E74" s="12" t="s">
        <v>40</v>
      </c>
      <c r="F74" s="7"/>
      <c r="G74" s="5"/>
    </row>
    <row r="75" spans="1:7">
      <c r="A75" s="11">
        <v>11</v>
      </c>
      <c r="B75" s="12" t="str">
        <f>المدخلات!$F$4</f>
        <v>4:00–5:30 م</v>
      </c>
      <c r="C75" s="12">
        <v>2</v>
      </c>
      <c r="D75" s="12" t="s">
        <v>17</v>
      </c>
      <c r="E75" s="12" t="s">
        <v>23</v>
      </c>
      <c r="F75" s="7"/>
      <c r="G75" s="5"/>
    </row>
    <row r="76" spans="1:7">
      <c r="A76" s="11">
        <v>11</v>
      </c>
      <c r="B76" s="12" t="str">
        <f>المدخلات!$F$4</f>
        <v>4:00–5:30 م</v>
      </c>
      <c r="C76" s="12">
        <v>3</v>
      </c>
      <c r="D76" s="12" t="s">
        <v>17</v>
      </c>
      <c r="E76" s="12" t="s">
        <v>18</v>
      </c>
      <c r="F76" s="7"/>
      <c r="G76" s="5"/>
    </row>
    <row r="77" spans="1:7">
      <c r="A77" s="11">
        <v>11</v>
      </c>
      <c r="B77" s="12" t="str">
        <f>المدخلات!$F$5</f>
        <v>5:40–7:10 م</v>
      </c>
      <c r="C77" s="12">
        <v>1</v>
      </c>
      <c r="D77" s="12" t="s">
        <v>89</v>
      </c>
      <c r="E77" s="12" t="s">
        <v>98</v>
      </c>
      <c r="F77" s="7"/>
      <c r="G77" s="5"/>
    </row>
    <row r="78" spans="1:7">
      <c r="A78" s="11">
        <v>11</v>
      </c>
      <c r="B78" s="12" t="str">
        <f>المدخلات!$F$5</f>
        <v>5:40–7:10 م</v>
      </c>
      <c r="C78" s="12">
        <v>2</v>
      </c>
      <c r="D78" s="12" t="s">
        <v>89</v>
      </c>
      <c r="E78" s="12" t="s">
        <v>74</v>
      </c>
      <c r="F78" s="7"/>
      <c r="G78" s="5"/>
    </row>
    <row r="79" spans="1:7">
      <c r="A79" s="11">
        <v>11</v>
      </c>
      <c r="B79" s="12" t="str">
        <f>المدخلات!$F$5</f>
        <v>5:40–7:10 م</v>
      </c>
      <c r="C79" s="12">
        <v>3</v>
      </c>
      <c r="D79" s="12" t="s">
        <v>17</v>
      </c>
      <c r="E79" s="12" t="s">
        <v>46</v>
      </c>
      <c r="F79" s="7"/>
      <c r="G79" s="5"/>
    </row>
    <row r="80" spans="1:7">
      <c r="A80" s="11">
        <v>11</v>
      </c>
      <c r="B80" s="12" t="str">
        <f>المدخلات!$F$6</f>
        <v>7:20–8:50 م</v>
      </c>
      <c r="C80" s="12">
        <v>1</v>
      </c>
      <c r="D80" s="12" t="s">
        <v>89</v>
      </c>
      <c r="E80" s="12" t="s">
        <v>106</v>
      </c>
      <c r="F80" s="7"/>
      <c r="G80" s="5"/>
    </row>
    <row r="81" spans="1:7">
      <c r="A81" s="11">
        <v>12</v>
      </c>
      <c r="B81" s="12" t="str">
        <f>المدخلات!$F$4</f>
        <v>4:00–5:30 م</v>
      </c>
      <c r="C81" s="12">
        <v>1</v>
      </c>
      <c r="D81" s="12" t="s">
        <v>89</v>
      </c>
      <c r="E81" s="12" t="s">
        <v>107</v>
      </c>
      <c r="F81" s="7"/>
      <c r="G81" s="5"/>
    </row>
    <row r="82" spans="1:7">
      <c r="A82" s="11">
        <v>12</v>
      </c>
      <c r="B82" s="12" t="str">
        <f>المدخلات!$F$4</f>
        <v>4:00–5:30 م</v>
      </c>
      <c r="C82" s="12">
        <v>2</v>
      </c>
      <c r="D82" s="12" t="s">
        <v>89</v>
      </c>
      <c r="E82" s="12" t="s">
        <v>100</v>
      </c>
      <c r="F82" s="7"/>
      <c r="G82" s="5"/>
    </row>
    <row r="83" spans="1:7">
      <c r="A83" s="11">
        <v>12</v>
      </c>
      <c r="B83" s="12" t="str">
        <f>المدخلات!$F$4</f>
        <v>4:00–5:30 م</v>
      </c>
      <c r="C83" s="12">
        <v>3</v>
      </c>
      <c r="D83" s="12" t="s">
        <v>17</v>
      </c>
      <c r="E83" s="12" t="s">
        <v>22</v>
      </c>
      <c r="F83" s="7"/>
      <c r="G83" s="5"/>
    </row>
    <row r="84" spans="1:7">
      <c r="A84" s="11">
        <v>12</v>
      </c>
      <c r="B84" s="12" t="str">
        <f>المدخلات!$F$5</f>
        <v>5:40–7:10 م</v>
      </c>
      <c r="C84" s="12">
        <v>1</v>
      </c>
      <c r="D84" s="12" t="s">
        <v>17</v>
      </c>
      <c r="E84" s="12" t="s">
        <v>21</v>
      </c>
      <c r="F84" s="7"/>
      <c r="G84" s="5"/>
    </row>
    <row r="85" spans="1:7">
      <c r="A85" s="11">
        <v>12</v>
      </c>
      <c r="B85" s="12" t="str">
        <f>المدخلات!$F$5</f>
        <v>5:40–7:10 م</v>
      </c>
      <c r="C85" s="12">
        <v>2</v>
      </c>
      <c r="D85" s="12" t="s">
        <v>89</v>
      </c>
      <c r="E85" s="12" t="s">
        <v>92</v>
      </c>
      <c r="F85" s="7"/>
      <c r="G85" s="5"/>
    </row>
    <row r="86" spans="1:7">
      <c r="A86" s="11">
        <v>12</v>
      </c>
      <c r="B86" s="12" t="str">
        <f>المدخلات!$F$5</f>
        <v>5:40–7:10 م</v>
      </c>
      <c r="C86" s="12">
        <v>3</v>
      </c>
      <c r="D86" s="12" t="s">
        <v>17</v>
      </c>
      <c r="E86" s="12" t="s">
        <v>41</v>
      </c>
      <c r="F86" s="7"/>
      <c r="G86" s="5"/>
    </row>
    <row r="87" spans="1:7">
      <c r="A87" s="11">
        <v>12</v>
      </c>
      <c r="B87" s="12" t="str">
        <f>المدخلات!$F$6</f>
        <v>7:20–8:50 م</v>
      </c>
      <c r="C87" s="12">
        <v>1</v>
      </c>
      <c r="D87" s="12" t="s">
        <v>17</v>
      </c>
      <c r="E87" s="12" t="s">
        <v>47</v>
      </c>
      <c r="F87" s="7"/>
      <c r="G87" s="5"/>
    </row>
    <row r="88" spans="1:7">
      <c r="A88" s="11">
        <v>13</v>
      </c>
      <c r="B88" s="12" t="str">
        <f>المدخلات!$F$4</f>
        <v>4:00–5:30 م</v>
      </c>
      <c r="C88" s="12">
        <v>1</v>
      </c>
      <c r="D88" s="12" t="s">
        <v>89</v>
      </c>
      <c r="E88" s="12" t="s">
        <v>85</v>
      </c>
      <c r="F88" s="7"/>
      <c r="G88" s="5"/>
    </row>
    <row r="89" spans="1:7">
      <c r="A89" s="11">
        <v>13</v>
      </c>
      <c r="B89" s="12" t="str">
        <f>المدخلات!$F$4</f>
        <v>4:00–5:30 م</v>
      </c>
      <c r="C89" s="12">
        <v>2</v>
      </c>
      <c r="D89" s="12" t="s">
        <v>17</v>
      </c>
      <c r="E89" s="12" t="s">
        <v>24</v>
      </c>
      <c r="F89" s="7"/>
      <c r="G89" s="5"/>
    </row>
    <row r="90" spans="1:7">
      <c r="A90" s="11">
        <v>13</v>
      </c>
      <c r="B90" s="12" t="str">
        <f>المدخلات!$F$4</f>
        <v>4:00–5:30 م</v>
      </c>
      <c r="C90" s="12">
        <v>3</v>
      </c>
      <c r="D90" s="12" t="s">
        <v>89</v>
      </c>
      <c r="E90" s="12" t="s">
        <v>91</v>
      </c>
      <c r="F90" s="7"/>
      <c r="G90" s="5"/>
    </row>
    <row r="91" spans="1:7">
      <c r="A91" s="11">
        <v>13</v>
      </c>
      <c r="B91" s="12" t="str">
        <f>المدخلات!$F$5</f>
        <v>5:40–7:10 م</v>
      </c>
      <c r="C91" s="12">
        <v>1</v>
      </c>
      <c r="D91" s="12" t="s">
        <v>17</v>
      </c>
      <c r="E91" s="12" t="s">
        <v>25</v>
      </c>
      <c r="F91" s="7"/>
      <c r="G91" s="5"/>
    </row>
    <row r="92" spans="1:7">
      <c r="A92" s="11">
        <v>13</v>
      </c>
      <c r="B92" s="12" t="str">
        <f>المدخلات!$F$5</f>
        <v>5:40–7:10 م</v>
      </c>
      <c r="C92" s="12">
        <v>2</v>
      </c>
      <c r="D92" s="12" t="s">
        <v>17</v>
      </c>
      <c r="E92" s="12" t="s">
        <v>48</v>
      </c>
      <c r="F92" s="7"/>
      <c r="G92" s="5"/>
    </row>
    <row r="93" spans="1:7">
      <c r="A93" s="11">
        <v>13</v>
      </c>
      <c r="B93" s="12" t="str">
        <f>المدخلات!$F$5</f>
        <v>5:40–7:10 م</v>
      </c>
      <c r="C93" s="12">
        <v>3</v>
      </c>
      <c r="D93" s="12" t="s">
        <v>17</v>
      </c>
      <c r="E93" s="12" t="s">
        <v>26</v>
      </c>
      <c r="F93" s="7"/>
      <c r="G93" s="5"/>
    </row>
    <row r="94" spans="1:7">
      <c r="A94" s="11">
        <v>13</v>
      </c>
      <c r="B94" s="12" t="str">
        <f>المدخلات!$F$6</f>
        <v>7:20–8:50 م</v>
      </c>
      <c r="C94" s="12">
        <v>1</v>
      </c>
      <c r="D94" s="12" t="s">
        <v>89</v>
      </c>
      <c r="E94" s="12" t="s">
        <v>101</v>
      </c>
      <c r="F94" s="7"/>
      <c r="G94" s="5"/>
    </row>
    <row r="95" spans="1:7">
      <c r="A95" s="11">
        <v>14</v>
      </c>
      <c r="B95" s="12" t="str">
        <f>المدخلات!$F$4</f>
        <v>4:00–5:30 م</v>
      </c>
      <c r="C95" s="12">
        <v>1</v>
      </c>
      <c r="D95" s="12" t="s">
        <v>17</v>
      </c>
      <c r="E95" s="12" t="s">
        <v>27</v>
      </c>
      <c r="F95" s="7"/>
      <c r="G95" s="5"/>
    </row>
    <row r="96" spans="1:7">
      <c r="A96" s="11">
        <v>14</v>
      </c>
      <c r="B96" s="12" t="str">
        <f>المدخلات!$F$4</f>
        <v>4:00–5:30 م</v>
      </c>
      <c r="C96" s="12">
        <v>2</v>
      </c>
      <c r="D96" s="12" t="s">
        <v>17</v>
      </c>
      <c r="E96" s="12" t="s">
        <v>28</v>
      </c>
      <c r="F96" s="7"/>
      <c r="G96" s="5"/>
    </row>
    <row r="97" spans="1:7">
      <c r="A97" s="11">
        <v>14</v>
      </c>
      <c r="B97" s="12" t="str">
        <f>المدخلات!$F$4</f>
        <v>4:00–5:30 م</v>
      </c>
      <c r="C97" s="12">
        <v>3</v>
      </c>
      <c r="D97" s="12" t="s">
        <v>17</v>
      </c>
      <c r="E97" s="12" t="s">
        <v>49</v>
      </c>
      <c r="F97" s="7"/>
      <c r="G97" s="5"/>
    </row>
    <row r="98" spans="1:7">
      <c r="A98" s="11">
        <v>14</v>
      </c>
      <c r="B98" s="12" t="str">
        <f>المدخلات!$F$5</f>
        <v>5:40–7:10 م</v>
      </c>
      <c r="C98" s="12">
        <v>1</v>
      </c>
      <c r="D98" s="12" t="s">
        <v>89</v>
      </c>
      <c r="E98" s="12" t="s">
        <v>70</v>
      </c>
      <c r="F98" s="7"/>
      <c r="G98" s="5"/>
    </row>
    <row r="99" spans="1:7">
      <c r="A99" s="11">
        <v>14</v>
      </c>
      <c r="B99" s="12" t="str">
        <f>المدخلات!$F$5</f>
        <v>5:40–7:10 م</v>
      </c>
      <c r="C99" s="12">
        <v>2</v>
      </c>
      <c r="D99" s="12" t="s">
        <v>89</v>
      </c>
      <c r="E99" s="12" t="s">
        <v>79</v>
      </c>
      <c r="F99" s="7"/>
      <c r="G99" s="5"/>
    </row>
    <row r="100" spans="1:7">
      <c r="A100" s="11">
        <v>14</v>
      </c>
      <c r="B100" s="12" t="str">
        <f>المدخلات!$F$5</f>
        <v>5:40–7:10 م</v>
      </c>
      <c r="C100" s="12">
        <v>3</v>
      </c>
      <c r="D100" s="12" t="s">
        <v>89</v>
      </c>
      <c r="E100" s="12" t="s">
        <v>108</v>
      </c>
      <c r="F100" s="7"/>
      <c r="G100" s="5"/>
    </row>
    <row r="101" spans="1:7">
      <c r="A101" s="11">
        <v>14</v>
      </c>
      <c r="B101" s="12" t="str">
        <f>المدخلات!$F$6</f>
        <v>7:20–8:50 م</v>
      </c>
      <c r="C101" s="12">
        <v>1</v>
      </c>
      <c r="D101" s="12" t="s">
        <v>17</v>
      </c>
      <c r="E101" s="12" t="s">
        <v>42</v>
      </c>
      <c r="F101" s="7"/>
      <c r="G101" s="5"/>
    </row>
    <row r="102" spans="1:7">
      <c r="A102" s="11">
        <v>15</v>
      </c>
      <c r="B102" s="12" t="str">
        <f>المدخلات!$F$4</f>
        <v>4:00–5:30 م</v>
      </c>
      <c r="C102" s="12">
        <v>1</v>
      </c>
      <c r="D102" s="12" t="s">
        <v>89</v>
      </c>
      <c r="E102" s="12" t="s">
        <v>108</v>
      </c>
      <c r="F102" s="7"/>
      <c r="G102" s="5"/>
    </row>
    <row r="103" spans="1:7">
      <c r="A103" s="11">
        <v>15</v>
      </c>
      <c r="B103" s="12" t="str">
        <f>المدخلات!$F$4</f>
        <v>4:00–5:30 م</v>
      </c>
      <c r="C103" s="12">
        <v>2</v>
      </c>
      <c r="D103" s="12" t="s">
        <v>17</v>
      </c>
      <c r="E103" s="12" t="s">
        <v>42</v>
      </c>
      <c r="F103" s="7"/>
      <c r="G103" s="5"/>
    </row>
    <row r="104" spans="1:7">
      <c r="A104" s="11">
        <v>15</v>
      </c>
      <c r="B104" s="12" t="str">
        <f>المدخلات!$F$4</f>
        <v>4:00–5:30 م</v>
      </c>
      <c r="C104" s="12">
        <v>3</v>
      </c>
      <c r="D104" s="12" t="s">
        <v>89</v>
      </c>
      <c r="E104" s="12" t="s">
        <v>79</v>
      </c>
      <c r="F104" s="7"/>
      <c r="G104" s="5"/>
    </row>
    <row r="105" spans="1:7">
      <c r="A105" s="11">
        <v>15</v>
      </c>
      <c r="B105" s="12" t="str">
        <f>المدخلات!$F$5</f>
        <v>5:40–7:10 م</v>
      </c>
      <c r="C105" s="12">
        <v>1</v>
      </c>
      <c r="D105" s="12" t="s">
        <v>17</v>
      </c>
      <c r="E105" s="12" t="s">
        <v>28</v>
      </c>
      <c r="F105" s="7"/>
      <c r="G105" s="5"/>
    </row>
    <row r="106" spans="1:7">
      <c r="A106" s="11">
        <v>15</v>
      </c>
      <c r="B106" s="12" t="str">
        <f>المدخلات!$F$5</f>
        <v>5:40–7:10 م</v>
      </c>
      <c r="C106" s="12">
        <v>2</v>
      </c>
      <c r="D106" s="12" t="s">
        <v>17</v>
      </c>
      <c r="E106" s="12" t="s">
        <v>49</v>
      </c>
      <c r="F106" s="7"/>
      <c r="G106" s="5"/>
    </row>
    <row r="107" spans="1:7">
      <c r="A107" s="11">
        <v>15</v>
      </c>
      <c r="B107" s="12" t="str">
        <f>المدخلات!$F$5</f>
        <v>5:40–7:10 م</v>
      </c>
      <c r="C107" s="12">
        <v>3</v>
      </c>
      <c r="D107" s="12" t="s">
        <v>17</v>
      </c>
      <c r="E107" s="12" t="s">
        <v>27</v>
      </c>
      <c r="F107" s="7"/>
      <c r="G107" s="5"/>
    </row>
    <row r="108" spans="1:7">
      <c r="A108" s="11">
        <v>15</v>
      </c>
      <c r="B108" s="12" t="str">
        <f>المدخلات!$F$6</f>
        <v>7:20–8:50 م</v>
      </c>
      <c r="C108" s="12">
        <v>1</v>
      </c>
      <c r="D108" s="12" t="s">
        <v>89</v>
      </c>
      <c r="E108" s="12" t="s">
        <v>70</v>
      </c>
      <c r="F108" s="7"/>
      <c r="G108" s="5"/>
    </row>
    <row r="109" spans="1:7">
      <c r="A109" s="11">
        <v>16</v>
      </c>
      <c r="B109" s="12" t="str">
        <f>المدخلات!$F$4</f>
        <v>4:00–5:30 م</v>
      </c>
      <c r="C109" s="12">
        <v>1</v>
      </c>
      <c r="D109" s="12" t="s">
        <v>17</v>
      </c>
      <c r="E109" s="12" t="s">
        <v>50</v>
      </c>
      <c r="F109" s="7"/>
      <c r="G109" s="5"/>
    </row>
    <row r="110" spans="1:7">
      <c r="A110" s="11">
        <v>16</v>
      </c>
      <c r="B110" s="12" t="str">
        <f>المدخلات!$F$4</f>
        <v>4:00–5:30 م</v>
      </c>
      <c r="C110" s="12">
        <v>2</v>
      </c>
      <c r="D110" s="12" t="s">
        <v>89</v>
      </c>
      <c r="E110" s="12" t="s">
        <v>64</v>
      </c>
      <c r="F110" s="7"/>
      <c r="G110" s="5"/>
    </row>
    <row r="111" spans="1:7">
      <c r="A111" s="11">
        <v>16</v>
      </c>
      <c r="B111" s="12" t="str">
        <f>المدخلات!$F$4</f>
        <v>4:00–5:30 م</v>
      </c>
      <c r="C111" s="12">
        <v>3</v>
      </c>
      <c r="D111" s="12" t="s">
        <v>17</v>
      </c>
      <c r="E111" s="12" t="s">
        <v>30</v>
      </c>
      <c r="F111" s="7"/>
      <c r="G111" s="5"/>
    </row>
    <row r="112" spans="1:7">
      <c r="A112" s="11">
        <v>16</v>
      </c>
      <c r="B112" s="12" t="str">
        <f>المدخلات!$F$5</f>
        <v>5:40–7:10 م</v>
      </c>
      <c r="C112" s="12">
        <v>1</v>
      </c>
      <c r="D112" s="12" t="s">
        <v>17</v>
      </c>
      <c r="E112" s="12" t="s">
        <v>43</v>
      </c>
      <c r="F112" s="7"/>
      <c r="G112" s="5"/>
    </row>
    <row r="113" spans="1:7">
      <c r="A113" s="11">
        <v>16</v>
      </c>
      <c r="B113" s="12" t="str">
        <f>المدخلات!$F$5</f>
        <v>5:40–7:10 م</v>
      </c>
      <c r="C113" s="12">
        <v>2</v>
      </c>
      <c r="D113" s="12" t="s">
        <v>89</v>
      </c>
      <c r="E113" s="12" t="s">
        <v>109</v>
      </c>
      <c r="F113" s="7"/>
      <c r="G113" s="5"/>
    </row>
    <row r="114" spans="1:7">
      <c r="A114" s="11">
        <v>16</v>
      </c>
      <c r="B114" s="12" t="str">
        <f>المدخلات!$F$5</f>
        <v>5:40–7:10 م</v>
      </c>
      <c r="C114" s="12">
        <v>3</v>
      </c>
      <c r="D114" s="12" t="s">
        <v>89</v>
      </c>
      <c r="E114" s="12" t="s">
        <v>102</v>
      </c>
      <c r="F114" s="7"/>
      <c r="G114" s="5"/>
    </row>
    <row r="115" spans="1:7">
      <c r="A115" s="11">
        <v>16</v>
      </c>
      <c r="B115" s="12" t="str">
        <f>المدخلات!$F$6</f>
        <v>7:20–8:50 م</v>
      </c>
      <c r="C115" s="12">
        <v>1</v>
      </c>
      <c r="D115" s="12" t="s">
        <v>17</v>
      </c>
      <c r="E115" s="12" t="s">
        <v>29</v>
      </c>
      <c r="F115" s="7"/>
      <c r="G115" s="5"/>
    </row>
    <row r="116" spans="1:7">
      <c r="A116" s="11">
        <v>17</v>
      </c>
      <c r="B116" s="12" t="str">
        <f>المدخلات!$F$4</f>
        <v>4:00–5:30 م</v>
      </c>
      <c r="C116" s="12">
        <v>1</v>
      </c>
      <c r="D116" s="12" t="s">
        <v>89</v>
      </c>
      <c r="E116" s="12" t="s">
        <v>93</v>
      </c>
      <c r="F116" s="7"/>
      <c r="G116" s="5"/>
    </row>
    <row r="117" spans="1:7">
      <c r="A117" s="11">
        <v>17</v>
      </c>
      <c r="B117" s="12" t="str">
        <f>المدخلات!$F$4</f>
        <v>4:00–5:30 م</v>
      </c>
      <c r="C117" s="12">
        <v>2</v>
      </c>
      <c r="D117" s="12" t="s">
        <v>17</v>
      </c>
      <c r="E117" s="12" t="s">
        <v>38</v>
      </c>
      <c r="F117" s="7"/>
      <c r="G117" s="5"/>
    </row>
    <row r="118" spans="1:7">
      <c r="A118" s="11">
        <v>17</v>
      </c>
      <c r="B118" s="12" t="str">
        <f>المدخلات!$F$4</f>
        <v>4:00–5:30 م</v>
      </c>
      <c r="C118" s="12">
        <v>3</v>
      </c>
      <c r="D118" s="12" t="s">
        <v>17</v>
      </c>
      <c r="E118" s="12" t="s">
        <v>32</v>
      </c>
      <c r="F118" s="7"/>
      <c r="G118" s="5"/>
    </row>
    <row r="119" spans="1:7">
      <c r="A119" s="11">
        <v>17</v>
      </c>
      <c r="B119" s="12" t="str">
        <f>المدخلات!$F$5</f>
        <v>5:40–7:10 م</v>
      </c>
      <c r="C119" s="12">
        <v>1</v>
      </c>
      <c r="D119" s="12" t="s">
        <v>89</v>
      </c>
      <c r="E119" s="12" t="s">
        <v>104</v>
      </c>
      <c r="F119" s="7"/>
      <c r="G119" s="5"/>
    </row>
    <row r="120" spans="1:7">
      <c r="A120" s="11">
        <v>17</v>
      </c>
      <c r="B120" s="12" t="str">
        <f>المدخلات!$F$5</f>
        <v>5:40–7:10 م</v>
      </c>
      <c r="C120" s="12">
        <v>2</v>
      </c>
      <c r="D120" s="12" t="s">
        <v>17</v>
      </c>
      <c r="E120" s="12" t="s">
        <v>31</v>
      </c>
      <c r="F120" s="7"/>
      <c r="G120" s="5"/>
    </row>
    <row r="121" spans="1:7">
      <c r="A121" s="11">
        <v>17</v>
      </c>
      <c r="B121" s="12" t="str">
        <f>المدخلات!$F$5</f>
        <v>5:40–7:10 م</v>
      </c>
      <c r="C121" s="12">
        <v>3</v>
      </c>
      <c r="D121" s="12" t="s">
        <v>89</v>
      </c>
      <c r="E121" s="12" t="s">
        <v>103</v>
      </c>
      <c r="F121" s="7"/>
      <c r="G121" s="5"/>
    </row>
    <row r="122" spans="1:7">
      <c r="A122" s="11">
        <v>17</v>
      </c>
      <c r="B122" s="12" t="str">
        <f>المدخلات!$F$6</f>
        <v>7:20–8:50 م</v>
      </c>
      <c r="C122" s="12">
        <v>1</v>
      </c>
      <c r="D122" s="12" t="s">
        <v>17</v>
      </c>
      <c r="E122" s="12" t="s">
        <v>44</v>
      </c>
      <c r="F122" s="7"/>
      <c r="G122" s="5"/>
    </row>
    <row r="123" spans="1:7">
      <c r="A123" s="11">
        <v>18</v>
      </c>
      <c r="B123" s="12" t="str">
        <f>المدخلات!$F$4</f>
        <v>4:00–5:30 م</v>
      </c>
      <c r="C123" s="12">
        <v>1</v>
      </c>
      <c r="D123" s="12" t="s">
        <v>89</v>
      </c>
      <c r="E123" s="12" t="s">
        <v>94</v>
      </c>
      <c r="F123" s="7"/>
      <c r="G123" s="5"/>
    </row>
    <row r="124" spans="1:7">
      <c r="A124" s="11">
        <v>18</v>
      </c>
      <c r="B124" s="12" t="str">
        <f>المدخلات!$F$4</f>
        <v>4:00–5:30 م</v>
      </c>
      <c r="C124" s="12">
        <v>2</v>
      </c>
      <c r="D124" s="12" t="s">
        <v>17</v>
      </c>
      <c r="E124" s="12" t="s">
        <v>19</v>
      </c>
      <c r="F124" s="7"/>
      <c r="G124" s="5"/>
    </row>
    <row r="125" spans="1:7">
      <c r="A125" s="11">
        <v>18</v>
      </c>
      <c r="B125" s="12" t="str">
        <f>المدخلات!$F$4</f>
        <v>4:00–5:30 م</v>
      </c>
      <c r="C125" s="12">
        <v>3</v>
      </c>
      <c r="D125" s="12" t="s">
        <v>89</v>
      </c>
      <c r="E125" s="12" t="s">
        <v>105</v>
      </c>
      <c r="F125" s="7"/>
      <c r="G125" s="5"/>
    </row>
    <row r="126" spans="1:7">
      <c r="A126" s="11">
        <v>18</v>
      </c>
      <c r="B126" s="12" t="str">
        <f>المدخلات!$F$5</f>
        <v>5:40–7:10 م</v>
      </c>
      <c r="C126" s="12">
        <v>1</v>
      </c>
      <c r="D126" s="12" t="s">
        <v>17</v>
      </c>
      <c r="E126" s="12" t="s">
        <v>39</v>
      </c>
      <c r="F126" s="7"/>
      <c r="G126" s="5"/>
    </row>
    <row r="127" spans="1:7">
      <c r="A127" s="11">
        <v>18</v>
      </c>
      <c r="B127" s="12" t="str">
        <f>المدخلات!$F$5</f>
        <v>5:40–7:10 م</v>
      </c>
      <c r="C127" s="12">
        <v>2</v>
      </c>
      <c r="D127" s="12" t="s">
        <v>89</v>
      </c>
      <c r="E127" s="12" t="s">
        <v>84</v>
      </c>
      <c r="F127" s="7"/>
      <c r="G127" s="5"/>
    </row>
    <row r="128" spans="1:7">
      <c r="A128" s="11">
        <v>18</v>
      </c>
      <c r="B128" s="12" t="str">
        <f>المدخلات!$F$5</f>
        <v>5:40–7:10 م</v>
      </c>
      <c r="C128" s="12">
        <v>3</v>
      </c>
      <c r="D128" s="12" t="s">
        <v>17</v>
      </c>
      <c r="E128" s="12" t="s">
        <v>45</v>
      </c>
      <c r="F128" s="7"/>
      <c r="G128" s="5"/>
    </row>
    <row r="129" spans="1:7">
      <c r="A129" s="11">
        <v>18</v>
      </c>
      <c r="B129" s="12" t="str">
        <f>المدخلات!$F$6</f>
        <v>7:20–8:50 م</v>
      </c>
      <c r="C129" s="12">
        <v>1</v>
      </c>
      <c r="D129" s="12" t="s">
        <v>17</v>
      </c>
      <c r="E129" s="12" t="s">
        <v>20</v>
      </c>
      <c r="F129" s="7"/>
      <c r="G129" s="5"/>
    </row>
    <row r="130" spans="1:7">
      <c r="A130" s="11">
        <v>19</v>
      </c>
      <c r="B130" s="12" t="str">
        <f>المدخلات!$F$4</f>
        <v>4:00–5:30 م</v>
      </c>
      <c r="C130" s="12">
        <v>1</v>
      </c>
      <c r="D130" s="12" t="s">
        <v>17</v>
      </c>
      <c r="E130" s="12" t="s">
        <v>46</v>
      </c>
      <c r="F130" s="7"/>
      <c r="G130" s="5"/>
    </row>
    <row r="131" spans="1:7">
      <c r="A131" s="11">
        <v>19</v>
      </c>
      <c r="B131" s="12" t="str">
        <f>المدخلات!$F$4</f>
        <v>4:00–5:30 م</v>
      </c>
      <c r="C131" s="12">
        <v>2</v>
      </c>
      <c r="D131" s="12" t="s">
        <v>89</v>
      </c>
      <c r="E131" s="12" t="s">
        <v>98</v>
      </c>
      <c r="F131" s="7"/>
      <c r="G131" s="5"/>
    </row>
    <row r="132" spans="1:7">
      <c r="A132" s="11">
        <v>19</v>
      </c>
      <c r="B132" s="12" t="str">
        <f>المدخلات!$F$4</f>
        <v>4:00–5:30 م</v>
      </c>
      <c r="C132" s="12">
        <v>3</v>
      </c>
      <c r="D132" s="12" t="s">
        <v>17</v>
      </c>
      <c r="E132" s="12" t="s">
        <v>40</v>
      </c>
      <c r="F132" s="7"/>
      <c r="G132" s="5"/>
    </row>
    <row r="133" spans="1:7">
      <c r="A133" s="11">
        <v>19</v>
      </c>
      <c r="B133" s="12" t="str">
        <f>المدخلات!$F$5</f>
        <v>5:40–7:10 م</v>
      </c>
      <c r="C133" s="12">
        <v>1</v>
      </c>
      <c r="D133" s="12" t="s">
        <v>17</v>
      </c>
      <c r="E133" s="12" t="s">
        <v>23</v>
      </c>
      <c r="F133" s="7"/>
      <c r="G133" s="5"/>
    </row>
    <row r="134" spans="1:7">
      <c r="A134" s="11">
        <v>19</v>
      </c>
      <c r="B134" s="12" t="str">
        <f>المدخلات!$F$5</f>
        <v>5:40–7:10 م</v>
      </c>
      <c r="C134" s="12">
        <v>2</v>
      </c>
      <c r="D134" s="12" t="s">
        <v>17</v>
      </c>
      <c r="E134" s="12" t="s">
        <v>18</v>
      </c>
      <c r="F134" s="7"/>
      <c r="G134" s="5"/>
    </row>
    <row r="135" spans="1:7">
      <c r="A135" s="11">
        <v>19</v>
      </c>
      <c r="B135" s="12" t="str">
        <f>المدخلات!$F$5</f>
        <v>5:40–7:10 م</v>
      </c>
      <c r="C135" s="12">
        <v>3</v>
      </c>
      <c r="D135" s="12" t="s">
        <v>89</v>
      </c>
      <c r="E135" s="12" t="s">
        <v>106</v>
      </c>
      <c r="F135" s="7"/>
      <c r="G135" s="5"/>
    </row>
    <row r="136" spans="1:7">
      <c r="A136" s="11">
        <v>19</v>
      </c>
      <c r="B136" s="12" t="str">
        <f>المدخلات!$F$6</f>
        <v>7:20–8:50 م</v>
      </c>
      <c r="C136" s="12">
        <v>1</v>
      </c>
      <c r="D136" s="12" t="s">
        <v>89</v>
      </c>
      <c r="E136" s="12" t="s">
        <v>74</v>
      </c>
      <c r="F136" s="7"/>
      <c r="G136" s="5"/>
    </row>
    <row r="137" spans="1:7">
      <c r="A137" s="11">
        <v>20</v>
      </c>
      <c r="B137" s="12" t="str">
        <f>المدخلات!$F$4</f>
        <v>4:00–5:30 م</v>
      </c>
      <c r="C137" s="12">
        <v>1</v>
      </c>
      <c r="D137" s="12" t="s">
        <v>17</v>
      </c>
      <c r="E137" s="12" t="s">
        <v>47</v>
      </c>
      <c r="F137" s="7"/>
      <c r="G137" s="5"/>
    </row>
    <row r="138" spans="1:7">
      <c r="A138" s="11">
        <v>20</v>
      </c>
      <c r="B138" s="12" t="str">
        <f>المدخلات!$F$4</f>
        <v>4:00–5:30 م</v>
      </c>
      <c r="C138" s="12">
        <v>2</v>
      </c>
      <c r="D138" s="12" t="s">
        <v>89</v>
      </c>
      <c r="E138" s="12" t="s">
        <v>107</v>
      </c>
      <c r="F138" s="7"/>
      <c r="G138" s="5"/>
    </row>
    <row r="139" spans="1:7">
      <c r="A139" s="11">
        <v>20</v>
      </c>
      <c r="B139" s="12" t="str">
        <f>المدخلات!$F$4</f>
        <v>4:00–5:30 م</v>
      </c>
      <c r="C139" s="12">
        <v>3</v>
      </c>
      <c r="D139" s="12" t="s">
        <v>17</v>
      </c>
      <c r="E139" s="12" t="s">
        <v>41</v>
      </c>
      <c r="F139" s="7"/>
      <c r="G139" s="5"/>
    </row>
    <row r="140" spans="1:7">
      <c r="A140" s="11">
        <v>20</v>
      </c>
      <c r="B140" s="12" t="str">
        <f>المدخلات!$F$5</f>
        <v>5:40–7:10 م</v>
      </c>
      <c r="C140" s="12">
        <v>1</v>
      </c>
      <c r="D140" s="12" t="s">
        <v>17</v>
      </c>
      <c r="E140" s="12" t="s">
        <v>22</v>
      </c>
      <c r="F140" s="7"/>
      <c r="G140" s="5"/>
    </row>
    <row r="141" spans="1:7">
      <c r="A141" s="11">
        <v>20</v>
      </c>
      <c r="B141" s="12" t="str">
        <f>المدخلات!$F$5</f>
        <v>5:40–7:10 م</v>
      </c>
      <c r="C141" s="12">
        <v>2</v>
      </c>
      <c r="D141" s="12" t="s">
        <v>17</v>
      </c>
      <c r="E141" s="12" t="s">
        <v>21</v>
      </c>
      <c r="F141" s="7"/>
      <c r="G141" s="5"/>
    </row>
    <row r="142" spans="1:7">
      <c r="A142" s="11">
        <v>20</v>
      </c>
      <c r="B142" s="12" t="str">
        <f>المدخلات!$F$5</f>
        <v>5:40–7:10 م</v>
      </c>
      <c r="C142" s="12">
        <v>3</v>
      </c>
      <c r="D142" s="12" t="s">
        <v>89</v>
      </c>
      <c r="E142" s="12" t="s">
        <v>92</v>
      </c>
      <c r="F142" s="7"/>
      <c r="G142" s="5"/>
    </row>
    <row r="143" spans="1:7">
      <c r="A143" s="11">
        <v>20</v>
      </c>
      <c r="B143" s="12" t="str">
        <f>المدخلات!$F$6</f>
        <v>7:20–8:50 م</v>
      </c>
      <c r="C143" s="12">
        <v>1</v>
      </c>
      <c r="D143" s="12" t="s">
        <v>89</v>
      </c>
      <c r="E143" s="12" t="s">
        <v>100</v>
      </c>
      <c r="F143" s="7"/>
      <c r="G143" s="5"/>
    </row>
    <row r="144" spans="1:7">
      <c r="A144" s="11">
        <v>21</v>
      </c>
      <c r="B144" s="12" t="str">
        <f>المدخلات!$F$4</f>
        <v>4:00–5:30 م</v>
      </c>
      <c r="C144" s="12">
        <v>1</v>
      </c>
      <c r="D144" s="12" t="s">
        <v>17</v>
      </c>
      <c r="E144" s="12" t="s">
        <v>26</v>
      </c>
      <c r="F144" s="7"/>
      <c r="G144" s="5"/>
    </row>
    <row r="145" spans="1:16">
      <c r="A145" s="11">
        <v>21</v>
      </c>
      <c r="B145" s="12" t="str">
        <f>المدخلات!$F$4</f>
        <v>4:00–5:30 م</v>
      </c>
      <c r="C145" s="12">
        <v>2</v>
      </c>
      <c r="D145" s="12" t="s">
        <v>89</v>
      </c>
      <c r="E145" s="12" t="s">
        <v>91</v>
      </c>
      <c r="F145" s="7"/>
      <c r="G145" s="5"/>
    </row>
    <row r="146" spans="1:16">
      <c r="A146" s="11">
        <v>21</v>
      </c>
      <c r="B146" s="12" t="str">
        <f>المدخلات!$F$4</f>
        <v>4:00–5:30 م</v>
      </c>
      <c r="C146" s="12">
        <v>3</v>
      </c>
      <c r="D146" s="12" t="s">
        <v>17</v>
      </c>
      <c r="E146" s="12" t="s">
        <v>24</v>
      </c>
      <c r="F146" s="7"/>
      <c r="G146" s="5"/>
    </row>
    <row r="147" spans="1:16">
      <c r="A147" s="11">
        <v>21</v>
      </c>
      <c r="B147" s="12" t="str">
        <f>المدخلات!$F$5</f>
        <v>5:40–7:10 م</v>
      </c>
      <c r="C147" s="12">
        <v>1</v>
      </c>
      <c r="D147" s="12" t="s">
        <v>89</v>
      </c>
      <c r="E147" s="12" t="s">
        <v>85</v>
      </c>
      <c r="F147" s="7"/>
      <c r="G147" s="5"/>
    </row>
    <row r="148" spans="1:16">
      <c r="A148" s="11">
        <v>21</v>
      </c>
      <c r="B148" s="12" t="str">
        <f>المدخلات!$F$5</f>
        <v>5:40–7:10 م</v>
      </c>
      <c r="C148" s="12">
        <v>2</v>
      </c>
      <c r="D148" s="12" t="s">
        <v>17</v>
      </c>
      <c r="E148" s="12" t="s">
        <v>48</v>
      </c>
      <c r="F148" s="7"/>
      <c r="G148" s="5"/>
    </row>
    <row r="149" spans="1:16">
      <c r="A149" s="11">
        <v>21</v>
      </c>
      <c r="B149" s="12" t="str">
        <f>المدخلات!$F$5</f>
        <v>5:40–7:10 م</v>
      </c>
      <c r="C149" s="12">
        <v>3</v>
      </c>
      <c r="D149" s="12" t="s">
        <v>89</v>
      </c>
      <c r="E149" s="12" t="s">
        <v>101</v>
      </c>
      <c r="F149" s="7"/>
      <c r="G149" s="5"/>
    </row>
    <row r="150" spans="1:16">
      <c r="A150" s="11">
        <v>21</v>
      </c>
      <c r="B150" s="12" t="str">
        <f>المدخلات!$F$6</f>
        <v>7:20–8:50 م</v>
      </c>
      <c r="C150" s="12">
        <v>1</v>
      </c>
      <c r="D150" s="12" t="s">
        <v>17</v>
      </c>
      <c r="E150" s="12" t="s">
        <v>25</v>
      </c>
      <c r="F150" s="7"/>
      <c r="G150" s="5"/>
    </row>
    <row r="151" spans="1:16">
      <c r="A151" s="11">
        <v>22</v>
      </c>
      <c r="B151" s="12" t="str">
        <f>المدخلات!$F$4</f>
        <v>4:00–5:30 م</v>
      </c>
      <c r="C151" s="12">
        <v>1</v>
      </c>
      <c r="D151" s="12" t="s">
        <v>95</v>
      </c>
      <c r="E151" s="12" t="s">
        <v>96</v>
      </c>
      <c r="F151" s="7"/>
      <c r="G151" s="5"/>
    </row>
    <row r="152" spans="1:16">
      <c r="A152" s="5"/>
      <c r="B152" s="5"/>
      <c r="C152" s="5"/>
      <c r="D152" s="5"/>
      <c r="E152" s="5"/>
      <c r="F152" s="5"/>
      <c r="G152" s="5"/>
    </row>
    <row r="153" spans="1:16">
      <c r="A153" s="5"/>
      <c r="B153" s="5"/>
      <c r="C153" s="5"/>
      <c r="D153" s="5"/>
      <c r="E153" s="5"/>
      <c r="F153" s="5"/>
      <c r="G153" s="5"/>
    </row>
    <row r="154" spans="1:16" ht="15.5">
      <c r="A154" s="52" t="s">
        <v>363</v>
      </c>
      <c r="B154" s="52"/>
      <c r="C154" s="52"/>
      <c r="D154" s="52"/>
      <c r="E154" s="52"/>
      <c r="F154" s="52"/>
      <c r="G154" s="52"/>
      <c r="H154" s="52"/>
      <c r="I154" s="52"/>
      <c r="J154" s="52"/>
      <c r="K154" s="52"/>
      <c r="L154" s="52"/>
      <c r="M154" s="52"/>
      <c r="N154" s="52"/>
      <c r="O154" s="52"/>
      <c r="P154" s="52"/>
    </row>
    <row r="155" spans="1:16">
      <c r="A155" s="9" t="s">
        <v>362</v>
      </c>
      <c r="B155" s="9">
        <v>1</v>
      </c>
      <c r="C155" s="9">
        <v>2</v>
      </c>
      <c r="D155" s="9">
        <v>3</v>
      </c>
      <c r="E155" s="9">
        <v>4</v>
      </c>
      <c r="F155" s="9">
        <v>5</v>
      </c>
      <c r="G155" s="9">
        <v>6</v>
      </c>
      <c r="H155" s="9">
        <v>7</v>
      </c>
      <c r="I155" s="9">
        <v>8</v>
      </c>
      <c r="J155" s="9">
        <v>9</v>
      </c>
      <c r="K155" s="9">
        <v>10</v>
      </c>
      <c r="L155" s="9">
        <v>11</v>
      </c>
      <c r="M155" s="9">
        <v>12</v>
      </c>
      <c r="N155" s="9">
        <v>13</v>
      </c>
      <c r="O155" s="9">
        <v>14</v>
      </c>
      <c r="P155" s="9">
        <v>15</v>
      </c>
    </row>
    <row r="156" spans="1:16">
      <c r="A156" s="9">
        <v>1</v>
      </c>
      <c r="B156" s="12" t="str">
        <f t="shared" ref="B156:P170" si="0">IF($A156=B$155,"",COUNTIF($E$4:$E$151,$A156&amp;" ضد "&amp;B$155)+COUNTIF($E$4:$E$151,B$155&amp;" ضد "&amp;$A156))</f>
        <v/>
      </c>
      <c r="C156" s="12">
        <f t="shared" si="0"/>
        <v>3</v>
      </c>
      <c r="D156" s="12">
        <f t="shared" si="0"/>
        <v>3</v>
      </c>
      <c r="E156" s="12">
        <f t="shared" si="0"/>
        <v>3</v>
      </c>
      <c r="F156" s="12">
        <f t="shared" si="0"/>
        <v>3</v>
      </c>
      <c r="G156" s="12">
        <f t="shared" si="0"/>
        <v>3</v>
      </c>
      <c r="H156" s="12">
        <f t="shared" si="0"/>
        <v>3</v>
      </c>
      <c r="I156" s="12">
        <f t="shared" si="0"/>
        <v>3</v>
      </c>
      <c r="J156" s="12">
        <f t="shared" si="0"/>
        <v>0</v>
      </c>
      <c r="K156" s="12">
        <f t="shared" si="0"/>
        <v>0</v>
      </c>
      <c r="L156" s="12">
        <f t="shared" si="0"/>
        <v>0</v>
      </c>
      <c r="M156" s="12">
        <f t="shared" si="0"/>
        <v>0</v>
      </c>
      <c r="N156" s="12">
        <f t="shared" si="0"/>
        <v>0</v>
      </c>
      <c r="O156" s="12">
        <f t="shared" si="0"/>
        <v>0</v>
      </c>
      <c r="P156" s="12">
        <f t="shared" si="0"/>
        <v>0</v>
      </c>
    </row>
    <row r="157" spans="1:16">
      <c r="A157" s="9">
        <v>2</v>
      </c>
      <c r="B157" s="12">
        <f t="shared" si="0"/>
        <v>3</v>
      </c>
      <c r="C157" s="12" t="str">
        <f t="shared" si="0"/>
        <v/>
      </c>
      <c r="D157" s="12">
        <f t="shared" si="0"/>
        <v>3</v>
      </c>
      <c r="E157" s="12">
        <f t="shared" si="0"/>
        <v>3</v>
      </c>
      <c r="F157" s="12">
        <f t="shared" si="0"/>
        <v>3</v>
      </c>
      <c r="G157" s="12">
        <f t="shared" si="0"/>
        <v>3</v>
      </c>
      <c r="H157" s="12">
        <f t="shared" si="0"/>
        <v>3</v>
      </c>
      <c r="I157" s="12">
        <f t="shared" si="0"/>
        <v>3</v>
      </c>
      <c r="J157" s="12">
        <f t="shared" si="0"/>
        <v>0</v>
      </c>
      <c r="K157" s="12">
        <f t="shared" si="0"/>
        <v>0</v>
      </c>
      <c r="L157" s="12">
        <f t="shared" si="0"/>
        <v>0</v>
      </c>
      <c r="M157" s="12">
        <f t="shared" si="0"/>
        <v>0</v>
      </c>
      <c r="N157" s="12">
        <f t="shared" si="0"/>
        <v>0</v>
      </c>
      <c r="O157" s="12">
        <f t="shared" si="0"/>
        <v>0</v>
      </c>
      <c r="P157" s="12">
        <f t="shared" si="0"/>
        <v>0</v>
      </c>
    </row>
    <row r="158" spans="1:16">
      <c r="A158" s="9">
        <v>3</v>
      </c>
      <c r="B158" s="12">
        <f t="shared" si="0"/>
        <v>3</v>
      </c>
      <c r="C158" s="12">
        <f t="shared" si="0"/>
        <v>3</v>
      </c>
      <c r="D158" s="12" t="str">
        <f t="shared" si="0"/>
        <v/>
      </c>
      <c r="E158" s="12">
        <f t="shared" si="0"/>
        <v>3</v>
      </c>
      <c r="F158" s="12">
        <f t="shared" si="0"/>
        <v>3</v>
      </c>
      <c r="G158" s="12">
        <f t="shared" si="0"/>
        <v>3</v>
      </c>
      <c r="H158" s="12">
        <f t="shared" si="0"/>
        <v>3</v>
      </c>
      <c r="I158" s="12">
        <f t="shared" si="0"/>
        <v>3</v>
      </c>
      <c r="J158" s="12">
        <f t="shared" si="0"/>
        <v>0</v>
      </c>
      <c r="K158" s="12">
        <f t="shared" si="0"/>
        <v>0</v>
      </c>
      <c r="L158" s="12">
        <f t="shared" si="0"/>
        <v>0</v>
      </c>
      <c r="M158" s="12">
        <f t="shared" si="0"/>
        <v>0</v>
      </c>
      <c r="N158" s="12">
        <f t="shared" si="0"/>
        <v>0</v>
      </c>
      <c r="O158" s="12">
        <f t="shared" si="0"/>
        <v>0</v>
      </c>
      <c r="P158" s="12">
        <f t="shared" si="0"/>
        <v>0</v>
      </c>
    </row>
    <row r="159" spans="1:16">
      <c r="A159" s="9">
        <v>4</v>
      </c>
      <c r="B159" s="12">
        <f t="shared" si="0"/>
        <v>3</v>
      </c>
      <c r="C159" s="12">
        <f t="shared" si="0"/>
        <v>3</v>
      </c>
      <c r="D159" s="12">
        <f t="shared" si="0"/>
        <v>3</v>
      </c>
      <c r="E159" s="12" t="str">
        <f t="shared" si="0"/>
        <v/>
      </c>
      <c r="F159" s="12">
        <f t="shared" si="0"/>
        <v>3</v>
      </c>
      <c r="G159" s="12">
        <f t="shared" si="0"/>
        <v>3</v>
      </c>
      <c r="H159" s="12">
        <f t="shared" si="0"/>
        <v>3</v>
      </c>
      <c r="I159" s="12">
        <f t="shared" si="0"/>
        <v>3</v>
      </c>
      <c r="J159" s="12">
        <f t="shared" si="0"/>
        <v>0</v>
      </c>
      <c r="K159" s="12">
        <f t="shared" si="0"/>
        <v>0</v>
      </c>
      <c r="L159" s="12">
        <f t="shared" si="0"/>
        <v>0</v>
      </c>
      <c r="M159" s="12">
        <f t="shared" si="0"/>
        <v>0</v>
      </c>
      <c r="N159" s="12">
        <f t="shared" si="0"/>
        <v>0</v>
      </c>
      <c r="O159" s="12">
        <f t="shared" si="0"/>
        <v>0</v>
      </c>
      <c r="P159" s="12">
        <f t="shared" si="0"/>
        <v>0</v>
      </c>
    </row>
    <row r="160" spans="1:16">
      <c r="A160" s="9">
        <v>5</v>
      </c>
      <c r="B160" s="12">
        <f t="shared" si="0"/>
        <v>3</v>
      </c>
      <c r="C160" s="12">
        <f t="shared" si="0"/>
        <v>3</v>
      </c>
      <c r="D160" s="12">
        <f t="shared" si="0"/>
        <v>3</v>
      </c>
      <c r="E160" s="12">
        <f t="shared" si="0"/>
        <v>3</v>
      </c>
      <c r="F160" s="12" t="str">
        <f t="shared" si="0"/>
        <v/>
      </c>
      <c r="G160" s="12">
        <f t="shared" si="0"/>
        <v>3</v>
      </c>
      <c r="H160" s="12">
        <f t="shared" si="0"/>
        <v>3</v>
      </c>
      <c r="I160" s="12">
        <f t="shared" si="0"/>
        <v>3</v>
      </c>
      <c r="J160" s="12">
        <f t="shared" si="0"/>
        <v>0</v>
      </c>
      <c r="K160" s="12">
        <f t="shared" si="0"/>
        <v>0</v>
      </c>
      <c r="L160" s="12">
        <f t="shared" si="0"/>
        <v>0</v>
      </c>
      <c r="M160" s="12">
        <f t="shared" si="0"/>
        <v>0</v>
      </c>
      <c r="N160" s="12">
        <f t="shared" si="0"/>
        <v>0</v>
      </c>
      <c r="O160" s="12">
        <f t="shared" si="0"/>
        <v>0</v>
      </c>
      <c r="P160" s="12">
        <f t="shared" si="0"/>
        <v>0</v>
      </c>
    </row>
    <row r="161" spans="1:16">
      <c r="A161" s="9">
        <v>6</v>
      </c>
      <c r="B161" s="12">
        <f t="shared" si="0"/>
        <v>3</v>
      </c>
      <c r="C161" s="12">
        <f t="shared" si="0"/>
        <v>3</v>
      </c>
      <c r="D161" s="12">
        <f t="shared" si="0"/>
        <v>3</v>
      </c>
      <c r="E161" s="12">
        <f t="shared" si="0"/>
        <v>3</v>
      </c>
      <c r="F161" s="12">
        <f t="shared" si="0"/>
        <v>3</v>
      </c>
      <c r="G161" s="12" t="str">
        <f t="shared" si="0"/>
        <v/>
      </c>
      <c r="H161" s="12">
        <f t="shared" si="0"/>
        <v>3</v>
      </c>
      <c r="I161" s="12">
        <f t="shared" si="0"/>
        <v>3</v>
      </c>
      <c r="J161" s="12">
        <f t="shared" si="0"/>
        <v>0</v>
      </c>
      <c r="K161" s="12">
        <f t="shared" si="0"/>
        <v>0</v>
      </c>
      <c r="L161" s="12">
        <f t="shared" si="0"/>
        <v>0</v>
      </c>
      <c r="M161" s="12">
        <f t="shared" si="0"/>
        <v>0</v>
      </c>
      <c r="N161" s="12">
        <f t="shared" si="0"/>
        <v>0</v>
      </c>
      <c r="O161" s="12">
        <f t="shared" si="0"/>
        <v>0</v>
      </c>
      <c r="P161" s="12">
        <f t="shared" si="0"/>
        <v>0</v>
      </c>
    </row>
    <row r="162" spans="1:16">
      <c r="A162" s="9">
        <v>7</v>
      </c>
      <c r="B162" s="12">
        <f t="shared" si="0"/>
        <v>3</v>
      </c>
      <c r="C162" s="12">
        <f t="shared" si="0"/>
        <v>3</v>
      </c>
      <c r="D162" s="12">
        <f t="shared" si="0"/>
        <v>3</v>
      </c>
      <c r="E162" s="12">
        <f t="shared" si="0"/>
        <v>3</v>
      </c>
      <c r="F162" s="12">
        <f t="shared" si="0"/>
        <v>3</v>
      </c>
      <c r="G162" s="12">
        <f t="shared" si="0"/>
        <v>3</v>
      </c>
      <c r="H162" s="12" t="str">
        <f t="shared" si="0"/>
        <v/>
      </c>
      <c r="I162" s="12">
        <f t="shared" si="0"/>
        <v>3</v>
      </c>
      <c r="J162" s="12">
        <f t="shared" si="0"/>
        <v>0</v>
      </c>
      <c r="K162" s="12">
        <f t="shared" si="0"/>
        <v>0</v>
      </c>
      <c r="L162" s="12">
        <f t="shared" si="0"/>
        <v>0</v>
      </c>
      <c r="M162" s="12">
        <f t="shared" si="0"/>
        <v>0</v>
      </c>
      <c r="N162" s="12">
        <f t="shared" si="0"/>
        <v>0</v>
      </c>
      <c r="O162" s="12">
        <f t="shared" si="0"/>
        <v>0</v>
      </c>
      <c r="P162" s="12">
        <f t="shared" si="0"/>
        <v>0</v>
      </c>
    </row>
    <row r="163" spans="1:16">
      <c r="A163" s="9">
        <v>8</v>
      </c>
      <c r="B163" s="12">
        <f t="shared" si="0"/>
        <v>3</v>
      </c>
      <c r="C163" s="12">
        <f t="shared" si="0"/>
        <v>3</v>
      </c>
      <c r="D163" s="12">
        <f t="shared" si="0"/>
        <v>3</v>
      </c>
      <c r="E163" s="12">
        <f t="shared" si="0"/>
        <v>3</v>
      </c>
      <c r="F163" s="12">
        <f t="shared" si="0"/>
        <v>3</v>
      </c>
      <c r="G163" s="12">
        <f t="shared" si="0"/>
        <v>3</v>
      </c>
      <c r="H163" s="12">
        <f t="shared" si="0"/>
        <v>3</v>
      </c>
      <c r="I163" s="12" t="str">
        <f t="shared" si="0"/>
        <v/>
      </c>
      <c r="J163" s="12">
        <f t="shared" si="0"/>
        <v>0</v>
      </c>
      <c r="K163" s="12">
        <f t="shared" si="0"/>
        <v>0</v>
      </c>
      <c r="L163" s="12">
        <f t="shared" si="0"/>
        <v>0</v>
      </c>
      <c r="M163" s="12">
        <f t="shared" si="0"/>
        <v>0</v>
      </c>
      <c r="N163" s="12">
        <f t="shared" si="0"/>
        <v>0</v>
      </c>
      <c r="O163" s="12">
        <f t="shared" si="0"/>
        <v>0</v>
      </c>
      <c r="P163" s="12">
        <f t="shared" si="0"/>
        <v>0</v>
      </c>
    </row>
    <row r="164" spans="1:16">
      <c r="A164" s="9">
        <v>9</v>
      </c>
      <c r="B164" s="12">
        <f t="shared" si="0"/>
        <v>0</v>
      </c>
      <c r="C164" s="12">
        <f t="shared" si="0"/>
        <v>0</v>
      </c>
      <c r="D164" s="12">
        <f t="shared" si="0"/>
        <v>0</v>
      </c>
      <c r="E164" s="12">
        <f t="shared" si="0"/>
        <v>0</v>
      </c>
      <c r="F164" s="12">
        <f t="shared" si="0"/>
        <v>0</v>
      </c>
      <c r="G164" s="12">
        <f t="shared" si="0"/>
        <v>0</v>
      </c>
      <c r="H164" s="12">
        <f t="shared" si="0"/>
        <v>0</v>
      </c>
      <c r="I164" s="12">
        <f t="shared" si="0"/>
        <v>0</v>
      </c>
      <c r="J164" s="12" t="str">
        <f t="shared" si="0"/>
        <v/>
      </c>
      <c r="K164" s="12">
        <f t="shared" si="0"/>
        <v>3</v>
      </c>
      <c r="L164" s="12">
        <f t="shared" si="0"/>
        <v>3</v>
      </c>
      <c r="M164" s="12">
        <f t="shared" si="0"/>
        <v>3</v>
      </c>
      <c r="N164" s="12">
        <f t="shared" si="0"/>
        <v>3</v>
      </c>
      <c r="O164" s="12">
        <f t="shared" si="0"/>
        <v>3</v>
      </c>
      <c r="P164" s="12">
        <f t="shared" si="0"/>
        <v>3</v>
      </c>
    </row>
    <row r="165" spans="1:16">
      <c r="A165" s="9">
        <v>10</v>
      </c>
      <c r="B165" s="12">
        <f t="shared" si="0"/>
        <v>0</v>
      </c>
      <c r="C165" s="12">
        <f t="shared" si="0"/>
        <v>0</v>
      </c>
      <c r="D165" s="12">
        <f t="shared" si="0"/>
        <v>0</v>
      </c>
      <c r="E165" s="12">
        <f t="shared" si="0"/>
        <v>0</v>
      </c>
      <c r="F165" s="12">
        <f t="shared" si="0"/>
        <v>0</v>
      </c>
      <c r="G165" s="12">
        <f t="shared" si="0"/>
        <v>0</v>
      </c>
      <c r="H165" s="12">
        <f t="shared" si="0"/>
        <v>0</v>
      </c>
      <c r="I165" s="12">
        <f t="shared" si="0"/>
        <v>0</v>
      </c>
      <c r="J165" s="12">
        <f t="shared" si="0"/>
        <v>3</v>
      </c>
      <c r="K165" s="12" t="str">
        <f t="shared" si="0"/>
        <v/>
      </c>
      <c r="L165" s="12">
        <f t="shared" si="0"/>
        <v>3</v>
      </c>
      <c r="M165" s="12">
        <f t="shared" si="0"/>
        <v>3</v>
      </c>
      <c r="N165" s="12">
        <f t="shared" si="0"/>
        <v>3</v>
      </c>
      <c r="O165" s="12">
        <f t="shared" si="0"/>
        <v>3</v>
      </c>
      <c r="P165" s="12">
        <f t="shared" si="0"/>
        <v>3</v>
      </c>
    </row>
    <row r="166" spans="1:16">
      <c r="A166" s="9">
        <v>11</v>
      </c>
      <c r="B166" s="12">
        <f t="shared" si="0"/>
        <v>0</v>
      </c>
      <c r="C166" s="12">
        <f t="shared" si="0"/>
        <v>0</v>
      </c>
      <c r="D166" s="12">
        <f t="shared" si="0"/>
        <v>0</v>
      </c>
      <c r="E166" s="12">
        <f t="shared" si="0"/>
        <v>0</v>
      </c>
      <c r="F166" s="12">
        <f t="shared" si="0"/>
        <v>0</v>
      </c>
      <c r="G166" s="12">
        <f t="shared" si="0"/>
        <v>0</v>
      </c>
      <c r="H166" s="12">
        <f t="shared" si="0"/>
        <v>0</v>
      </c>
      <c r="I166" s="12">
        <f t="shared" si="0"/>
        <v>0</v>
      </c>
      <c r="J166" s="12">
        <f t="shared" si="0"/>
        <v>3</v>
      </c>
      <c r="K166" s="12">
        <f t="shared" si="0"/>
        <v>3</v>
      </c>
      <c r="L166" s="12" t="str">
        <f t="shared" si="0"/>
        <v/>
      </c>
      <c r="M166" s="12">
        <f t="shared" si="0"/>
        <v>3</v>
      </c>
      <c r="N166" s="12">
        <f t="shared" si="0"/>
        <v>3</v>
      </c>
      <c r="O166" s="12">
        <f t="shared" si="0"/>
        <v>3</v>
      </c>
      <c r="P166" s="12">
        <f t="shared" si="0"/>
        <v>3</v>
      </c>
    </row>
    <row r="167" spans="1:16">
      <c r="A167" s="9">
        <v>12</v>
      </c>
      <c r="B167" s="12">
        <f t="shared" si="0"/>
        <v>0</v>
      </c>
      <c r="C167" s="12">
        <f t="shared" si="0"/>
        <v>0</v>
      </c>
      <c r="D167" s="12">
        <f t="shared" si="0"/>
        <v>0</v>
      </c>
      <c r="E167" s="12">
        <f t="shared" si="0"/>
        <v>0</v>
      </c>
      <c r="F167" s="12">
        <f t="shared" si="0"/>
        <v>0</v>
      </c>
      <c r="G167" s="12">
        <f t="shared" si="0"/>
        <v>0</v>
      </c>
      <c r="H167" s="12">
        <f t="shared" si="0"/>
        <v>0</v>
      </c>
      <c r="I167" s="12">
        <f t="shared" si="0"/>
        <v>0</v>
      </c>
      <c r="J167" s="12">
        <f t="shared" si="0"/>
        <v>3</v>
      </c>
      <c r="K167" s="12">
        <f t="shared" si="0"/>
        <v>3</v>
      </c>
      <c r="L167" s="12">
        <f t="shared" si="0"/>
        <v>3</v>
      </c>
      <c r="M167" s="12" t="str">
        <f t="shared" si="0"/>
        <v/>
      </c>
      <c r="N167" s="12">
        <f t="shared" si="0"/>
        <v>3</v>
      </c>
      <c r="O167" s="12">
        <f t="shared" si="0"/>
        <v>3</v>
      </c>
      <c r="P167" s="12">
        <f t="shared" si="0"/>
        <v>3</v>
      </c>
    </row>
    <row r="168" spans="1:16">
      <c r="A168" s="9">
        <v>13</v>
      </c>
      <c r="B168" s="12">
        <f t="shared" si="0"/>
        <v>0</v>
      </c>
      <c r="C168" s="12">
        <f t="shared" si="0"/>
        <v>0</v>
      </c>
      <c r="D168" s="12">
        <f t="shared" si="0"/>
        <v>0</v>
      </c>
      <c r="E168" s="12">
        <f t="shared" si="0"/>
        <v>0</v>
      </c>
      <c r="F168" s="12">
        <f t="shared" si="0"/>
        <v>0</v>
      </c>
      <c r="G168" s="12">
        <f t="shared" si="0"/>
        <v>0</v>
      </c>
      <c r="H168" s="12">
        <f t="shared" si="0"/>
        <v>0</v>
      </c>
      <c r="I168" s="12">
        <f t="shared" si="0"/>
        <v>0</v>
      </c>
      <c r="J168" s="12">
        <f t="shared" si="0"/>
        <v>3</v>
      </c>
      <c r="K168" s="12">
        <f t="shared" si="0"/>
        <v>3</v>
      </c>
      <c r="L168" s="12">
        <f t="shared" si="0"/>
        <v>3</v>
      </c>
      <c r="M168" s="12">
        <f t="shared" si="0"/>
        <v>3</v>
      </c>
      <c r="N168" s="12" t="str">
        <f t="shared" si="0"/>
        <v/>
      </c>
      <c r="O168" s="12">
        <f t="shared" si="0"/>
        <v>3</v>
      </c>
      <c r="P168" s="12">
        <f t="shared" si="0"/>
        <v>3</v>
      </c>
    </row>
    <row r="169" spans="1:16">
      <c r="A169" s="9">
        <v>14</v>
      </c>
      <c r="B169" s="12">
        <f t="shared" si="0"/>
        <v>0</v>
      </c>
      <c r="C169" s="12">
        <f t="shared" si="0"/>
        <v>0</v>
      </c>
      <c r="D169" s="12">
        <f t="shared" si="0"/>
        <v>0</v>
      </c>
      <c r="E169" s="12">
        <f t="shared" si="0"/>
        <v>0</v>
      </c>
      <c r="F169" s="12">
        <f t="shared" si="0"/>
        <v>0</v>
      </c>
      <c r="G169" s="12">
        <f t="shared" si="0"/>
        <v>0</v>
      </c>
      <c r="H169" s="12">
        <f t="shared" si="0"/>
        <v>0</v>
      </c>
      <c r="I169" s="12">
        <f t="shared" si="0"/>
        <v>0</v>
      </c>
      <c r="J169" s="12">
        <f t="shared" si="0"/>
        <v>3</v>
      </c>
      <c r="K169" s="12">
        <f t="shared" si="0"/>
        <v>3</v>
      </c>
      <c r="L169" s="12">
        <f t="shared" si="0"/>
        <v>3</v>
      </c>
      <c r="M169" s="12">
        <f t="shared" si="0"/>
        <v>3</v>
      </c>
      <c r="N169" s="12">
        <f t="shared" si="0"/>
        <v>3</v>
      </c>
      <c r="O169" s="12" t="str">
        <f t="shared" si="0"/>
        <v/>
      </c>
      <c r="P169" s="12">
        <f t="shared" si="0"/>
        <v>3</v>
      </c>
    </row>
    <row r="170" spans="1:16">
      <c r="A170" s="9">
        <v>15</v>
      </c>
      <c r="B170" s="12">
        <f t="shared" si="0"/>
        <v>0</v>
      </c>
      <c r="C170" s="12">
        <f t="shared" si="0"/>
        <v>0</v>
      </c>
      <c r="D170" s="12">
        <f t="shared" si="0"/>
        <v>0</v>
      </c>
      <c r="E170" s="12">
        <f t="shared" si="0"/>
        <v>0</v>
      </c>
      <c r="F170" s="12">
        <f t="shared" si="0"/>
        <v>0</v>
      </c>
      <c r="G170" s="12">
        <f t="shared" si="0"/>
        <v>0</v>
      </c>
      <c r="H170" s="12">
        <f t="shared" si="0"/>
        <v>0</v>
      </c>
      <c r="I170" s="12">
        <f t="shared" si="0"/>
        <v>0</v>
      </c>
      <c r="J170" s="12">
        <f t="shared" si="0"/>
        <v>3</v>
      </c>
      <c r="K170" s="12">
        <f t="shared" si="0"/>
        <v>3</v>
      </c>
      <c r="L170" s="12">
        <f t="shared" si="0"/>
        <v>3</v>
      </c>
      <c r="M170" s="12">
        <f t="shared" si="0"/>
        <v>3</v>
      </c>
      <c r="N170" s="12">
        <f t="shared" si="0"/>
        <v>3</v>
      </c>
      <c r="O170" s="12">
        <f t="shared" si="0"/>
        <v>3</v>
      </c>
      <c r="P170" s="12" t="str">
        <f t="shared" si="0"/>
        <v/>
      </c>
    </row>
    <row r="171" spans="1:16">
      <c r="A171" s="17" t="s">
        <v>434</v>
      </c>
      <c r="B171" s="14">
        <f>_xlfn.MINIFS(B156:P170,B156:P170,"&gt;0")</f>
        <v>3</v>
      </c>
      <c r="C171" s="5"/>
      <c r="D171" s="5"/>
      <c r="E171" s="5"/>
      <c r="F171" s="5"/>
      <c r="G171" s="5"/>
    </row>
    <row r="172" spans="1:16">
      <c r="A172" s="17" t="s">
        <v>435</v>
      </c>
      <c r="B172" s="14">
        <f>MAX(B156:P170)</f>
        <v>3</v>
      </c>
      <c r="C172" s="5"/>
      <c r="D172" s="5"/>
      <c r="E172" s="5"/>
      <c r="F172" s="5"/>
      <c r="G172" s="5"/>
    </row>
    <row r="173" spans="1:16">
      <c r="A173" s="5"/>
      <c r="B173" s="5"/>
      <c r="C173" s="5"/>
      <c r="D173" s="5"/>
      <c r="E173" s="5"/>
      <c r="F173" s="5"/>
      <c r="G173" s="5"/>
    </row>
    <row r="174" spans="1:16">
      <c r="A174" s="5"/>
      <c r="B174" s="5"/>
      <c r="C174" s="5"/>
      <c r="D174" s="5"/>
      <c r="E174" s="5"/>
      <c r="F174" s="5"/>
      <c r="G174" s="5"/>
    </row>
    <row r="175" spans="1:16">
      <c r="A175" s="5"/>
      <c r="B175" s="5"/>
      <c r="C175" s="5"/>
      <c r="D175" s="5"/>
      <c r="E175" s="5"/>
      <c r="F175" s="5"/>
      <c r="G175" s="5"/>
    </row>
    <row r="176" spans="1:16">
      <c r="A176" s="5"/>
      <c r="B176" s="5"/>
      <c r="C176" s="5"/>
      <c r="D176" s="5"/>
      <c r="E176" s="5"/>
      <c r="F176" s="5"/>
      <c r="G176" s="5"/>
    </row>
    <row r="177" s="5" customFormat="1"/>
    <row r="178" s="5" customFormat="1"/>
    <row r="179" s="5" customFormat="1"/>
    <row r="180" s="5" customFormat="1"/>
    <row r="181" s="5" customFormat="1"/>
    <row r="182" s="5" customFormat="1"/>
    <row r="183" s="5" customFormat="1"/>
    <row r="184" s="5" customFormat="1"/>
    <row r="185" s="5" customFormat="1"/>
    <row r="186" s="5" customFormat="1"/>
    <row r="187" s="5" customFormat="1"/>
    <row r="188" s="5" customFormat="1"/>
    <row r="189" s="5" customFormat="1"/>
    <row r="190" s="5" customFormat="1"/>
    <row r="191" s="5" customFormat="1"/>
    <row r="192" s="5" customFormat="1"/>
    <row r="193" s="5" customFormat="1"/>
    <row r="194" s="5" customFormat="1"/>
    <row r="195" s="5" customFormat="1"/>
    <row r="196" s="5" customFormat="1"/>
    <row r="197" s="5" customFormat="1"/>
    <row r="198" s="5" customFormat="1"/>
    <row r="199" s="5" customFormat="1"/>
    <row r="200" s="5" customFormat="1"/>
    <row r="201" s="5" customFormat="1"/>
    <row r="202" s="5" customFormat="1"/>
    <row r="203" s="5" customFormat="1"/>
    <row r="204" s="5" customFormat="1"/>
    <row r="205" s="5" customFormat="1"/>
    <row r="206" s="5" customFormat="1"/>
    <row r="207" s="5" customFormat="1"/>
    <row r="208" s="5" customFormat="1"/>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154:P15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8051-4088-49D3-9FFC-8CAD260F756E}">
  <dimension ref="A1:Q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12.90625" style="15" bestFit="1" customWidth="1"/>
    <col min="5" max="5" width="26.179687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39.08984375" style="5" bestFit="1" customWidth="1"/>
    <col min="13" max="13" width="10.1796875" style="5" bestFit="1" customWidth="1"/>
    <col min="14" max="14" width="8.7265625" style="5"/>
    <col min="15" max="15" width="35.54296875" style="5" bestFit="1" customWidth="1"/>
    <col min="16" max="16" width="10.1796875" style="5" bestFit="1" customWidth="1"/>
    <col min="17" max="16384" width="8.7265625" style="5"/>
  </cols>
  <sheetData>
    <row r="1" spans="1:16" ht="18.5">
      <c r="A1" s="49" t="s">
        <v>442</v>
      </c>
      <c r="B1" s="49"/>
      <c r="C1" s="49"/>
      <c r="D1" s="49"/>
      <c r="E1" s="49"/>
      <c r="F1" s="49"/>
      <c r="G1" s="49"/>
      <c r="H1" s="4"/>
      <c r="I1" s="4"/>
      <c r="J1" s="4"/>
      <c r="K1" s="4"/>
      <c r="L1" s="4"/>
      <c r="M1" s="4"/>
      <c r="N1" s="4"/>
      <c r="O1" s="4"/>
      <c r="P1" s="4"/>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16" t="s">
        <v>97</v>
      </c>
    </row>
    <row r="4" spans="1:16">
      <c r="A4" s="11">
        <v>1</v>
      </c>
      <c r="B4" s="12" t="str">
        <f>المدخلات!$F$4</f>
        <v>4:00–5:30 م</v>
      </c>
      <c r="C4" s="12">
        <v>1</v>
      </c>
      <c r="D4" s="12" t="s">
        <v>17</v>
      </c>
      <c r="E4" s="12" t="s">
        <v>44</v>
      </c>
      <c r="F4" s="7"/>
      <c r="G4" s="5"/>
    </row>
    <row r="5" spans="1:16">
      <c r="A5" s="11">
        <v>1</v>
      </c>
      <c r="B5" s="12" t="str">
        <f>المدخلات!$F$4</f>
        <v>4:00–5:30 م</v>
      </c>
      <c r="C5" s="12">
        <v>2</v>
      </c>
      <c r="D5" s="12" t="s">
        <v>17</v>
      </c>
      <c r="E5" s="12" t="s">
        <v>38</v>
      </c>
      <c r="F5" s="7"/>
      <c r="G5" s="5"/>
    </row>
    <row r="6" spans="1:16">
      <c r="A6" s="11">
        <v>1</v>
      </c>
      <c r="B6" s="12" t="str">
        <f>المدخلات!$F$4</f>
        <v>4:00–5:30 م</v>
      </c>
      <c r="C6" s="12">
        <v>3</v>
      </c>
      <c r="D6" s="12" t="s">
        <v>17</v>
      </c>
      <c r="E6" s="12" t="s">
        <v>31</v>
      </c>
      <c r="F6" s="7"/>
      <c r="G6" s="5"/>
    </row>
    <row r="7" spans="1:16">
      <c r="A7" s="11">
        <v>1</v>
      </c>
      <c r="B7" s="12" t="str">
        <f>المدخلات!$F$5</f>
        <v>5:40–7:10 م</v>
      </c>
      <c r="C7" s="12">
        <v>1</v>
      </c>
      <c r="D7" s="12" t="s">
        <v>17</v>
      </c>
      <c r="E7" s="12" t="s">
        <v>32</v>
      </c>
      <c r="F7" s="7"/>
      <c r="G7" s="5"/>
    </row>
    <row r="8" spans="1:16">
      <c r="A8" s="11">
        <v>1</v>
      </c>
      <c r="B8" s="12" t="str">
        <f>المدخلات!$F$5</f>
        <v>5:40–7:10 م</v>
      </c>
      <c r="C8" s="12">
        <v>2</v>
      </c>
      <c r="D8" s="12" t="s">
        <v>89</v>
      </c>
      <c r="E8" s="12" t="s">
        <v>110</v>
      </c>
      <c r="F8" s="7"/>
      <c r="G8" s="5"/>
    </row>
    <row r="9" spans="1:16">
      <c r="A9" s="11">
        <v>1</v>
      </c>
      <c r="B9" s="12" t="str">
        <f>المدخلات!$F$5</f>
        <v>5:40–7:10 م</v>
      </c>
      <c r="C9" s="12">
        <v>3</v>
      </c>
      <c r="D9" s="12" t="s">
        <v>89</v>
      </c>
      <c r="E9" s="12" t="s">
        <v>104</v>
      </c>
      <c r="F9" s="7"/>
      <c r="G9" s="5"/>
    </row>
    <row r="10" spans="1:16">
      <c r="A10" s="11">
        <v>1</v>
      </c>
      <c r="B10" s="12" t="str">
        <f>المدخلات!$F$6</f>
        <v>7:20–8:50 م</v>
      </c>
      <c r="C10" s="12">
        <v>1</v>
      </c>
      <c r="D10" s="12" t="s">
        <v>89</v>
      </c>
      <c r="E10" s="12" t="s">
        <v>103</v>
      </c>
      <c r="F10" s="7"/>
      <c r="G10" s="5"/>
    </row>
    <row r="11" spans="1:16">
      <c r="A11" s="11">
        <v>1</v>
      </c>
      <c r="B11" s="12" t="str">
        <f>المدخلات!$F$6</f>
        <v>7:20–8:50 م</v>
      </c>
      <c r="C11" s="12">
        <v>2</v>
      </c>
      <c r="D11" s="12" t="s">
        <v>89</v>
      </c>
      <c r="E11" s="12" t="s">
        <v>93</v>
      </c>
      <c r="F11" s="7"/>
      <c r="G11" s="5"/>
    </row>
    <row r="12" spans="1:16">
      <c r="A12" s="11">
        <v>2</v>
      </c>
      <c r="B12" s="12" t="str">
        <f>المدخلات!$F$4</f>
        <v>4:00–5:30 م</v>
      </c>
      <c r="C12" s="12">
        <v>1</v>
      </c>
      <c r="D12" s="12" t="s">
        <v>89</v>
      </c>
      <c r="E12" s="12" t="s">
        <v>105</v>
      </c>
      <c r="F12" s="7"/>
      <c r="G12" s="5"/>
    </row>
    <row r="13" spans="1:16">
      <c r="A13" s="11">
        <v>2</v>
      </c>
      <c r="B13" s="12" t="str">
        <f>المدخلات!$F$4</f>
        <v>4:00–5:30 م</v>
      </c>
      <c r="C13" s="12">
        <v>2</v>
      </c>
      <c r="D13" s="12" t="s">
        <v>89</v>
      </c>
      <c r="E13" s="12" t="s">
        <v>94</v>
      </c>
      <c r="F13" s="7"/>
      <c r="G13" s="5"/>
    </row>
    <row r="14" spans="1:16">
      <c r="A14" s="11">
        <v>2</v>
      </c>
      <c r="B14" s="12" t="str">
        <f>المدخلات!$F$4</f>
        <v>4:00–5:30 م</v>
      </c>
      <c r="C14" s="12">
        <v>3</v>
      </c>
      <c r="D14" s="12" t="s">
        <v>89</v>
      </c>
      <c r="E14" s="12" t="s">
        <v>111</v>
      </c>
      <c r="F14" s="7"/>
      <c r="G14" s="5"/>
    </row>
    <row r="15" spans="1:16">
      <c r="A15" s="11">
        <v>2</v>
      </c>
      <c r="B15" s="12" t="str">
        <f>المدخلات!$F$5</f>
        <v>5:40–7:10 م</v>
      </c>
      <c r="C15" s="12">
        <v>1</v>
      </c>
      <c r="D15" s="12" t="s">
        <v>89</v>
      </c>
      <c r="E15" s="12" t="s">
        <v>84</v>
      </c>
      <c r="F15" s="7"/>
      <c r="G15" s="5"/>
    </row>
    <row r="16" spans="1:16">
      <c r="A16" s="11">
        <v>2</v>
      </c>
      <c r="B16" s="12" t="str">
        <f>المدخلات!$F$5</f>
        <v>5:40–7:10 م</v>
      </c>
      <c r="C16" s="12">
        <v>2</v>
      </c>
      <c r="D16" s="12" t="s">
        <v>17</v>
      </c>
      <c r="E16" s="12" t="s">
        <v>45</v>
      </c>
      <c r="F16" s="7"/>
      <c r="G16" s="5"/>
    </row>
    <row r="17" spans="1:7">
      <c r="A17" s="11">
        <v>2</v>
      </c>
      <c r="B17" s="12" t="str">
        <f>المدخلات!$F$5</f>
        <v>5:40–7:10 م</v>
      </c>
      <c r="C17" s="12">
        <v>3</v>
      </c>
      <c r="D17" s="12" t="s">
        <v>17</v>
      </c>
      <c r="E17" s="12" t="s">
        <v>39</v>
      </c>
      <c r="F17" s="7"/>
      <c r="G17" s="5"/>
    </row>
    <row r="18" spans="1:7">
      <c r="A18" s="11">
        <v>2</v>
      </c>
      <c r="B18" s="12" t="str">
        <f>المدخلات!$F$6</f>
        <v>7:20–8:50 م</v>
      </c>
      <c r="C18" s="12">
        <v>1</v>
      </c>
      <c r="D18" s="12" t="s">
        <v>17</v>
      </c>
      <c r="E18" s="12" t="s">
        <v>19</v>
      </c>
      <c r="F18" s="7"/>
      <c r="G18" s="5"/>
    </row>
    <row r="19" spans="1:7">
      <c r="A19" s="11">
        <v>2</v>
      </c>
      <c r="B19" s="12" t="str">
        <f>المدخلات!$F$6</f>
        <v>7:20–8:50 م</v>
      </c>
      <c r="C19" s="12">
        <v>2</v>
      </c>
      <c r="D19" s="12" t="s">
        <v>17</v>
      </c>
      <c r="E19" s="12" t="s">
        <v>20</v>
      </c>
      <c r="F19" s="7"/>
      <c r="G19" s="5"/>
    </row>
    <row r="20" spans="1:7">
      <c r="A20" s="11">
        <v>3</v>
      </c>
      <c r="B20" s="12" t="str">
        <f>المدخلات!$F$4</f>
        <v>4:00–5:30 م</v>
      </c>
      <c r="C20" s="12">
        <v>1</v>
      </c>
      <c r="D20" s="12" t="s">
        <v>89</v>
      </c>
      <c r="E20" s="12" t="s">
        <v>112</v>
      </c>
      <c r="F20" s="7"/>
      <c r="G20" s="5"/>
    </row>
    <row r="21" spans="1:7">
      <c r="A21" s="11">
        <v>3</v>
      </c>
      <c r="B21" s="12" t="str">
        <f>المدخلات!$F$4</f>
        <v>4:00–5:30 م</v>
      </c>
      <c r="C21" s="12">
        <v>2</v>
      </c>
      <c r="D21" s="12" t="s">
        <v>17</v>
      </c>
      <c r="E21" s="12" t="s">
        <v>40</v>
      </c>
      <c r="F21" s="7"/>
      <c r="G21" s="5"/>
    </row>
    <row r="22" spans="1:7">
      <c r="A22" s="11">
        <v>3</v>
      </c>
      <c r="B22" s="12" t="str">
        <f>المدخلات!$F$4</f>
        <v>4:00–5:30 م</v>
      </c>
      <c r="C22" s="12">
        <v>3</v>
      </c>
      <c r="D22" s="12" t="s">
        <v>17</v>
      </c>
      <c r="E22" s="12" t="s">
        <v>46</v>
      </c>
      <c r="F22" s="7"/>
      <c r="G22" s="5"/>
    </row>
    <row r="23" spans="1:7">
      <c r="A23" s="11">
        <v>3</v>
      </c>
      <c r="B23" s="12" t="str">
        <f>المدخلات!$F$5</f>
        <v>5:40–7:10 م</v>
      </c>
      <c r="C23" s="12">
        <v>1</v>
      </c>
      <c r="D23" s="12" t="s">
        <v>17</v>
      </c>
      <c r="E23" s="12" t="s">
        <v>23</v>
      </c>
      <c r="F23" s="7"/>
      <c r="G23" s="5"/>
    </row>
    <row r="24" spans="1:7">
      <c r="A24" s="11">
        <v>3</v>
      </c>
      <c r="B24" s="12" t="str">
        <f>المدخلات!$F$5</f>
        <v>5:40–7:10 م</v>
      </c>
      <c r="C24" s="12">
        <v>2</v>
      </c>
      <c r="D24" s="12" t="s">
        <v>89</v>
      </c>
      <c r="E24" s="12" t="s">
        <v>98</v>
      </c>
      <c r="F24" s="7"/>
      <c r="G24" s="5"/>
    </row>
    <row r="25" spans="1:7">
      <c r="A25" s="11">
        <v>3</v>
      </c>
      <c r="B25" s="12" t="str">
        <f>المدخلات!$F$5</f>
        <v>5:40–7:10 م</v>
      </c>
      <c r="C25" s="12">
        <v>3</v>
      </c>
      <c r="D25" s="12" t="s">
        <v>89</v>
      </c>
      <c r="E25" s="12" t="s">
        <v>106</v>
      </c>
      <c r="F25" s="7"/>
      <c r="G25" s="5"/>
    </row>
    <row r="26" spans="1:7">
      <c r="A26" s="11">
        <v>3</v>
      </c>
      <c r="B26" s="12" t="str">
        <f>المدخلات!$F$6</f>
        <v>7:20–8:50 م</v>
      </c>
      <c r="C26" s="12">
        <v>1</v>
      </c>
      <c r="D26" s="12" t="s">
        <v>17</v>
      </c>
      <c r="E26" s="12" t="s">
        <v>18</v>
      </c>
      <c r="F26" s="7"/>
      <c r="G26" s="5"/>
    </row>
    <row r="27" spans="1:7">
      <c r="A27" s="11">
        <v>3</v>
      </c>
      <c r="B27" s="12" t="str">
        <f>المدخلات!$F$6</f>
        <v>7:20–8:50 م</v>
      </c>
      <c r="C27" s="12">
        <v>2</v>
      </c>
      <c r="D27" s="12" t="s">
        <v>89</v>
      </c>
      <c r="E27" s="12" t="s">
        <v>74</v>
      </c>
      <c r="F27" s="7"/>
      <c r="G27" s="5"/>
    </row>
    <row r="28" spans="1:7">
      <c r="A28" s="11">
        <v>4</v>
      </c>
      <c r="B28" s="12" t="str">
        <f>المدخلات!$F$4</f>
        <v>4:00–5:30 م</v>
      </c>
      <c r="C28" s="12">
        <v>1</v>
      </c>
      <c r="D28" s="12" t="s">
        <v>89</v>
      </c>
      <c r="E28" s="12" t="s">
        <v>92</v>
      </c>
      <c r="F28" s="7"/>
      <c r="G28" s="5"/>
    </row>
    <row r="29" spans="1:7">
      <c r="A29" s="11">
        <v>4</v>
      </c>
      <c r="B29" s="12" t="str">
        <f>المدخلات!$F$4</f>
        <v>4:00–5:30 م</v>
      </c>
      <c r="C29" s="12">
        <v>2</v>
      </c>
      <c r="D29" s="12" t="s">
        <v>89</v>
      </c>
      <c r="E29" s="12" t="s">
        <v>107</v>
      </c>
      <c r="F29" s="7"/>
      <c r="G29" s="5"/>
    </row>
    <row r="30" spans="1:7">
      <c r="A30" s="11">
        <v>4</v>
      </c>
      <c r="B30" s="12" t="str">
        <f>المدخلات!$F$4</f>
        <v>4:00–5:30 م</v>
      </c>
      <c r="C30" s="12">
        <v>3</v>
      </c>
      <c r="D30" s="12" t="s">
        <v>89</v>
      </c>
      <c r="E30" s="12" t="s">
        <v>100</v>
      </c>
      <c r="F30" s="7"/>
      <c r="G30" s="5"/>
    </row>
    <row r="31" spans="1:7">
      <c r="A31" s="11">
        <v>4</v>
      </c>
      <c r="B31" s="12" t="str">
        <f>المدخلات!$F$5</f>
        <v>5:40–7:10 م</v>
      </c>
      <c r="C31" s="12">
        <v>1</v>
      </c>
      <c r="D31" s="12" t="s">
        <v>89</v>
      </c>
      <c r="E31" s="12" t="s">
        <v>113</v>
      </c>
      <c r="F31" s="7"/>
      <c r="G31" s="5"/>
    </row>
    <row r="32" spans="1:7">
      <c r="A32" s="11">
        <v>4</v>
      </c>
      <c r="B32" s="12" t="str">
        <f>المدخلات!$F$5</f>
        <v>5:40–7:10 م</v>
      </c>
      <c r="C32" s="12">
        <v>2</v>
      </c>
      <c r="D32" s="12" t="s">
        <v>17</v>
      </c>
      <c r="E32" s="12" t="s">
        <v>21</v>
      </c>
      <c r="F32" s="7"/>
      <c r="G32" s="5"/>
    </row>
    <row r="33" spans="1:7">
      <c r="A33" s="11">
        <v>4</v>
      </c>
      <c r="B33" s="12" t="str">
        <f>المدخلات!$F$5</f>
        <v>5:40–7:10 م</v>
      </c>
      <c r="C33" s="12">
        <v>3</v>
      </c>
      <c r="D33" s="12" t="s">
        <v>17</v>
      </c>
      <c r="E33" s="12" t="s">
        <v>22</v>
      </c>
      <c r="F33" s="7"/>
      <c r="G33" s="5"/>
    </row>
    <row r="34" spans="1:7">
      <c r="A34" s="11">
        <v>4</v>
      </c>
      <c r="B34" s="12" t="str">
        <f>المدخلات!$F$6</f>
        <v>7:20–8:50 م</v>
      </c>
      <c r="C34" s="12">
        <v>1</v>
      </c>
      <c r="D34" s="12" t="s">
        <v>17</v>
      </c>
      <c r="E34" s="12" t="s">
        <v>41</v>
      </c>
      <c r="F34" s="7"/>
      <c r="G34" s="5"/>
    </row>
    <row r="35" spans="1:7">
      <c r="A35" s="11">
        <v>4</v>
      </c>
      <c r="B35" s="12" t="str">
        <f>المدخلات!$F$6</f>
        <v>7:20–8:50 م</v>
      </c>
      <c r="C35" s="12">
        <v>2</v>
      </c>
      <c r="D35" s="12" t="s">
        <v>17</v>
      </c>
      <c r="E35" s="12" t="s">
        <v>47</v>
      </c>
      <c r="F35" s="7"/>
      <c r="G35" s="5"/>
    </row>
    <row r="36" spans="1:7">
      <c r="A36" s="11">
        <v>5</v>
      </c>
      <c r="B36" s="12" t="str">
        <f>المدخلات!$F$4</f>
        <v>4:00–5:30 م</v>
      </c>
      <c r="C36" s="12">
        <v>1</v>
      </c>
      <c r="D36" s="12" t="s">
        <v>17</v>
      </c>
      <c r="E36" s="12" t="s">
        <v>26</v>
      </c>
      <c r="F36" s="7"/>
      <c r="G36" s="5"/>
    </row>
    <row r="37" spans="1:7">
      <c r="A37" s="11">
        <v>5</v>
      </c>
      <c r="B37" s="12" t="str">
        <f>المدخلات!$F$4</f>
        <v>4:00–5:30 م</v>
      </c>
      <c r="C37" s="12">
        <v>2</v>
      </c>
      <c r="D37" s="12" t="s">
        <v>17</v>
      </c>
      <c r="E37" s="12" t="s">
        <v>24</v>
      </c>
      <c r="F37" s="7"/>
      <c r="G37" s="5"/>
    </row>
    <row r="38" spans="1:7">
      <c r="A38" s="11">
        <v>5</v>
      </c>
      <c r="B38" s="12" t="str">
        <f>المدخلات!$F$4</f>
        <v>4:00–5:30 م</v>
      </c>
      <c r="C38" s="12">
        <v>3</v>
      </c>
      <c r="D38" s="12" t="s">
        <v>17</v>
      </c>
      <c r="E38" s="12" t="s">
        <v>25</v>
      </c>
      <c r="F38" s="7"/>
      <c r="G38" s="5"/>
    </row>
    <row r="39" spans="1:7">
      <c r="A39" s="11">
        <v>5</v>
      </c>
      <c r="B39" s="12" t="str">
        <f>المدخلات!$F$5</f>
        <v>5:40–7:10 م</v>
      </c>
      <c r="C39" s="12">
        <v>1</v>
      </c>
      <c r="D39" s="12" t="s">
        <v>17</v>
      </c>
      <c r="E39" s="12" t="s">
        <v>48</v>
      </c>
      <c r="F39" s="7"/>
      <c r="G39" s="5"/>
    </row>
    <row r="40" spans="1:7">
      <c r="A40" s="11">
        <v>5</v>
      </c>
      <c r="B40" s="12" t="str">
        <f>المدخلات!$F$5</f>
        <v>5:40–7:10 م</v>
      </c>
      <c r="C40" s="12">
        <v>2</v>
      </c>
      <c r="D40" s="12" t="s">
        <v>89</v>
      </c>
      <c r="E40" s="12" t="s">
        <v>101</v>
      </c>
      <c r="F40" s="7"/>
      <c r="G40" s="5"/>
    </row>
    <row r="41" spans="1:7">
      <c r="A41" s="11">
        <v>5</v>
      </c>
      <c r="B41" s="12" t="str">
        <f>المدخلات!$F$5</f>
        <v>5:40–7:10 م</v>
      </c>
      <c r="C41" s="12">
        <v>3</v>
      </c>
      <c r="D41" s="12" t="s">
        <v>89</v>
      </c>
      <c r="E41" s="12" t="s">
        <v>91</v>
      </c>
      <c r="F41" s="7"/>
      <c r="G41" s="5"/>
    </row>
    <row r="42" spans="1:7">
      <c r="A42" s="11">
        <v>5</v>
      </c>
      <c r="B42" s="12" t="str">
        <f>المدخلات!$F$6</f>
        <v>7:20–8:50 م</v>
      </c>
      <c r="C42" s="12">
        <v>1</v>
      </c>
      <c r="D42" s="12" t="s">
        <v>89</v>
      </c>
      <c r="E42" s="12" t="s">
        <v>114</v>
      </c>
      <c r="F42" s="7"/>
      <c r="G42" s="5"/>
    </row>
    <row r="43" spans="1:7">
      <c r="A43" s="11">
        <v>5</v>
      </c>
      <c r="B43" s="12" t="str">
        <f>المدخلات!$F$6</f>
        <v>7:20–8:50 م</v>
      </c>
      <c r="C43" s="12">
        <v>2</v>
      </c>
      <c r="D43" s="12" t="s">
        <v>89</v>
      </c>
      <c r="E43" s="12" t="s">
        <v>85</v>
      </c>
      <c r="F43" s="7"/>
      <c r="G43" s="5"/>
    </row>
    <row r="44" spans="1:7">
      <c r="A44" s="11">
        <v>6</v>
      </c>
      <c r="B44" s="12" t="str">
        <f>المدخلات!$F$4</f>
        <v>4:00–5:30 م</v>
      </c>
      <c r="C44" s="12">
        <v>1</v>
      </c>
      <c r="D44" s="12" t="s">
        <v>89</v>
      </c>
      <c r="E44" s="12" t="s">
        <v>79</v>
      </c>
      <c r="F44" s="7"/>
      <c r="G44" s="5"/>
    </row>
    <row r="45" spans="1:7">
      <c r="A45" s="11">
        <v>6</v>
      </c>
      <c r="B45" s="12" t="str">
        <f>المدخلات!$F$4</f>
        <v>4:00–5:30 م</v>
      </c>
      <c r="C45" s="12">
        <v>2</v>
      </c>
      <c r="D45" s="12" t="s">
        <v>89</v>
      </c>
      <c r="E45" s="12" t="s">
        <v>115</v>
      </c>
      <c r="F45" s="7"/>
      <c r="G45" s="5"/>
    </row>
    <row r="46" spans="1:7">
      <c r="A46" s="11">
        <v>6</v>
      </c>
      <c r="B46" s="12" t="str">
        <f>المدخلات!$F$4</f>
        <v>4:00–5:30 م</v>
      </c>
      <c r="C46" s="12">
        <v>3</v>
      </c>
      <c r="D46" s="12" t="s">
        <v>89</v>
      </c>
      <c r="E46" s="12" t="s">
        <v>70</v>
      </c>
      <c r="F46" s="7"/>
      <c r="G46" s="5"/>
    </row>
    <row r="47" spans="1:7">
      <c r="A47" s="11">
        <v>6</v>
      </c>
      <c r="B47" s="12" t="str">
        <f>المدخلات!$F$5</f>
        <v>5:40–7:10 م</v>
      </c>
      <c r="C47" s="12">
        <v>1</v>
      </c>
      <c r="D47" s="12" t="s">
        <v>89</v>
      </c>
      <c r="E47" s="12" t="s">
        <v>108</v>
      </c>
      <c r="F47" s="7"/>
      <c r="G47" s="5"/>
    </row>
    <row r="48" spans="1:7">
      <c r="A48" s="11">
        <v>6</v>
      </c>
      <c r="B48" s="12" t="str">
        <f>المدخلات!$F$5</f>
        <v>5:40–7:10 م</v>
      </c>
      <c r="C48" s="12">
        <v>2</v>
      </c>
      <c r="D48" s="12" t="s">
        <v>17</v>
      </c>
      <c r="E48" s="12" t="s">
        <v>27</v>
      </c>
      <c r="F48" s="7"/>
      <c r="G48" s="5"/>
    </row>
    <row r="49" spans="1:7">
      <c r="A49" s="11">
        <v>6</v>
      </c>
      <c r="B49" s="12" t="str">
        <f>المدخلات!$F$5</f>
        <v>5:40–7:10 م</v>
      </c>
      <c r="C49" s="12">
        <v>3</v>
      </c>
      <c r="D49" s="12" t="s">
        <v>17</v>
      </c>
      <c r="E49" s="12" t="s">
        <v>28</v>
      </c>
      <c r="F49" s="7"/>
      <c r="G49" s="5"/>
    </row>
    <row r="50" spans="1:7">
      <c r="A50" s="11">
        <v>6</v>
      </c>
      <c r="B50" s="12" t="str">
        <f>المدخلات!$F$6</f>
        <v>7:20–8:50 م</v>
      </c>
      <c r="C50" s="12">
        <v>1</v>
      </c>
      <c r="D50" s="12" t="s">
        <v>17</v>
      </c>
      <c r="E50" s="12" t="s">
        <v>49</v>
      </c>
      <c r="F50" s="7"/>
      <c r="G50" s="5"/>
    </row>
    <row r="51" spans="1:7">
      <c r="A51" s="11">
        <v>6</v>
      </c>
      <c r="B51" s="12" t="str">
        <f>المدخلات!$F$6</f>
        <v>7:20–8:50 م</v>
      </c>
      <c r="C51" s="12">
        <v>2</v>
      </c>
      <c r="D51" s="12" t="s">
        <v>17</v>
      </c>
      <c r="E51" s="12" t="s">
        <v>42</v>
      </c>
      <c r="F51" s="7"/>
      <c r="G51" s="5"/>
    </row>
    <row r="52" spans="1:7">
      <c r="A52" s="11">
        <v>7</v>
      </c>
      <c r="B52" s="12" t="str">
        <f>المدخلات!$F$4</f>
        <v>4:00–5:30 م</v>
      </c>
      <c r="C52" s="12">
        <v>1</v>
      </c>
      <c r="D52" s="12" t="s">
        <v>17</v>
      </c>
      <c r="E52" s="12" t="s">
        <v>43</v>
      </c>
      <c r="F52" s="7"/>
      <c r="G52" s="5"/>
    </row>
    <row r="53" spans="1:7">
      <c r="A53" s="11">
        <v>7</v>
      </c>
      <c r="B53" s="12" t="str">
        <f>المدخلات!$F$4</f>
        <v>4:00–5:30 م</v>
      </c>
      <c r="C53" s="12">
        <v>2</v>
      </c>
      <c r="D53" s="12" t="s">
        <v>17</v>
      </c>
      <c r="E53" s="12" t="s">
        <v>50</v>
      </c>
      <c r="F53" s="7"/>
      <c r="G53" s="5"/>
    </row>
    <row r="54" spans="1:7">
      <c r="A54" s="11">
        <v>7</v>
      </c>
      <c r="B54" s="12" t="str">
        <f>المدخلات!$F$4</f>
        <v>4:00–5:30 م</v>
      </c>
      <c r="C54" s="12">
        <v>3</v>
      </c>
      <c r="D54" s="12" t="s">
        <v>17</v>
      </c>
      <c r="E54" s="12" t="s">
        <v>30</v>
      </c>
      <c r="F54" s="7"/>
      <c r="G54" s="5"/>
    </row>
    <row r="55" spans="1:7">
      <c r="A55" s="11">
        <v>7</v>
      </c>
      <c r="B55" s="12" t="str">
        <f>المدخلات!$F$5</f>
        <v>5:40–7:10 م</v>
      </c>
      <c r="C55" s="12">
        <v>1</v>
      </c>
      <c r="D55" s="12" t="s">
        <v>89</v>
      </c>
      <c r="E55" s="12" t="s">
        <v>116</v>
      </c>
      <c r="F55" s="7"/>
      <c r="G55" s="5"/>
    </row>
    <row r="56" spans="1:7">
      <c r="A56" s="11">
        <v>7</v>
      </c>
      <c r="B56" s="12" t="str">
        <f>المدخلات!$F$5</f>
        <v>5:40–7:10 م</v>
      </c>
      <c r="C56" s="12">
        <v>2</v>
      </c>
      <c r="D56" s="12" t="s">
        <v>89</v>
      </c>
      <c r="E56" s="12" t="s">
        <v>109</v>
      </c>
      <c r="F56" s="7"/>
      <c r="G56" s="5"/>
    </row>
    <row r="57" spans="1:7">
      <c r="A57" s="11">
        <v>7</v>
      </c>
      <c r="B57" s="12" t="str">
        <f>المدخلات!$F$5</f>
        <v>5:40–7:10 م</v>
      </c>
      <c r="C57" s="12">
        <v>3</v>
      </c>
      <c r="D57" s="12" t="s">
        <v>17</v>
      </c>
      <c r="E57" s="12" t="s">
        <v>29</v>
      </c>
      <c r="F57" s="7"/>
      <c r="G57" s="5"/>
    </row>
    <row r="58" spans="1:7">
      <c r="A58" s="11">
        <v>7</v>
      </c>
      <c r="B58" s="12" t="str">
        <f>المدخلات!$F$6</f>
        <v>7:20–8:50 م</v>
      </c>
      <c r="C58" s="12">
        <v>1</v>
      </c>
      <c r="D58" s="12" t="s">
        <v>89</v>
      </c>
      <c r="E58" s="12" t="s">
        <v>64</v>
      </c>
      <c r="F58" s="7"/>
      <c r="G58" s="5"/>
    </row>
    <row r="59" spans="1:7">
      <c r="A59" s="11">
        <v>7</v>
      </c>
      <c r="B59" s="12" t="str">
        <f>المدخلات!$F$6</f>
        <v>7:20–8:50 م</v>
      </c>
      <c r="C59" s="12">
        <v>2</v>
      </c>
      <c r="D59" s="12" t="s">
        <v>89</v>
      </c>
      <c r="E59" s="12" t="s">
        <v>102</v>
      </c>
      <c r="F59" s="7"/>
      <c r="G59" s="5"/>
    </row>
    <row r="60" spans="1:7">
      <c r="A60" s="11">
        <v>8</v>
      </c>
      <c r="B60" s="12" t="str">
        <f>المدخلات!$F$4</f>
        <v>4:00–5:30 م</v>
      </c>
      <c r="C60" s="12">
        <v>1</v>
      </c>
      <c r="D60" s="12" t="s">
        <v>89</v>
      </c>
      <c r="E60" s="12" t="s">
        <v>102</v>
      </c>
      <c r="F60" s="7"/>
      <c r="G60" s="5"/>
    </row>
    <row r="61" spans="1:7">
      <c r="A61" s="11">
        <v>8</v>
      </c>
      <c r="B61" s="12" t="str">
        <f>المدخلات!$F$4</f>
        <v>4:00–5:30 م</v>
      </c>
      <c r="C61" s="12">
        <v>2</v>
      </c>
      <c r="D61" s="12" t="s">
        <v>17</v>
      </c>
      <c r="E61" s="12" t="s">
        <v>29</v>
      </c>
      <c r="F61" s="7"/>
      <c r="G61" s="5"/>
    </row>
    <row r="62" spans="1:7">
      <c r="A62" s="11">
        <v>8</v>
      </c>
      <c r="B62" s="12" t="str">
        <f>المدخلات!$F$4</f>
        <v>4:00–5:30 م</v>
      </c>
      <c r="C62" s="12">
        <v>3</v>
      </c>
      <c r="D62" s="12" t="s">
        <v>89</v>
      </c>
      <c r="E62" s="12" t="s">
        <v>109</v>
      </c>
      <c r="F62" s="7"/>
      <c r="G62" s="5"/>
    </row>
    <row r="63" spans="1:7">
      <c r="A63" s="11">
        <v>8</v>
      </c>
      <c r="B63" s="12" t="str">
        <f>المدخلات!$F$5</f>
        <v>5:40–7:10 م</v>
      </c>
      <c r="C63" s="12">
        <v>1</v>
      </c>
      <c r="D63" s="12" t="s">
        <v>17</v>
      </c>
      <c r="E63" s="12" t="s">
        <v>50</v>
      </c>
      <c r="F63" s="7"/>
      <c r="G63" s="5"/>
    </row>
    <row r="64" spans="1:7">
      <c r="A64" s="11">
        <v>8</v>
      </c>
      <c r="B64" s="12" t="str">
        <f>المدخلات!$F$5</f>
        <v>5:40–7:10 م</v>
      </c>
      <c r="C64" s="12">
        <v>2</v>
      </c>
      <c r="D64" s="12" t="s">
        <v>17</v>
      </c>
      <c r="E64" s="12" t="s">
        <v>43</v>
      </c>
      <c r="F64" s="7"/>
      <c r="G64" s="5"/>
    </row>
    <row r="65" spans="1:7">
      <c r="A65" s="11">
        <v>8</v>
      </c>
      <c r="B65" s="12" t="str">
        <f>المدخلات!$F$5</f>
        <v>5:40–7:10 م</v>
      </c>
      <c r="C65" s="12">
        <v>3</v>
      </c>
      <c r="D65" s="12" t="s">
        <v>89</v>
      </c>
      <c r="E65" s="12" t="s">
        <v>64</v>
      </c>
      <c r="F65" s="7"/>
      <c r="G65" s="5"/>
    </row>
    <row r="66" spans="1:7">
      <c r="A66" s="11">
        <v>8</v>
      </c>
      <c r="B66" s="12" t="str">
        <f>المدخلات!$F$6</f>
        <v>7:20–8:50 م</v>
      </c>
      <c r="C66" s="12">
        <v>1</v>
      </c>
      <c r="D66" s="12" t="s">
        <v>17</v>
      </c>
      <c r="E66" s="12" t="s">
        <v>30</v>
      </c>
      <c r="F66" s="7"/>
      <c r="G66" s="5"/>
    </row>
    <row r="67" spans="1:7">
      <c r="A67" s="11">
        <v>8</v>
      </c>
      <c r="B67" s="12" t="str">
        <f>المدخلات!$F$6</f>
        <v>7:20–8:50 م</v>
      </c>
      <c r="C67" s="12">
        <v>2</v>
      </c>
      <c r="D67" s="12" t="s">
        <v>89</v>
      </c>
      <c r="E67" s="12" t="s">
        <v>116</v>
      </c>
      <c r="F67" s="7"/>
      <c r="G67" s="5"/>
    </row>
    <row r="68" spans="1:7">
      <c r="A68" s="11">
        <v>9</v>
      </c>
      <c r="B68" s="12" t="str">
        <f>المدخلات!$F$4</f>
        <v>4:00–5:30 م</v>
      </c>
      <c r="C68" s="12">
        <v>1</v>
      </c>
      <c r="D68" s="12" t="s">
        <v>17</v>
      </c>
      <c r="E68" s="12" t="s">
        <v>31</v>
      </c>
      <c r="F68" s="7"/>
      <c r="G68" s="5"/>
    </row>
    <row r="69" spans="1:7">
      <c r="A69" s="11">
        <v>9</v>
      </c>
      <c r="B69" s="12" t="str">
        <f>المدخلات!$F$4</f>
        <v>4:00–5:30 م</v>
      </c>
      <c r="C69" s="12">
        <v>2</v>
      </c>
      <c r="D69" s="12" t="s">
        <v>89</v>
      </c>
      <c r="E69" s="12" t="s">
        <v>103</v>
      </c>
      <c r="F69" s="7"/>
      <c r="G69" s="5"/>
    </row>
    <row r="70" spans="1:7">
      <c r="A70" s="11">
        <v>9</v>
      </c>
      <c r="B70" s="12" t="str">
        <f>المدخلات!$F$4</f>
        <v>4:00–5:30 م</v>
      </c>
      <c r="C70" s="12">
        <v>3</v>
      </c>
      <c r="D70" s="12" t="s">
        <v>17</v>
      </c>
      <c r="E70" s="12" t="s">
        <v>44</v>
      </c>
      <c r="F70" s="7"/>
      <c r="G70" s="5"/>
    </row>
    <row r="71" spans="1:7">
      <c r="A71" s="11">
        <v>9</v>
      </c>
      <c r="B71" s="12" t="str">
        <f>المدخلات!$F$5</f>
        <v>5:40–7:10 م</v>
      </c>
      <c r="C71" s="12">
        <v>1</v>
      </c>
      <c r="D71" s="12" t="s">
        <v>89</v>
      </c>
      <c r="E71" s="12" t="s">
        <v>93</v>
      </c>
      <c r="F71" s="7"/>
      <c r="G71" s="5"/>
    </row>
    <row r="72" spans="1:7">
      <c r="A72" s="11">
        <v>9</v>
      </c>
      <c r="B72" s="12" t="str">
        <f>المدخلات!$F$5</f>
        <v>5:40–7:10 م</v>
      </c>
      <c r="C72" s="12">
        <v>2</v>
      </c>
      <c r="D72" s="12" t="s">
        <v>89</v>
      </c>
      <c r="E72" s="12" t="s">
        <v>110</v>
      </c>
      <c r="F72" s="7"/>
      <c r="G72" s="5"/>
    </row>
    <row r="73" spans="1:7">
      <c r="A73" s="11">
        <v>9</v>
      </c>
      <c r="B73" s="12" t="str">
        <f>المدخلات!$F$5</f>
        <v>5:40–7:10 م</v>
      </c>
      <c r="C73" s="12">
        <v>3</v>
      </c>
      <c r="D73" s="12" t="s">
        <v>17</v>
      </c>
      <c r="E73" s="12" t="s">
        <v>38</v>
      </c>
      <c r="F73" s="7"/>
      <c r="G73" s="5"/>
    </row>
    <row r="74" spans="1:7">
      <c r="A74" s="11">
        <v>9</v>
      </c>
      <c r="B74" s="12" t="str">
        <f>المدخلات!$F$6</f>
        <v>7:20–8:50 م</v>
      </c>
      <c r="C74" s="12">
        <v>1</v>
      </c>
      <c r="D74" s="12" t="s">
        <v>17</v>
      </c>
      <c r="E74" s="12" t="s">
        <v>32</v>
      </c>
      <c r="F74" s="7"/>
      <c r="G74" s="5"/>
    </row>
    <row r="75" spans="1:7">
      <c r="A75" s="11">
        <v>9</v>
      </c>
      <c r="B75" s="12" t="str">
        <f>المدخلات!$F$6</f>
        <v>7:20–8:50 م</v>
      </c>
      <c r="C75" s="12">
        <v>2</v>
      </c>
      <c r="D75" s="12" t="s">
        <v>89</v>
      </c>
      <c r="E75" s="12" t="s">
        <v>104</v>
      </c>
      <c r="F75" s="7"/>
      <c r="G75" s="5"/>
    </row>
    <row r="76" spans="1:7">
      <c r="A76" s="11">
        <v>10</v>
      </c>
      <c r="B76" s="12" t="str">
        <f>المدخلات!$F$4</f>
        <v>4:00–5:30 م</v>
      </c>
      <c r="C76" s="12">
        <v>1</v>
      </c>
      <c r="D76" s="12" t="s">
        <v>89</v>
      </c>
      <c r="E76" s="12" t="s">
        <v>105</v>
      </c>
      <c r="F76" s="7"/>
      <c r="G76" s="5"/>
    </row>
    <row r="77" spans="1:7">
      <c r="A77" s="11">
        <v>10</v>
      </c>
      <c r="B77" s="12" t="str">
        <f>المدخلات!$F$4</f>
        <v>4:00–5:30 م</v>
      </c>
      <c r="C77" s="12">
        <v>2</v>
      </c>
      <c r="D77" s="12" t="s">
        <v>17</v>
      </c>
      <c r="E77" s="12" t="s">
        <v>19</v>
      </c>
      <c r="F77" s="7"/>
      <c r="G77" s="5"/>
    </row>
    <row r="78" spans="1:7">
      <c r="A78" s="11">
        <v>10</v>
      </c>
      <c r="B78" s="12" t="str">
        <f>المدخلات!$F$4</f>
        <v>4:00–5:30 م</v>
      </c>
      <c r="C78" s="12">
        <v>3</v>
      </c>
      <c r="D78" s="12" t="s">
        <v>89</v>
      </c>
      <c r="E78" s="12" t="s">
        <v>94</v>
      </c>
      <c r="F78" s="7"/>
      <c r="G78" s="5"/>
    </row>
    <row r="79" spans="1:7">
      <c r="A79" s="11">
        <v>10</v>
      </c>
      <c r="B79" s="12" t="str">
        <f>المدخلات!$F$5</f>
        <v>5:40–7:10 م</v>
      </c>
      <c r="C79" s="12">
        <v>1</v>
      </c>
      <c r="D79" s="12" t="s">
        <v>89</v>
      </c>
      <c r="E79" s="12" t="s">
        <v>84</v>
      </c>
      <c r="F79" s="7"/>
      <c r="G79" s="5"/>
    </row>
    <row r="80" spans="1:7">
      <c r="A80" s="11">
        <v>10</v>
      </c>
      <c r="B80" s="12" t="str">
        <f>المدخلات!$F$5</f>
        <v>5:40–7:10 م</v>
      </c>
      <c r="C80" s="12">
        <v>2</v>
      </c>
      <c r="D80" s="12" t="s">
        <v>17</v>
      </c>
      <c r="E80" s="12" t="s">
        <v>45</v>
      </c>
      <c r="F80" s="7"/>
      <c r="G80" s="5"/>
    </row>
    <row r="81" spans="1:7">
      <c r="A81" s="11">
        <v>10</v>
      </c>
      <c r="B81" s="12" t="str">
        <f>المدخلات!$F$5</f>
        <v>5:40–7:10 م</v>
      </c>
      <c r="C81" s="12">
        <v>3</v>
      </c>
      <c r="D81" s="12" t="s">
        <v>89</v>
      </c>
      <c r="E81" s="12" t="s">
        <v>111</v>
      </c>
      <c r="F81" s="7"/>
      <c r="G81" s="5"/>
    </row>
    <row r="82" spans="1:7">
      <c r="A82" s="11">
        <v>10</v>
      </c>
      <c r="B82" s="12" t="str">
        <f>المدخلات!$F$6</f>
        <v>7:20–8:50 م</v>
      </c>
      <c r="C82" s="12">
        <v>1</v>
      </c>
      <c r="D82" s="12" t="s">
        <v>17</v>
      </c>
      <c r="E82" s="12" t="s">
        <v>39</v>
      </c>
      <c r="F82" s="7"/>
      <c r="G82" s="5"/>
    </row>
    <row r="83" spans="1:7">
      <c r="A83" s="11">
        <v>10</v>
      </c>
      <c r="B83" s="12" t="str">
        <f>المدخلات!$F$6</f>
        <v>7:20–8:50 م</v>
      </c>
      <c r="C83" s="12">
        <v>2</v>
      </c>
      <c r="D83" s="12" t="s">
        <v>17</v>
      </c>
      <c r="E83" s="12" t="s">
        <v>20</v>
      </c>
      <c r="F83" s="7"/>
      <c r="G83" s="5"/>
    </row>
    <row r="84" spans="1:7">
      <c r="A84" s="11">
        <v>11</v>
      </c>
      <c r="B84" s="12" t="str">
        <f>المدخلات!$F$4</f>
        <v>4:00–5:30 م</v>
      </c>
      <c r="C84" s="12">
        <v>1</v>
      </c>
      <c r="D84" s="12" t="s">
        <v>17</v>
      </c>
      <c r="E84" s="12" t="s">
        <v>46</v>
      </c>
      <c r="F84" s="7"/>
      <c r="G84" s="5"/>
    </row>
    <row r="85" spans="1:7">
      <c r="A85" s="11">
        <v>11</v>
      </c>
      <c r="B85" s="12" t="str">
        <f>المدخلات!$F$4</f>
        <v>4:00–5:30 م</v>
      </c>
      <c r="C85" s="12">
        <v>2</v>
      </c>
      <c r="D85" s="12" t="s">
        <v>89</v>
      </c>
      <c r="E85" s="12" t="s">
        <v>74</v>
      </c>
      <c r="F85" s="7"/>
      <c r="G85" s="5"/>
    </row>
    <row r="86" spans="1:7">
      <c r="A86" s="11">
        <v>11</v>
      </c>
      <c r="B86" s="12" t="str">
        <f>المدخلات!$F$4</f>
        <v>4:00–5:30 م</v>
      </c>
      <c r="C86" s="12">
        <v>3</v>
      </c>
      <c r="D86" s="12" t="s">
        <v>89</v>
      </c>
      <c r="E86" s="12" t="s">
        <v>112</v>
      </c>
      <c r="F86" s="7"/>
      <c r="G86" s="5"/>
    </row>
    <row r="87" spans="1:7">
      <c r="A87" s="11">
        <v>11</v>
      </c>
      <c r="B87" s="12" t="str">
        <f>المدخلات!$F$5</f>
        <v>5:40–7:10 م</v>
      </c>
      <c r="C87" s="12">
        <v>1</v>
      </c>
      <c r="D87" s="12" t="s">
        <v>17</v>
      </c>
      <c r="E87" s="12" t="s">
        <v>18</v>
      </c>
      <c r="F87" s="7"/>
      <c r="G87" s="5"/>
    </row>
    <row r="88" spans="1:7">
      <c r="A88" s="11">
        <v>11</v>
      </c>
      <c r="B88" s="12" t="str">
        <f>المدخلات!$F$5</f>
        <v>5:40–7:10 م</v>
      </c>
      <c r="C88" s="12">
        <v>2</v>
      </c>
      <c r="D88" s="12" t="s">
        <v>17</v>
      </c>
      <c r="E88" s="12" t="s">
        <v>23</v>
      </c>
      <c r="F88" s="7"/>
      <c r="G88" s="5"/>
    </row>
    <row r="89" spans="1:7">
      <c r="A89" s="11">
        <v>11</v>
      </c>
      <c r="B89" s="12" t="str">
        <f>المدخلات!$F$5</f>
        <v>5:40–7:10 م</v>
      </c>
      <c r="C89" s="12">
        <v>3</v>
      </c>
      <c r="D89" s="12" t="s">
        <v>17</v>
      </c>
      <c r="E89" s="12" t="s">
        <v>40</v>
      </c>
      <c r="F89" s="7"/>
      <c r="G89" s="5"/>
    </row>
    <row r="90" spans="1:7">
      <c r="A90" s="11">
        <v>11</v>
      </c>
      <c r="B90" s="12" t="str">
        <f>المدخلات!$F$6</f>
        <v>7:20–8:50 م</v>
      </c>
      <c r="C90" s="12">
        <v>1</v>
      </c>
      <c r="D90" s="12" t="s">
        <v>89</v>
      </c>
      <c r="E90" s="12" t="s">
        <v>98</v>
      </c>
      <c r="F90" s="7"/>
      <c r="G90" s="5"/>
    </row>
    <row r="91" spans="1:7">
      <c r="A91" s="11">
        <v>11</v>
      </c>
      <c r="B91" s="12" t="str">
        <f>المدخلات!$F$6</f>
        <v>7:20–8:50 م</v>
      </c>
      <c r="C91" s="12">
        <v>2</v>
      </c>
      <c r="D91" s="12" t="s">
        <v>89</v>
      </c>
      <c r="E91" s="12" t="s">
        <v>106</v>
      </c>
      <c r="F91" s="7"/>
      <c r="G91" s="5"/>
    </row>
    <row r="92" spans="1:7">
      <c r="A92" s="11">
        <v>12</v>
      </c>
      <c r="B92" s="12" t="str">
        <f>المدخلات!$F$4</f>
        <v>4:00–5:30 م</v>
      </c>
      <c r="C92" s="12">
        <v>1</v>
      </c>
      <c r="D92" s="12" t="s">
        <v>89</v>
      </c>
      <c r="E92" s="12" t="s">
        <v>107</v>
      </c>
      <c r="F92" s="7"/>
      <c r="G92" s="5"/>
    </row>
    <row r="93" spans="1:7">
      <c r="A93" s="11">
        <v>12</v>
      </c>
      <c r="B93" s="12" t="str">
        <f>المدخلات!$F$4</f>
        <v>4:00–5:30 م</v>
      </c>
      <c r="C93" s="12">
        <v>2</v>
      </c>
      <c r="D93" s="12" t="s">
        <v>17</v>
      </c>
      <c r="E93" s="12" t="s">
        <v>22</v>
      </c>
      <c r="F93" s="7"/>
      <c r="G93" s="5"/>
    </row>
    <row r="94" spans="1:7">
      <c r="A94" s="11">
        <v>12</v>
      </c>
      <c r="B94" s="12" t="str">
        <f>المدخلات!$F$4</f>
        <v>4:00–5:30 م</v>
      </c>
      <c r="C94" s="12">
        <v>3</v>
      </c>
      <c r="D94" s="12" t="s">
        <v>17</v>
      </c>
      <c r="E94" s="12" t="s">
        <v>41</v>
      </c>
      <c r="F94" s="7"/>
      <c r="G94" s="5"/>
    </row>
    <row r="95" spans="1:7">
      <c r="A95" s="11">
        <v>12</v>
      </c>
      <c r="B95" s="12" t="str">
        <f>المدخلات!$F$5</f>
        <v>5:40–7:10 م</v>
      </c>
      <c r="C95" s="12">
        <v>1</v>
      </c>
      <c r="D95" s="12" t="s">
        <v>89</v>
      </c>
      <c r="E95" s="12" t="s">
        <v>92</v>
      </c>
      <c r="F95" s="7"/>
      <c r="G95" s="5"/>
    </row>
    <row r="96" spans="1:7">
      <c r="A96" s="11">
        <v>12</v>
      </c>
      <c r="B96" s="12" t="str">
        <f>المدخلات!$F$5</f>
        <v>5:40–7:10 م</v>
      </c>
      <c r="C96" s="12">
        <v>2</v>
      </c>
      <c r="D96" s="12" t="s">
        <v>17</v>
      </c>
      <c r="E96" s="12" t="s">
        <v>21</v>
      </c>
      <c r="F96" s="7"/>
      <c r="G96" s="5"/>
    </row>
    <row r="97" spans="1:7">
      <c r="A97" s="11">
        <v>12</v>
      </c>
      <c r="B97" s="12" t="str">
        <f>المدخلات!$F$5</f>
        <v>5:40–7:10 م</v>
      </c>
      <c r="C97" s="12">
        <v>3</v>
      </c>
      <c r="D97" s="12" t="s">
        <v>17</v>
      </c>
      <c r="E97" s="12" t="s">
        <v>47</v>
      </c>
      <c r="F97" s="7"/>
      <c r="G97" s="5"/>
    </row>
    <row r="98" spans="1:7">
      <c r="A98" s="11">
        <v>12</v>
      </c>
      <c r="B98" s="12" t="str">
        <f>المدخلات!$F$6</f>
        <v>7:20–8:50 م</v>
      </c>
      <c r="C98" s="12">
        <v>1</v>
      </c>
      <c r="D98" s="12" t="s">
        <v>89</v>
      </c>
      <c r="E98" s="12" t="s">
        <v>113</v>
      </c>
      <c r="F98" s="7"/>
      <c r="G98" s="5"/>
    </row>
    <row r="99" spans="1:7">
      <c r="A99" s="11">
        <v>12</v>
      </c>
      <c r="B99" s="12" t="str">
        <f>المدخلات!$F$6</f>
        <v>7:20–8:50 م</v>
      </c>
      <c r="C99" s="12">
        <v>2</v>
      </c>
      <c r="D99" s="12" t="s">
        <v>89</v>
      </c>
      <c r="E99" s="12" t="s">
        <v>100</v>
      </c>
      <c r="F99" s="7"/>
      <c r="G99" s="5"/>
    </row>
    <row r="100" spans="1:7">
      <c r="A100" s="11">
        <v>13</v>
      </c>
      <c r="B100" s="12" t="str">
        <f>المدخلات!$F$4</f>
        <v>4:00–5:30 م</v>
      </c>
      <c r="C100" s="12">
        <v>1</v>
      </c>
      <c r="D100" s="12" t="s">
        <v>17</v>
      </c>
      <c r="E100" s="12" t="s">
        <v>25</v>
      </c>
      <c r="F100" s="7"/>
      <c r="G100" s="5"/>
    </row>
    <row r="101" spans="1:7">
      <c r="A101" s="11">
        <v>13</v>
      </c>
      <c r="B101" s="12" t="str">
        <f>المدخلات!$F$4</f>
        <v>4:00–5:30 م</v>
      </c>
      <c r="C101" s="12">
        <v>2</v>
      </c>
      <c r="D101" s="12" t="s">
        <v>17</v>
      </c>
      <c r="E101" s="12" t="s">
        <v>24</v>
      </c>
      <c r="F101" s="7"/>
      <c r="G101" s="5"/>
    </row>
    <row r="102" spans="1:7">
      <c r="A102" s="11">
        <v>13</v>
      </c>
      <c r="B102" s="12" t="str">
        <f>المدخلات!$F$4</f>
        <v>4:00–5:30 م</v>
      </c>
      <c r="C102" s="12">
        <v>3</v>
      </c>
      <c r="D102" s="12" t="s">
        <v>89</v>
      </c>
      <c r="E102" s="12" t="s">
        <v>85</v>
      </c>
      <c r="F102" s="7"/>
      <c r="G102" s="5"/>
    </row>
    <row r="103" spans="1:7">
      <c r="A103" s="11">
        <v>13</v>
      </c>
      <c r="B103" s="12" t="str">
        <f>المدخلات!$F$5</f>
        <v>5:40–7:10 م</v>
      </c>
      <c r="C103" s="12">
        <v>1</v>
      </c>
      <c r="D103" s="12" t="s">
        <v>89</v>
      </c>
      <c r="E103" s="12" t="s">
        <v>101</v>
      </c>
      <c r="F103" s="7"/>
      <c r="G103" s="5"/>
    </row>
    <row r="104" spans="1:7">
      <c r="A104" s="11">
        <v>13</v>
      </c>
      <c r="B104" s="12" t="str">
        <f>المدخلات!$F$5</f>
        <v>5:40–7:10 م</v>
      </c>
      <c r="C104" s="12">
        <v>2</v>
      </c>
      <c r="D104" s="12" t="s">
        <v>89</v>
      </c>
      <c r="E104" s="12" t="s">
        <v>114</v>
      </c>
      <c r="F104" s="7"/>
      <c r="G104" s="5"/>
    </row>
    <row r="105" spans="1:7">
      <c r="A105" s="11">
        <v>13</v>
      </c>
      <c r="B105" s="12" t="str">
        <f>المدخلات!$F$5</f>
        <v>5:40–7:10 م</v>
      </c>
      <c r="C105" s="12">
        <v>3</v>
      </c>
      <c r="D105" s="12" t="s">
        <v>89</v>
      </c>
      <c r="E105" s="12" t="s">
        <v>91</v>
      </c>
      <c r="F105" s="7"/>
      <c r="G105" s="5"/>
    </row>
    <row r="106" spans="1:7">
      <c r="A106" s="11">
        <v>13</v>
      </c>
      <c r="B106" s="12" t="str">
        <f>المدخلات!$F$6</f>
        <v>7:20–8:50 م</v>
      </c>
      <c r="C106" s="12">
        <v>1</v>
      </c>
      <c r="D106" s="12" t="s">
        <v>17</v>
      </c>
      <c r="E106" s="12" t="s">
        <v>26</v>
      </c>
      <c r="F106" s="7"/>
      <c r="G106" s="5"/>
    </row>
    <row r="107" spans="1:7">
      <c r="A107" s="11">
        <v>13</v>
      </c>
      <c r="B107" s="12" t="str">
        <f>المدخلات!$F$6</f>
        <v>7:20–8:50 م</v>
      </c>
      <c r="C107" s="12">
        <v>2</v>
      </c>
      <c r="D107" s="12" t="s">
        <v>17</v>
      </c>
      <c r="E107" s="12" t="s">
        <v>48</v>
      </c>
      <c r="F107" s="7"/>
      <c r="G107" s="5"/>
    </row>
    <row r="108" spans="1:7">
      <c r="A108" s="11">
        <v>14</v>
      </c>
      <c r="B108" s="12" t="str">
        <f>المدخلات!$F$4</f>
        <v>4:00–5:30 م</v>
      </c>
      <c r="C108" s="12">
        <v>1</v>
      </c>
      <c r="D108" s="12" t="s">
        <v>89</v>
      </c>
      <c r="E108" s="12" t="s">
        <v>115</v>
      </c>
      <c r="F108" s="7"/>
      <c r="G108" s="5"/>
    </row>
    <row r="109" spans="1:7">
      <c r="A109" s="11">
        <v>14</v>
      </c>
      <c r="B109" s="12" t="str">
        <f>المدخلات!$F$4</f>
        <v>4:00–5:30 م</v>
      </c>
      <c r="C109" s="12">
        <v>2</v>
      </c>
      <c r="D109" s="12" t="s">
        <v>17</v>
      </c>
      <c r="E109" s="12" t="s">
        <v>42</v>
      </c>
      <c r="F109" s="7"/>
      <c r="G109" s="5"/>
    </row>
    <row r="110" spans="1:7">
      <c r="A110" s="11">
        <v>14</v>
      </c>
      <c r="B110" s="12" t="str">
        <f>المدخلات!$F$4</f>
        <v>4:00–5:30 م</v>
      </c>
      <c r="C110" s="12">
        <v>3</v>
      </c>
      <c r="D110" s="12" t="s">
        <v>89</v>
      </c>
      <c r="E110" s="12" t="s">
        <v>108</v>
      </c>
      <c r="F110" s="7"/>
      <c r="G110" s="5"/>
    </row>
    <row r="111" spans="1:7">
      <c r="A111" s="11">
        <v>14</v>
      </c>
      <c r="B111" s="12" t="str">
        <f>المدخلات!$F$5</f>
        <v>5:40–7:10 م</v>
      </c>
      <c r="C111" s="12">
        <v>1</v>
      </c>
      <c r="D111" s="12" t="s">
        <v>17</v>
      </c>
      <c r="E111" s="12" t="s">
        <v>28</v>
      </c>
      <c r="F111" s="7"/>
      <c r="G111" s="5"/>
    </row>
    <row r="112" spans="1:7">
      <c r="A112" s="11">
        <v>14</v>
      </c>
      <c r="B112" s="12" t="str">
        <f>المدخلات!$F$5</f>
        <v>5:40–7:10 م</v>
      </c>
      <c r="C112" s="12">
        <v>2</v>
      </c>
      <c r="D112" s="12" t="s">
        <v>89</v>
      </c>
      <c r="E112" s="12" t="s">
        <v>79</v>
      </c>
      <c r="F112" s="7"/>
      <c r="G112" s="5"/>
    </row>
    <row r="113" spans="1:7">
      <c r="A113" s="11">
        <v>14</v>
      </c>
      <c r="B113" s="12" t="str">
        <f>المدخلات!$F$5</f>
        <v>5:40–7:10 م</v>
      </c>
      <c r="C113" s="12">
        <v>3</v>
      </c>
      <c r="D113" s="12" t="s">
        <v>17</v>
      </c>
      <c r="E113" s="12" t="s">
        <v>27</v>
      </c>
      <c r="F113" s="7"/>
      <c r="G113" s="5"/>
    </row>
    <row r="114" spans="1:7">
      <c r="A114" s="11">
        <v>14</v>
      </c>
      <c r="B114" s="12" t="str">
        <f>المدخلات!$F$6</f>
        <v>7:20–8:50 م</v>
      </c>
      <c r="C114" s="12">
        <v>1</v>
      </c>
      <c r="D114" s="12" t="s">
        <v>17</v>
      </c>
      <c r="E114" s="12" t="s">
        <v>49</v>
      </c>
      <c r="F114" s="7"/>
      <c r="G114" s="5"/>
    </row>
    <row r="115" spans="1:7">
      <c r="A115" s="11">
        <v>14</v>
      </c>
      <c r="B115" s="12" t="str">
        <f>المدخلات!$F$6</f>
        <v>7:20–8:50 م</v>
      </c>
      <c r="C115" s="12">
        <v>2</v>
      </c>
      <c r="D115" s="12" t="s">
        <v>89</v>
      </c>
      <c r="E115" s="12" t="s">
        <v>70</v>
      </c>
      <c r="F115" s="7"/>
      <c r="G115" s="5"/>
    </row>
    <row r="116" spans="1:7">
      <c r="A116" s="11">
        <v>15</v>
      </c>
      <c r="B116" s="12" t="str">
        <f>المدخلات!$F$4</f>
        <v>4:00–5:30 م</v>
      </c>
      <c r="C116" s="12">
        <v>1</v>
      </c>
      <c r="D116" s="12" t="s">
        <v>89</v>
      </c>
      <c r="E116" s="12" t="s">
        <v>79</v>
      </c>
      <c r="F116" s="7"/>
      <c r="G116" s="5"/>
    </row>
    <row r="117" spans="1:7">
      <c r="A117" s="11">
        <v>15</v>
      </c>
      <c r="B117" s="12" t="str">
        <f>المدخلات!$F$4</f>
        <v>4:00–5:30 م</v>
      </c>
      <c r="C117" s="12">
        <v>2</v>
      </c>
      <c r="D117" s="12" t="s">
        <v>17</v>
      </c>
      <c r="E117" s="12" t="s">
        <v>28</v>
      </c>
      <c r="F117" s="7"/>
      <c r="G117" s="5"/>
    </row>
    <row r="118" spans="1:7">
      <c r="A118" s="11">
        <v>15</v>
      </c>
      <c r="B118" s="12" t="str">
        <f>المدخلات!$F$4</f>
        <v>4:00–5:30 م</v>
      </c>
      <c r="C118" s="12">
        <v>3</v>
      </c>
      <c r="D118" s="12" t="s">
        <v>89</v>
      </c>
      <c r="E118" s="12" t="s">
        <v>70</v>
      </c>
      <c r="F118" s="7"/>
      <c r="G118" s="5"/>
    </row>
    <row r="119" spans="1:7">
      <c r="A119" s="11">
        <v>15</v>
      </c>
      <c r="B119" s="12" t="str">
        <f>المدخلات!$F$5</f>
        <v>5:40–7:10 م</v>
      </c>
      <c r="C119" s="12">
        <v>1</v>
      </c>
      <c r="D119" s="12" t="s">
        <v>17</v>
      </c>
      <c r="E119" s="12" t="s">
        <v>42</v>
      </c>
      <c r="F119" s="7"/>
      <c r="G119" s="5"/>
    </row>
    <row r="120" spans="1:7">
      <c r="A120" s="11">
        <v>15</v>
      </c>
      <c r="B120" s="12" t="str">
        <f>المدخلات!$F$5</f>
        <v>5:40–7:10 م</v>
      </c>
      <c r="C120" s="12">
        <v>2</v>
      </c>
      <c r="D120" s="12" t="s">
        <v>89</v>
      </c>
      <c r="E120" s="12" t="s">
        <v>108</v>
      </c>
      <c r="F120" s="7"/>
      <c r="G120" s="5"/>
    </row>
    <row r="121" spans="1:7">
      <c r="A121" s="11">
        <v>15</v>
      </c>
      <c r="B121" s="12" t="str">
        <f>المدخلات!$F$5</f>
        <v>5:40–7:10 م</v>
      </c>
      <c r="C121" s="12">
        <v>3</v>
      </c>
      <c r="D121" s="12" t="s">
        <v>17</v>
      </c>
      <c r="E121" s="12" t="s">
        <v>49</v>
      </c>
      <c r="F121" s="7"/>
      <c r="G121" s="5"/>
    </row>
    <row r="122" spans="1:7">
      <c r="A122" s="11">
        <v>15</v>
      </c>
      <c r="B122" s="12" t="str">
        <f>المدخلات!$F$6</f>
        <v>7:20–8:50 م</v>
      </c>
      <c r="C122" s="12">
        <v>1</v>
      </c>
      <c r="D122" s="12" t="s">
        <v>17</v>
      </c>
      <c r="E122" s="12" t="s">
        <v>27</v>
      </c>
      <c r="F122" s="7"/>
      <c r="G122" s="5"/>
    </row>
    <row r="123" spans="1:7">
      <c r="A123" s="11">
        <v>15</v>
      </c>
      <c r="B123" s="12" t="str">
        <f>المدخلات!$F$6</f>
        <v>7:20–8:50 م</v>
      </c>
      <c r="C123" s="12">
        <v>2</v>
      </c>
      <c r="D123" s="12" t="s">
        <v>89</v>
      </c>
      <c r="E123" s="12" t="s">
        <v>115</v>
      </c>
      <c r="F123" s="7"/>
      <c r="G123" s="5"/>
    </row>
    <row r="124" spans="1:7">
      <c r="A124" s="11">
        <v>16</v>
      </c>
      <c r="B124" s="12" t="str">
        <f>المدخلات!$F$4</f>
        <v>4:00–5:30 م</v>
      </c>
      <c r="C124" s="12">
        <v>1</v>
      </c>
      <c r="D124" s="12" t="s">
        <v>89</v>
      </c>
      <c r="E124" s="12" t="s">
        <v>116</v>
      </c>
      <c r="F124" s="7"/>
      <c r="G124" s="5"/>
    </row>
    <row r="125" spans="1:7">
      <c r="A125" s="11">
        <v>16</v>
      </c>
      <c r="B125" s="12" t="str">
        <f>المدخلات!$F$4</f>
        <v>4:00–5:30 م</v>
      </c>
      <c r="C125" s="12">
        <v>2</v>
      </c>
      <c r="D125" s="12" t="s">
        <v>17</v>
      </c>
      <c r="E125" s="12" t="s">
        <v>30</v>
      </c>
      <c r="F125" s="7"/>
      <c r="G125" s="5"/>
    </row>
    <row r="126" spans="1:7">
      <c r="A126" s="11">
        <v>16</v>
      </c>
      <c r="B126" s="12" t="str">
        <f>المدخلات!$F$4</f>
        <v>4:00–5:30 م</v>
      </c>
      <c r="C126" s="12">
        <v>3</v>
      </c>
      <c r="D126" s="12" t="s">
        <v>17</v>
      </c>
      <c r="E126" s="12" t="s">
        <v>29</v>
      </c>
      <c r="F126" s="7"/>
      <c r="G126" s="5"/>
    </row>
    <row r="127" spans="1:7">
      <c r="A127" s="11">
        <v>16</v>
      </c>
      <c r="B127" s="12" t="str">
        <f>المدخلات!$F$5</f>
        <v>5:40–7:10 م</v>
      </c>
      <c r="C127" s="12">
        <v>1</v>
      </c>
      <c r="D127" s="12" t="s">
        <v>89</v>
      </c>
      <c r="E127" s="12" t="s">
        <v>102</v>
      </c>
      <c r="F127" s="7"/>
      <c r="G127" s="5"/>
    </row>
    <row r="128" spans="1:7">
      <c r="A128" s="11">
        <v>16</v>
      </c>
      <c r="B128" s="12" t="str">
        <f>المدخلات!$F$5</f>
        <v>5:40–7:10 م</v>
      </c>
      <c r="C128" s="12">
        <v>2</v>
      </c>
      <c r="D128" s="12" t="s">
        <v>17</v>
      </c>
      <c r="E128" s="12" t="s">
        <v>50</v>
      </c>
      <c r="F128" s="7"/>
      <c r="G128" s="5"/>
    </row>
    <row r="129" spans="1:7">
      <c r="A129" s="11">
        <v>16</v>
      </c>
      <c r="B129" s="12" t="str">
        <f>المدخلات!$F$5</f>
        <v>5:40–7:10 م</v>
      </c>
      <c r="C129" s="12">
        <v>3</v>
      </c>
      <c r="D129" s="12" t="s">
        <v>89</v>
      </c>
      <c r="E129" s="12" t="s">
        <v>64</v>
      </c>
      <c r="F129" s="7"/>
      <c r="G129" s="5"/>
    </row>
    <row r="130" spans="1:7">
      <c r="A130" s="11">
        <v>16</v>
      </c>
      <c r="B130" s="12" t="str">
        <f>المدخلات!$F$6</f>
        <v>7:20–8:50 م</v>
      </c>
      <c r="C130" s="12">
        <v>1</v>
      </c>
      <c r="D130" s="12" t="s">
        <v>17</v>
      </c>
      <c r="E130" s="12" t="s">
        <v>43</v>
      </c>
      <c r="F130" s="7"/>
      <c r="G130" s="5"/>
    </row>
    <row r="131" spans="1:7">
      <c r="A131" s="11">
        <v>16</v>
      </c>
      <c r="B131" s="12" t="str">
        <f>المدخلات!$F$6</f>
        <v>7:20–8:50 م</v>
      </c>
      <c r="C131" s="12">
        <v>2</v>
      </c>
      <c r="D131" s="12" t="s">
        <v>89</v>
      </c>
      <c r="E131" s="12" t="s">
        <v>109</v>
      </c>
      <c r="F131" s="7"/>
      <c r="G131" s="5"/>
    </row>
    <row r="132" spans="1:7">
      <c r="A132" s="11">
        <v>17</v>
      </c>
      <c r="B132" s="12" t="str">
        <f>المدخلات!$F$4</f>
        <v>4:00–5:30 م</v>
      </c>
      <c r="C132" s="12">
        <v>1</v>
      </c>
      <c r="D132" s="12" t="s">
        <v>89</v>
      </c>
      <c r="E132" s="12" t="s">
        <v>104</v>
      </c>
      <c r="F132" s="7"/>
      <c r="G132" s="5"/>
    </row>
    <row r="133" spans="1:7">
      <c r="A133" s="11">
        <v>17</v>
      </c>
      <c r="B133" s="12" t="str">
        <f>المدخلات!$F$4</f>
        <v>4:00–5:30 م</v>
      </c>
      <c r="C133" s="12">
        <v>2</v>
      </c>
      <c r="D133" s="12" t="s">
        <v>17</v>
      </c>
      <c r="E133" s="12" t="s">
        <v>44</v>
      </c>
      <c r="F133" s="7"/>
      <c r="G133" s="5"/>
    </row>
    <row r="134" spans="1:7">
      <c r="A134" s="11">
        <v>17</v>
      </c>
      <c r="B134" s="12" t="str">
        <f>المدخلات!$F$4</f>
        <v>4:00–5:30 م</v>
      </c>
      <c r="C134" s="12">
        <v>3</v>
      </c>
      <c r="D134" s="12" t="s">
        <v>17</v>
      </c>
      <c r="E134" s="12" t="s">
        <v>38</v>
      </c>
      <c r="F134" s="7"/>
      <c r="G134" s="5"/>
    </row>
    <row r="135" spans="1:7">
      <c r="A135" s="11">
        <v>17</v>
      </c>
      <c r="B135" s="12" t="str">
        <f>المدخلات!$F$5</f>
        <v>5:40–7:10 م</v>
      </c>
      <c r="C135" s="12">
        <v>1</v>
      </c>
      <c r="D135" s="12" t="s">
        <v>89</v>
      </c>
      <c r="E135" s="12" t="s">
        <v>103</v>
      </c>
      <c r="F135" s="7"/>
      <c r="G135" s="5"/>
    </row>
    <row r="136" spans="1:7">
      <c r="A136" s="11">
        <v>17</v>
      </c>
      <c r="B136" s="12" t="str">
        <f>المدخلات!$F$5</f>
        <v>5:40–7:10 م</v>
      </c>
      <c r="C136" s="12">
        <v>2</v>
      </c>
      <c r="D136" s="12" t="s">
        <v>89</v>
      </c>
      <c r="E136" s="12" t="s">
        <v>93</v>
      </c>
      <c r="F136" s="7"/>
      <c r="G136" s="5"/>
    </row>
    <row r="137" spans="1:7">
      <c r="A137" s="11">
        <v>17</v>
      </c>
      <c r="B137" s="12" t="str">
        <f>المدخلات!$F$5</f>
        <v>5:40–7:10 م</v>
      </c>
      <c r="C137" s="12">
        <v>3</v>
      </c>
      <c r="D137" s="12" t="s">
        <v>17</v>
      </c>
      <c r="E137" s="12" t="s">
        <v>32</v>
      </c>
      <c r="F137" s="7"/>
      <c r="G137" s="5"/>
    </row>
    <row r="138" spans="1:7">
      <c r="A138" s="11">
        <v>17</v>
      </c>
      <c r="B138" s="12" t="str">
        <f>المدخلات!$F$6</f>
        <v>7:20–8:50 م</v>
      </c>
      <c r="C138" s="12">
        <v>1</v>
      </c>
      <c r="D138" s="12" t="s">
        <v>17</v>
      </c>
      <c r="E138" s="12" t="s">
        <v>31</v>
      </c>
      <c r="F138" s="7"/>
      <c r="G138" s="5"/>
    </row>
    <row r="139" spans="1:7">
      <c r="A139" s="11">
        <v>17</v>
      </c>
      <c r="B139" s="12" t="str">
        <f>المدخلات!$F$6</f>
        <v>7:20–8:50 م</v>
      </c>
      <c r="C139" s="12">
        <v>2</v>
      </c>
      <c r="D139" s="12" t="s">
        <v>89</v>
      </c>
      <c r="E139" s="12" t="s">
        <v>110</v>
      </c>
      <c r="F139" s="7"/>
      <c r="G139" s="5"/>
    </row>
    <row r="140" spans="1:7">
      <c r="A140" s="11">
        <v>18</v>
      </c>
      <c r="B140" s="12" t="str">
        <f>المدخلات!$F$4</f>
        <v>4:00–5:30 م</v>
      </c>
      <c r="C140" s="12">
        <v>1</v>
      </c>
      <c r="D140" s="12" t="s">
        <v>89</v>
      </c>
      <c r="E140" s="12" t="s">
        <v>105</v>
      </c>
      <c r="F140" s="7"/>
      <c r="G140" s="5"/>
    </row>
    <row r="141" spans="1:7">
      <c r="A141" s="11">
        <v>18</v>
      </c>
      <c r="B141" s="12" t="str">
        <f>المدخلات!$F$4</f>
        <v>4:00–5:30 م</v>
      </c>
      <c r="C141" s="12">
        <v>2</v>
      </c>
      <c r="D141" s="12" t="s">
        <v>89</v>
      </c>
      <c r="E141" s="12" t="s">
        <v>94</v>
      </c>
      <c r="F141" s="7"/>
      <c r="G141" s="5"/>
    </row>
    <row r="142" spans="1:7">
      <c r="A142" s="11">
        <v>18</v>
      </c>
      <c r="B142" s="12" t="str">
        <f>المدخلات!$F$4</f>
        <v>4:00–5:30 م</v>
      </c>
      <c r="C142" s="12">
        <v>3</v>
      </c>
      <c r="D142" s="12" t="s">
        <v>89</v>
      </c>
      <c r="E142" s="12" t="s">
        <v>111</v>
      </c>
      <c r="F142" s="7"/>
      <c r="G142" s="5"/>
    </row>
    <row r="143" spans="1:7">
      <c r="A143" s="11">
        <v>18</v>
      </c>
      <c r="B143" s="12" t="str">
        <f>المدخلات!$F$5</f>
        <v>5:40–7:10 م</v>
      </c>
      <c r="C143" s="12">
        <v>1</v>
      </c>
      <c r="D143" s="12" t="s">
        <v>17</v>
      </c>
      <c r="E143" s="12" t="s">
        <v>39</v>
      </c>
      <c r="F143" s="7"/>
      <c r="G143" s="5"/>
    </row>
    <row r="144" spans="1:7">
      <c r="A144" s="11">
        <v>18</v>
      </c>
      <c r="B144" s="12" t="str">
        <f>المدخلات!$F$5</f>
        <v>5:40–7:10 م</v>
      </c>
      <c r="C144" s="12">
        <v>2</v>
      </c>
      <c r="D144" s="12" t="s">
        <v>89</v>
      </c>
      <c r="E144" s="12" t="s">
        <v>84</v>
      </c>
      <c r="F144" s="7"/>
      <c r="G144" s="5"/>
    </row>
    <row r="145" spans="1:7">
      <c r="A145" s="11">
        <v>18</v>
      </c>
      <c r="B145" s="12" t="str">
        <f>المدخلات!$F$5</f>
        <v>5:40–7:10 م</v>
      </c>
      <c r="C145" s="12">
        <v>3</v>
      </c>
      <c r="D145" s="12" t="s">
        <v>17</v>
      </c>
      <c r="E145" s="12" t="s">
        <v>20</v>
      </c>
      <c r="F145" s="7"/>
      <c r="G145" s="5"/>
    </row>
    <row r="146" spans="1:7">
      <c r="A146" s="11">
        <v>18</v>
      </c>
      <c r="B146" s="12" t="str">
        <f>المدخلات!$F$6</f>
        <v>7:20–8:50 م</v>
      </c>
      <c r="C146" s="12">
        <v>1</v>
      </c>
      <c r="D146" s="12" t="s">
        <v>17</v>
      </c>
      <c r="E146" s="12" t="s">
        <v>45</v>
      </c>
      <c r="F146" s="7"/>
      <c r="G146" s="5"/>
    </row>
    <row r="147" spans="1:7">
      <c r="A147" s="11">
        <v>18</v>
      </c>
      <c r="B147" s="12" t="str">
        <f>المدخلات!$F$6</f>
        <v>7:20–8:50 م</v>
      </c>
      <c r="C147" s="12">
        <v>2</v>
      </c>
      <c r="D147" s="12" t="s">
        <v>17</v>
      </c>
      <c r="E147" s="12" t="s">
        <v>19</v>
      </c>
      <c r="F147" s="7"/>
      <c r="G147" s="5"/>
    </row>
    <row r="148" spans="1:7">
      <c r="A148" s="11">
        <v>19</v>
      </c>
      <c r="B148" s="12" t="str">
        <f>المدخلات!$F$4</f>
        <v>4:00–5:30 م</v>
      </c>
      <c r="C148" s="12">
        <v>1</v>
      </c>
      <c r="D148" s="12" t="s">
        <v>17</v>
      </c>
      <c r="E148" s="12" t="s">
        <v>40</v>
      </c>
      <c r="F148" s="7"/>
      <c r="G148" s="5"/>
    </row>
    <row r="149" spans="1:7">
      <c r="A149" s="11">
        <v>19</v>
      </c>
      <c r="B149" s="12" t="str">
        <f>المدخلات!$F$4</f>
        <v>4:00–5:30 م</v>
      </c>
      <c r="C149" s="12">
        <v>2</v>
      </c>
      <c r="D149" s="12" t="s">
        <v>89</v>
      </c>
      <c r="E149" s="12" t="s">
        <v>98</v>
      </c>
      <c r="F149" s="7"/>
      <c r="G149" s="5"/>
    </row>
    <row r="150" spans="1:7">
      <c r="A150" s="11">
        <v>19</v>
      </c>
      <c r="B150" s="12" t="str">
        <f>المدخلات!$F$4</f>
        <v>4:00–5:30 م</v>
      </c>
      <c r="C150" s="12">
        <v>3</v>
      </c>
      <c r="D150" s="12" t="s">
        <v>17</v>
      </c>
      <c r="E150" s="12" t="s">
        <v>46</v>
      </c>
      <c r="F150" s="7"/>
      <c r="G150" s="5"/>
    </row>
    <row r="151" spans="1:7">
      <c r="A151" s="11">
        <v>19</v>
      </c>
      <c r="B151" s="12" t="str">
        <f>المدخلات!$F$5</f>
        <v>5:40–7:10 م</v>
      </c>
      <c r="C151" s="12">
        <v>1</v>
      </c>
      <c r="D151" s="12" t="s">
        <v>89</v>
      </c>
      <c r="E151" s="12" t="s">
        <v>112</v>
      </c>
      <c r="F151" s="7"/>
      <c r="G151" s="5"/>
    </row>
    <row r="152" spans="1:7">
      <c r="A152" s="11">
        <v>19</v>
      </c>
      <c r="B152" s="12" t="str">
        <f>المدخلات!$F$5</f>
        <v>5:40–7:10 م</v>
      </c>
      <c r="C152" s="12">
        <v>2</v>
      </c>
      <c r="D152" s="12" t="s">
        <v>17</v>
      </c>
      <c r="E152" s="12" t="s">
        <v>23</v>
      </c>
      <c r="F152" s="7"/>
      <c r="G152" s="5"/>
    </row>
    <row r="153" spans="1:7">
      <c r="A153" s="11">
        <v>19</v>
      </c>
      <c r="B153" s="12" t="str">
        <f>المدخلات!$F$5</f>
        <v>5:40–7:10 م</v>
      </c>
      <c r="C153" s="12">
        <v>3</v>
      </c>
      <c r="D153" s="12" t="s">
        <v>17</v>
      </c>
      <c r="E153" s="12" t="s">
        <v>18</v>
      </c>
      <c r="F153" s="7"/>
      <c r="G153" s="5"/>
    </row>
    <row r="154" spans="1:7">
      <c r="A154" s="11">
        <v>19</v>
      </c>
      <c r="B154" s="12" t="str">
        <f>المدخلات!$F$6</f>
        <v>7:20–8:50 م</v>
      </c>
      <c r="C154" s="12">
        <v>1</v>
      </c>
      <c r="D154" s="12" t="s">
        <v>89</v>
      </c>
      <c r="E154" s="12" t="s">
        <v>106</v>
      </c>
      <c r="F154" s="7"/>
      <c r="G154" s="5"/>
    </row>
    <row r="155" spans="1:7">
      <c r="A155" s="11">
        <v>19</v>
      </c>
      <c r="B155" s="12" t="str">
        <f>المدخلات!$F$6</f>
        <v>7:20–8:50 م</v>
      </c>
      <c r="C155" s="12">
        <v>2</v>
      </c>
      <c r="D155" s="12" t="s">
        <v>89</v>
      </c>
      <c r="E155" s="12" t="s">
        <v>74</v>
      </c>
      <c r="F155" s="7"/>
      <c r="G155" s="5"/>
    </row>
    <row r="156" spans="1:7">
      <c r="A156" s="11">
        <v>20</v>
      </c>
      <c r="B156" s="12" t="str">
        <f>المدخلات!$F$4</f>
        <v>4:00–5:30 م</v>
      </c>
      <c r="C156" s="12">
        <v>1</v>
      </c>
      <c r="D156" s="12" t="s">
        <v>17</v>
      </c>
      <c r="E156" s="12" t="s">
        <v>47</v>
      </c>
      <c r="F156" s="7"/>
      <c r="G156" s="5"/>
    </row>
    <row r="157" spans="1:7">
      <c r="A157" s="11">
        <v>20</v>
      </c>
      <c r="B157" s="12" t="str">
        <f>المدخلات!$F$4</f>
        <v>4:00–5:30 م</v>
      </c>
      <c r="C157" s="12">
        <v>2</v>
      </c>
      <c r="D157" s="12" t="s">
        <v>17</v>
      </c>
      <c r="E157" s="12" t="s">
        <v>41</v>
      </c>
      <c r="F157" s="7"/>
      <c r="G157" s="5"/>
    </row>
    <row r="158" spans="1:7">
      <c r="A158" s="11">
        <v>20</v>
      </c>
      <c r="B158" s="12" t="str">
        <f>المدخلات!$F$4</f>
        <v>4:00–5:30 م</v>
      </c>
      <c r="C158" s="12">
        <v>3</v>
      </c>
      <c r="D158" s="12" t="s">
        <v>89</v>
      </c>
      <c r="E158" s="12" t="s">
        <v>113</v>
      </c>
      <c r="F158" s="7"/>
      <c r="G158" s="5"/>
    </row>
    <row r="159" spans="1:7">
      <c r="A159" s="11">
        <v>20</v>
      </c>
      <c r="B159" s="12" t="str">
        <f>المدخلات!$F$5</f>
        <v>5:40–7:10 م</v>
      </c>
      <c r="C159" s="12">
        <v>1</v>
      </c>
      <c r="D159" s="12" t="s">
        <v>89</v>
      </c>
      <c r="E159" s="12" t="s">
        <v>92</v>
      </c>
      <c r="F159" s="7"/>
      <c r="G159" s="5"/>
    </row>
    <row r="160" spans="1:7">
      <c r="A160" s="11">
        <v>20</v>
      </c>
      <c r="B160" s="12" t="str">
        <f>المدخلات!$F$5</f>
        <v>5:40–7:10 م</v>
      </c>
      <c r="C160" s="12">
        <v>2</v>
      </c>
      <c r="D160" s="12" t="s">
        <v>17</v>
      </c>
      <c r="E160" s="12" t="s">
        <v>22</v>
      </c>
      <c r="F160" s="7"/>
      <c r="G160" s="5"/>
    </row>
    <row r="161" spans="1:17">
      <c r="A161" s="11">
        <v>20</v>
      </c>
      <c r="B161" s="12" t="str">
        <f>المدخلات!$F$5</f>
        <v>5:40–7:10 م</v>
      </c>
      <c r="C161" s="12">
        <v>3</v>
      </c>
      <c r="D161" s="12" t="s">
        <v>89</v>
      </c>
      <c r="E161" s="12" t="s">
        <v>107</v>
      </c>
      <c r="F161" s="7"/>
      <c r="G161" s="5"/>
    </row>
    <row r="162" spans="1:17">
      <c r="A162" s="11">
        <v>20</v>
      </c>
      <c r="B162" s="12" t="str">
        <f>المدخلات!$F$6</f>
        <v>7:20–8:50 م</v>
      </c>
      <c r="C162" s="12">
        <v>1</v>
      </c>
      <c r="D162" s="12" t="s">
        <v>89</v>
      </c>
      <c r="E162" s="12" t="s">
        <v>100</v>
      </c>
      <c r="F162" s="7"/>
      <c r="G162" s="5"/>
    </row>
    <row r="163" spans="1:17">
      <c r="A163" s="11">
        <v>20</v>
      </c>
      <c r="B163" s="12" t="str">
        <f>المدخلات!$F$6</f>
        <v>7:20–8:50 م</v>
      </c>
      <c r="C163" s="12">
        <v>2</v>
      </c>
      <c r="D163" s="12" t="s">
        <v>17</v>
      </c>
      <c r="E163" s="12" t="s">
        <v>21</v>
      </c>
      <c r="F163" s="7"/>
      <c r="G163" s="5"/>
    </row>
    <row r="164" spans="1:17">
      <c r="A164" s="11">
        <v>21</v>
      </c>
      <c r="B164" s="12" t="str">
        <f>المدخلات!$F$4</f>
        <v>4:00–5:30 م</v>
      </c>
      <c r="C164" s="12">
        <v>1</v>
      </c>
      <c r="D164" s="12" t="s">
        <v>17</v>
      </c>
      <c r="E164" s="12" t="s">
        <v>25</v>
      </c>
      <c r="F164" s="7"/>
      <c r="G164" s="5"/>
    </row>
    <row r="165" spans="1:17">
      <c r="A165" s="11">
        <v>21</v>
      </c>
      <c r="B165" s="12" t="str">
        <f>المدخلات!$F$4</f>
        <v>4:00–5:30 م</v>
      </c>
      <c r="C165" s="12">
        <v>2</v>
      </c>
      <c r="D165" s="12" t="s">
        <v>89</v>
      </c>
      <c r="E165" s="12" t="s">
        <v>101</v>
      </c>
      <c r="F165" s="7"/>
      <c r="G165" s="5"/>
    </row>
    <row r="166" spans="1:17">
      <c r="A166" s="11">
        <v>21</v>
      </c>
      <c r="B166" s="12" t="str">
        <f>المدخلات!$F$4</f>
        <v>4:00–5:30 م</v>
      </c>
      <c r="C166" s="12">
        <v>3</v>
      </c>
      <c r="D166" s="12" t="s">
        <v>89</v>
      </c>
      <c r="E166" s="12" t="s">
        <v>91</v>
      </c>
      <c r="F166" s="7"/>
      <c r="G166" s="5"/>
    </row>
    <row r="167" spans="1:17">
      <c r="A167" s="11">
        <v>21</v>
      </c>
      <c r="B167" s="12" t="str">
        <f>المدخلات!$F$5</f>
        <v>5:40–7:10 م</v>
      </c>
      <c r="C167" s="12">
        <v>1</v>
      </c>
      <c r="D167" s="12" t="s">
        <v>89</v>
      </c>
      <c r="E167" s="12" t="s">
        <v>114</v>
      </c>
      <c r="F167" s="7"/>
      <c r="G167" s="5"/>
    </row>
    <row r="168" spans="1:17">
      <c r="A168" s="11">
        <v>21</v>
      </c>
      <c r="B168" s="12" t="str">
        <f>المدخلات!$F$5</f>
        <v>5:40–7:10 م</v>
      </c>
      <c r="C168" s="12">
        <v>2</v>
      </c>
      <c r="D168" s="12" t="s">
        <v>17</v>
      </c>
      <c r="E168" s="12" t="s">
        <v>48</v>
      </c>
      <c r="F168" s="7"/>
      <c r="G168" s="5"/>
    </row>
    <row r="169" spans="1:17">
      <c r="A169" s="11">
        <v>21</v>
      </c>
      <c r="B169" s="12" t="str">
        <f>المدخلات!$F$5</f>
        <v>5:40–7:10 م</v>
      </c>
      <c r="C169" s="12">
        <v>3</v>
      </c>
      <c r="D169" s="12" t="s">
        <v>89</v>
      </c>
      <c r="E169" s="12" t="s">
        <v>85</v>
      </c>
      <c r="F169" s="7"/>
      <c r="G169" s="5"/>
    </row>
    <row r="170" spans="1:17">
      <c r="A170" s="11">
        <v>21</v>
      </c>
      <c r="B170" s="12" t="str">
        <f>المدخلات!$F$6</f>
        <v>7:20–8:50 م</v>
      </c>
      <c r="C170" s="12">
        <v>1</v>
      </c>
      <c r="D170" s="12" t="s">
        <v>17</v>
      </c>
      <c r="E170" s="12" t="s">
        <v>24</v>
      </c>
      <c r="F170" s="7"/>
      <c r="G170" s="5"/>
    </row>
    <row r="171" spans="1:17">
      <c r="A171" s="11">
        <v>21</v>
      </c>
      <c r="B171" s="12" t="str">
        <f>المدخلات!$F$6</f>
        <v>7:20–8:50 م</v>
      </c>
      <c r="C171" s="12">
        <v>2</v>
      </c>
      <c r="D171" s="12" t="s">
        <v>17</v>
      </c>
      <c r="E171" s="12" t="s">
        <v>26</v>
      </c>
      <c r="F171" s="7"/>
      <c r="G171" s="5"/>
    </row>
    <row r="172" spans="1:17">
      <c r="A172" s="11">
        <v>22</v>
      </c>
      <c r="B172" s="12" t="str">
        <f>المدخلات!$F$4</f>
        <v>4:00–5:30 م</v>
      </c>
      <c r="C172" s="12">
        <v>1</v>
      </c>
      <c r="D172" s="12" t="s">
        <v>95</v>
      </c>
      <c r="E172" s="12" t="s">
        <v>96</v>
      </c>
      <c r="F172" s="7"/>
      <c r="G172" s="5"/>
    </row>
    <row r="173" spans="1:17">
      <c r="A173" s="5"/>
      <c r="B173" s="5"/>
      <c r="C173" s="5"/>
      <c r="D173" s="5"/>
      <c r="E173" s="5"/>
      <c r="F173" s="5"/>
      <c r="G173" s="5"/>
    </row>
    <row r="174" spans="1:17">
      <c r="A174" s="5"/>
      <c r="B174" s="5"/>
      <c r="C174" s="5"/>
      <c r="D174" s="5"/>
      <c r="E174" s="5"/>
      <c r="F174" s="5"/>
      <c r="G174" s="5"/>
    </row>
    <row r="175" spans="1:17" ht="15.5">
      <c r="A175" s="52" t="s">
        <v>363</v>
      </c>
      <c r="B175" s="52"/>
      <c r="C175" s="52"/>
      <c r="D175" s="52"/>
      <c r="E175" s="52"/>
      <c r="F175" s="52"/>
      <c r="G175" s="52"/>
      <c r="H175" s="52"/>
      <c r="I175" s="52"/>
      <c r="J175" s="52"/>
      <c r="K175" s="52"/>
      <c r="L175" s="52"/>
      <c r="M175" s="52"/>
      <c r="N175" s="52"/>
      <c r="O175" s="52"/>
      <c r="P175" s="52"/>
      <c r="Q175" s="52"/>
    </row>
    <row r="176" spans="1:17">
      <c r="A176" s="9" t="s">
        <v>362</v>
      </c>
      <c r="B176" s="9">
        <v>1</v>
      </c>
      <c r="C176" s="9">
        <v>2</v>
      </c>
      <c r="D176" s="9">
        <v>3</v>
      </c>
      <c r="E176" s="9">
        <v>4</v>
      </c>
      <c r="F176" s="9">
        <v>5</v>
      </c>
      <c r="G176" s="9">
        <v>6</v>
      </c>
      <c r="H176" s="9">
        <v>7</v>
      </c>
      <c r="I176" s="9">
        <v>8</v>
      </c>
      <c r="J176" s="9">
        <v>9</v>
      </c>
      <c r="K176" s="9">
        <v>10</v>
      </c>
      <c r="L176" s="9">
        <v>11</v>
      </c>
      <c r="M176" s="9">
        <v>12</v>
      </c>
      <c r="N176" s="9">
        <v>13</v>
      </c>
      <c r="O176" s="9">
        <v>14</v>
      </c>
      <c r="P176" s="9">
        <v>15</v>
      </c>
      <c r="Q176" s="9">
        <v>16</v>
      </c>
    </row>
    <row r="177" spans="1:17">
      <c r="A177" s="9">
        <v>1</v>
      </c>
      <c r="B177" s="12" t="str">
        <f t="shared" ref="B177:Q186" si="0">IF($A177=B$176,"",COUNTIF($E$4:$E$172,$A177&amp;" ضد "&amp;B$176)+COUNTIF($E$4:$E$172,B$176&amp;" ضد "&amp;$A177))</f>
        <v/>
      </c>
      <c r="C177" s="12">
        <f t="shared" si="0"/>
        <v>3</v>
      </c>
      <c r="D177" s="12">
        <f t="shared" si="0"/>
        <v>3</v>
      </c>
      <c r="E177" s="12">
        <f t="shared" si="0"/>
        <v>3</v>
      </c>
      <c r="F177" s="12">
        <f t="shared" si="0"/>
        <v>3</v>
      </c>
      <c r="G177" s="12">
        <f t="shared" si="0"/>
        <v>3</v>
      </c>
      <c r="H177" s="12">
        <f t="shared" si="0"/>
        <v>3</v>
      </c>
      <c r="I177" s="12">
        <f t="shared" si="0"/>
        <v>3</v>
      </c>
      <c r="J177" s="12">
        <f t="shared" si="0"/>
        <v>0</v>
      </c>
      <c r="K177" s="12">
        <f t="shared" si="0"/>
        <v>0</v>
      </c>
      <c r="L177" s="12">
        <f t="shared" si="0"/>
        <v>0</v>
      </c>
      <c r="M177" s="12">
        <f t="shared" si="0"/>
        <v>0</v>
      </c>
      <c r="N177" s="12">
        <f t="shared" si="0"/>
        <v>0</v>
      </c>
      <c r="O177" s="12">
        <f t="shared" si="0"/>
        <v>0</v>
      </c>
      <c r="P177" s="12">
        <f t="shared" si="0"/>
        <v>0</v>
      </c>
      <c r="Q177" s="12">
        <f t="shared" si="0"/>
        <v>0</v>
      </c>
    </row>
    <row r="178" spans="1:17">
      <c r="A178" s="9">
        <v>2</v>
      </c>
      <c r="B178" s="12">
        <f t="shared" si="0"/>
        <v>3</v>
      </c>
      <c r="C178" s="12" t="str">
        <f t="shared" si="0"/>
        <v/>
      </c>
      <c r="D178" s="12">
        <f t="shared" si="0"/>
        <v>3</v>
      </c>
      <c r="E178" s="12">
        <f t="shared" si="0"/>
        <v>3</v>
      </c>
      <c r="F178" s="12">
        <f t="shared" si="0"/>
        <v>3</v>
      </c>
      <c r="G178" s="12">
        <f t="shared" si="0"/>
        <v>3</v>
      </c>
      <c r="H178" s="12">
        <f t="shared" si="0"/>
        <v>3</v>
      </c>
      <c r="I178" s="12">
        <f t="shared" si="0"/>
        <v>3</v>
      </c>
      <c r="J178" s="12">
        <f t="shared" si="0"/>
        <v>0</v>
      </c>
      <c r="K178" s="12">
        <f t="shared" si="0"/>
        <v>0</v>
      </c>
      <c r="L178" s="12">
        <f t="shared" si="0"/>
        <v>0</v>
      </c>
      <c r="M178" s="12">
        <f t="shared" si="0"/>
        <v>0</v>
      </c>
      <c r="N178" s="12">
        <f t="shared" si="0"/>
        <v>0</v>
      </c>
      <c r="O178" s="12">
        <f t="shared" si="0"/>
        <v>0</v>
      </c>
      <c r="P178" s="12">
        <f t="shared" si="0"/>
        <v>0</v>
      </c>
      <c r="Q178" s="12">
        <f t="shared" si="0"/>
        <v>0</v>
      </c>
    </row>
    <row r="179" spans="1:17">
      <c r="A179" s="9">
        <v>3</v>
      </c>
      <c r="B179" s="12">
        <f t="shared" si="0"/>
        <v>3</v>
      </c>
      <c r="C179" s="12">
        <f t="shared" si="0"/>
        <v>3</v>
      </c>
      <c r="D179" s="12" t="str">
        <f t="shared" si="0"/>
        <v/>
      </c>
      <c r="E179" s="12">
        <f t="shared" si="0"/>
        <v>3</v>
      </c>
      <c r="F179" s="12">
        <f t="shared" si="0"/>
        <v>3</v>
      </c>
      <c r="G179" s="12">
        <f t="shared" si="0"/>
        <v>3</v>
      </c>
      <c r="H179" s="12">
        <f t="shared" si="0"/>
        <v>3</v>
      </c>
      <c r="I179" s="12">
        <f t="shared" si="0"/>
        <v>3</v>
      </c>
      <c r="J179" s="12">
        <f t="shared" si="0"/>
        <v>0</v>
      </c>
      <c r="K179" s="12">
        <f t="shared" si="0"/>
        <v>0</v>
      </c>
      <c r="L179" s="12">
        <f t="shared" si="0"/>
        <v>0</v>
      </c>
      <c r="M179" s="12">
        <f t="shared" si="0"/>
        <v>0</v>
      </c>
      <c r="N179" s="12">
        <f t="shared" si="0"/>
        <v>0</v>
      </c>
      <c r="O179" s="12">
        <f t="shared" si="0"/>
        <v>0</v>
      </c>
      <c r="P179" s="12">
        <f t="shared" si="0"/>
        <v>0</v>
      </c>
      <c r="Q179" s="12">
        <f t="shared" si="0"/>
        <v>0</v>
      </c>
    </row>
    <row r="180" spans="1:17">
      <c r="A180" s="9">
        <v>4</v>
      </c>
      <c r="B180" s="12">
        <f t="shared" si="0"/>
        <v>3</v>
      </c>
      <c r="C180" s="12">
        <f t="shared" si="0"/>
        <v>3</v>
      </c>
      <c r="D180" s="12">
        <f t="shared" si="0"/>
        <v>3</v>
      </c>
      <c r="E180" s="12" t="str">
        <f t="shared" si="0"/>
        <v/>
      </c>
      <c r="F180" s="12">
        <f t="shared" si="0"/>
        <v>3</v>
      </c>
      <c r="G180" s="12">
        <f t="shared" si="0"/>
        <v>3</v>
      </c>
      <c r="H180" s="12">
        <f t="shared" si="0"/>
        <v>3</v>
      </c>
      <c r="I180" s="12">
        <f t="shared" si="0"/>
        <v>3</v>
      </c>
      <c r="J180" s="12">
        <f t="shared" si="0"/>
        <v>0</v>
      </c>
      <c r="K180" s="12">
        <f t="shared" si="0"/>
        <v>0</v>
      </c>
      <c r="L180" s="12">
        <f t="shared" si="0"/>
        <v>0</v>
      </c>
      <c r="M180" s="12">
        <f t="shared" si="0"/>
        <v>0</v>
      </c>
      <c r="N180" s="12">
        <f t="shared" si="0"/>
        <v>0</v>
      </c>
      <c r="O180" s="12">
        <f t="shared" si="0"/>
        <v>0</v>
      </c>
      <c r="P180" s="12">
        <f t="shared" si="0"/>
        <v>0</v>
      </c>
      <c r="Q180" s="12">
        <f t="shared" si="0"/>
        <v>0</v>
      </c>
    </row>
    <row r="181" spans="1:17">
      <c r="A181" s="9">
        <v>5</v>
      </c>
      <c r="B181" s="12">
        <f t="shared" si="0"/>
        <v>3</v>
      </c>
      <c r="C181" s="12">
        <f t="shared" si="0"/>
        <v>3</v>
      </c>
      <c r="D181" s="12">
        <f t="shared" si="0"/>
        <v>3</v>
      </c>
      <c r="E181" s="12">
        <f t="shared" si="0"/>
        <v>3</v>
      </c>
      <c r="F181" s="12" t="str">
        <f t="shared" si="0"/>
        <v/>
      </c>
      <c r="G181" s="12">
        <f t="shared" si="0"/>
        <v>3</v>
      </c>
      <c r="H181" s="12">
        <f t="shared" si="0"/>
        <v>3</v>
      </c>
      <c r="I181" s="12">
        <f t="shared" si="0"/>
        <v>3</v>
      </c>
      <c r="J181" s="12">
        <f t="shared" si="0"/>
        <v>0</v>
      </c>
      <c r="K181" s="12">
        <f t="shared" si="0"/>
        <v>0</v>
      </c>
      <c r="L181" s="12">
        <f t="shared" si="0"/>
        <v>0</v>
      </c>
      <c r="M181" s="12">
        <f t="shared" si="0"/>
        <v>0</v>
      </c>
      <c r="N181" s="12">
        <f t="shared" si="0"/>
        <v>0</v>
      </c>
      <c r="O181" s="12">
        <f t="shared" si="0"/>
        <v>0</v>
      </c>
      <c r="P181" s="12">
        <f t="shared" si="0"/>
        <v>0</v>
      </c>
      <c r="Q181" s="12">
        <f t="shared" si="0"/>
        <v>0</v>
      </c>
    </row>
    <row r="182" spans="1:17">
      <c r="A182" s="9">
        <v>6</v>
      </c>
      <c r="B182" s="12">
        <f t="shared" si="0"/>
        <v>3</v>
      </c>
      <c r="C182" s="12">
        <f t="shared" si="0"/>
        <v>3</v>
      </c>
      <c r="D182" s="12">
        <f t="shared" si="0"/>
        <v>3</v>
      </c>
      <c r="E182" s="12">
        <f t="shared" si="0"/>
        <v>3</v>
      </c>
      <c r="F182" s="12">
        <f t="shared" si="0"/>
        <v>3</v>
      </c>
      <c r="G182" s="12" t="str">
        <f t="shared" si="0"/>
        <v/>
      </c>
      <c r="H182" s="12">
        <f t="shared" si="0"/>
        <v>3</v>
      </c>
      <c r="I182" s="12">
        <f t="shared" si="0"/>
        <v>3</v>
      </c>
      <c r="J182" s="12">
        <f t="shared" si="0"/>
        <v>0</v>
      </c>
      <c r="K182" s="12">
        <f t="shared" si="0"/>
        <v>0</v>
      </c>
      <c r="L182" s="12">
        <f t="shared" si="0"/>
        <v>0</v>
      </c>
      <c r="M182" s="12">
        <f t="shared" si="0"/>
        <v>0</v>
      </c>
      <c r="N182" s="12">
        <f t="shared" si="0"/>
        <v>0</v>
      </c>
      <c r="O182" s="12">
        <f t="shared" si="0"/>
        <v>0</v>
      </c>
      <c r="P182" s="12">
        <f t="shared" si="0"/>
        <v>0</v>
      </c>
      <c r="Q182" s="12">
        <f t="shared" si="0"/>
        <v>0</v>
      </c>
    </row>
    <row r="183" spans="1:17">
      <c r="A183" s="9">
        <v>7</v>
      </c>
      <c r="B183" s="12">
        <f t="shared" si="0"/>
        <v>3</v>
      </c>
      <c r="C183" s="12">
        <f t="shared" si="0"/>
        <v>3</v>
      </c>
      <c r="D183" s="12">
        <f t="shared" si="0"/>
        <v>3</v>
      </c>
      <c r="E183" s="12">
        <f t="shared" si="0"/>
        <v>3</v>
      </c>
      <c r="F183" s="12">
        <f t="shared" si="0"/>
        <v>3</v>
      </c>
      <c r="G183" s="12">
        <f t="shared" si="0"/>
        <v>3</v>
      </c>
      <c r="H183" s="12" t="str">
        <f t="shared" si="0"/>
        <v/>
      </c>
      <c r="I183" s="12">
        <f t="shared" si="0"/>
        <v>3</v>
      </c>
      <c r="J183" s="12">
        <f t="shared" si="0"/>
        <v>0</v>
      </c>
      <c r="K183" s="12">
        <f t="shared" si="0"/>
        <v>0</v>
      </c>
      <c r="L183" s="12">
        <f t="shared" si="0"/>
        <v>0</v>
      </c>
      <c r="M183" s="12">
        <f t="shared" si="0"/>
        <v>0</v>
      </c>
      <c r="N183" s="12">
        <f t="shared" si="0"/>
        <v>0</v>
      </c>
      <c r="O183" s="12">
        <f t="shared" si="0"/>
        <v>0</v>
      </c>
      <c r="P183" s="12">
        <f t="shared" si="0"/>
        <v>0</v>
      </c>
      <c r="Q183" s="12">
        <f t="shared" si="0"/>
        <v>0</v>
      </c>
    </row>
    <row r="184" spans="1:17">
      <c r="A184" s="9">
        <v>8</v>
      </c>
      <c r="B184" s="12">
        <f t="shared" si="0"/>
        <v>3</v>
      </c>
      <c r="C184" s="12">
        <f t="shared" si="0"/>
        <v>3</v>
      </c>
      <c r="D184" s="12">
        <f t="shared" si="0"/>
        <v>3</v>
      </c>
      <c r="E184" s="12">
        <f t="shared" si="0"/>
        <v>3</v>
      </c>
      <c r="F184" s="12">
        <f t="shared" si="0"/>
        <v>3</v>
      </c>
      <c r="G184" s="12">
        <f t="shared" si="0"/>
        <v>3</v>
      </c>
      <c r="H184" s="12">
        <f t="shared" si="0"/>
        <v>3</v>
      </c>
      <c r="I184" s="12" t="str">
        <f t="shared" si="0"/>
        <v/>
      </c>
      <c r="J184" s="12">
        <f t="shared" si="0"/>
        <v>0</v>
      </c>
      <c r="K184" s="12">
        <f t="shared" si="0"/>
        <v>0</v>
      </c>
      <c r="L184" s="12">
        <f t="shared" si="0"/>
        <v>0</v>
      </c>
      <c r="M184" s="12">
        <f t="shared" si="0"/>
        <v>0</v>
      </c>
      <c r="N184" s="12">
        <f t="shared" si="0"/>
        <v>0</v>
      </c>
      <c r="O184" s="12">
        <f t="shared" si="0"/>
        <v>0</v>
      </c>
      <c r="P184" s="12">
        <f t="shared" si="0"/>
        <v>0</v>
      </c>
      <c r="Q184" s="12">
        <f t="shared" si="0"/>
        <v>0</v>
      </c>
    </row>
    <row r="185" spans="1:17">
      <c r="A185" s="9">
        <v>9</v>
      </c>
      <c r="B185" s="12">
        <f t="shared" si="0"/>
        <v>0</v>
      </c>
      <c r="C185" s="12">
        <f t="shared" si="0"/>
        <v>0</v>
      </c>
      <c r="D185" s="12">
        <f t="shared" si="0"/>
        <v>0</v>
      </c>
      <c r="E185" s="12">
        <f t="shared" si="0"/>
        <v>0</v>
      </c>
      <c r="F185" s="12">
        <f t="shared" si="0"/>
        <v>0</v>
      </c>
      <c r="G185" s="12">
        <f t="shared" si="0"/>
        <v>0</v>
      </c>
      <c r="H185" s="12">
        <f t="shared" si="0"/>
        <v>0</v>
      </c>
      <c r="I185" s="12">
        <f t="shared" si="0"/>
        <v>0</v>
      </c>
      <c r="J185" s="12" t="str">
        <f t="shared" si="0"/>
        <v/>
      </c>
      <c r="K185" s="12">
        <f t="shared" si="0"/>
        <v>3</v>
      </c>
      <c r="L185" s="12">
        <f t="shared" si="0"/>
        <v>3</v>
      </c>
      <c r="M185" s="12">
        <f t="shared" si="0"/>
        <v>3</v>
      </c>
      <c r="N185" s="12">
        <f t="shared" si="0"/>
        <v>3</v>
      </c>
      <c r="O185" s="12">
        <f t="shared" si="0"/>
        <v>3</v>
      </c>
      <c r="P185" s="12">
        <f t="shared" si="0"/>
        <v>3</v>
      </c>
      <c r="Q185" s="12">
        <f t="shared" si="0"/>
        <v>3</v>
      </c>
    </row>
    <row r="186" spans="1:17">
      <c r="A186" s="9">
        <v>10</v>
      </c>
      <c r="B186" s="12">
        <f t="shared" si="0"/>
        <v>0</v>
      </c>
      <c r="C186" s="12">
        <f t="shared" si="0"/>
        <v>0</v>
      </c>
      <c r="D186" s="12">
        <f t="shared" si="0"/>
        <v>0</v>
      </c>
      <c r="E186" s="12">
        <f t="shared" si="0"/>
        <v>0</v>
      </c>
      <c r="F186" s="12">
        <f t="shared" si="0"/>
        <v>0</v>
      </c>
      <c r="G186" s="12">
        <f t="shared" si="0"/>
        <v>0</v>
      </c>
      <c r="H186" s="12">
        <f t="shared" si="0"/>
        <v>0</v>
      </c>
      <c r="I186" s="12">
        <f t="shared" si="0"/>
        <v>0</v>
      </c>
      <c r="J186" s="12">
        <f t="shared" si="0"/>
        <v>3</v>
      </c>
      <c r="K186" s="12" t="str">
        <f t="shared" si="0"/>
        <v/>
      </c>
      <c r="L186" s="12">
        <f t="shared" si="0"/>
        <v>3</v>
      </c>
      <c r="M186" s="12">
        <f t="shared" si="0"/>
        <v>3</v>
      </c>
      <c r="N186" s="12">
        <f t="shared" si="0"/>
        <v>3</v>
      </c>
      <c r="O186" s="12">
        <f t="shared" si="0"/>
        <v>3</v>
      </c>
      <c r="P186" s="12">
        <f t="shared" si="0"/>
        <v>3</v>
      </c>
      <c r="Q186" s="12">
        <f t="shared" si="0"/>
        <v>3</v>
      </c>
    </row>
    <row r="187" spans="1:17">
      <c r="A187" s="9">
        <v>11</v>
      </c>
      <c r="B187" s="12">
        <f t="shared" ref="B187:Q192" si="1">IF($A187=B$176,"",COUNTIF($E$4:$E$172,$A187&amp;" ضد "&amp;B$176)+COUNTIF($E$4:$E$172,B$176&amp;" ضد "&amp;$A187))</f>
        <v>0</v>
      </c>
      <c r="C187" s="12">
        <f t="shared" si="1"/>
        <v>0</v>
      </c>
      <c r="D187" s="12">
        <f t="shared" si="1"/>
        <v>0</v>
      </c>
      <c r="E187" s="12">
        <f t="shared" si="1"/>
        <v>0</v>
      </c>
      <c r="F187" s="12">
        <f t="shared" si="1"/>
        <v>0</v>
      </c>
      <c r="G187" s="12">
        <f t="shared" si="1"/>
        <v>0</v>
      </c>
      <c r="H187" s="12">
        <f t="shared" si="1"/>
        <v>0</v>
      </c>
      <c r="I187" s="12">
        <f t="shared" si="1"/>
        <v>0</v>
      </c>
      <c r="J187" s="12">
        <f t="shared" si="1"/>
        <v>3</v>
      </c>
      <c r="K187" s="12">
        <f t="shared" si="1"/>
        <v>3</v>
      </c>
      <c r="L187" s="12" t="str">
        <f t="shared" si="1"/>
        <v/>
      </c>
      <c r="M187" s="12">
        <f t="shared" si="1"/>
        <v>3</v>
      </c>
      <c r="N187" s="12">
        <f t="shared" si="1"/>
        <v>3</v>
      </c>
      <c r="O187" s="12">
        <f t="shared" si="1"/>
        <v>3</v>
      </c>
      <c r="P187" s="12">
        <f t="shared" si="1"/>
        <v>3</v>
      </c>
      <c r="Q187" s="12">
        <f t="shared" si="1"/>
        <v>3</v>
      </c>
    </row>
    <row r="188" spans="1:17">
      <c r="A188" s="9">
        <v>12</v>
      </c>
      <c r="B188" s="12">
        <f t="shared" si="1"/>
        <v>0</v>
      </c>
      <c r="C188" s="12">
        <f t="shared" si="1"/>
        <v>0</v>
      </c>
      <c r="D188" s="12">
        <f t="shared" si="1"/>
        <v>0</v>
      </c>
      <c r="E188" s="12">
        <f t="shared" si="1"/>
        <v>0</v>
      </c>
      <c r="F188" s="12">
        <f t="shared" si="1"/>
        <v>0</v>
      </c>
      <c r="G188" s="12">
        <f t="shared" si="1"/>
        <v>0</v>
      </c>
      <c r="H188" s="12">
        <f t="shared" si="1"/>
        <v>0</v>
      </c>
      <c r="I188" s="12">
        <f t="shared" si="1"/>
        <v>0</v>
      </c>
      <c r="J188" s="12">
        <f t="shared" si="1"/>
        <v>3</v>
      </c>
      <c r="K188" s="12">
        <f t="shared" si="1"/>
        <v>3</v>
      </c>
      <c r="L188" s="12">
        <f t="shared" si="1"/>
        <v>3</v>
      </c>
      <c r="M188" s="12" t="str">
        <f t="shared" si="1"/>
        <v/>
      </c>
      <c r="N188" s="12">
        <f t="shared" si="1"/>
        <v>3</v>
      </c>
      <c r="O188" s="12">
        <f t="shared" si="1"/>
        <v>3</v>
      </c>
      <c r="P188" s="12">
        <f t="shared" si="1"/>
        <v>3</v>
      </c>
      <c r="Q188" s="12">
        <f t="shared" si="1"/>
        <v>3</v>
      </c>
    </row>
    <row r="189" spans="1:17">
      <c r="A189" s="9">
        <v>13</v>
      </c>
      <c r="B189" s="12">
        <f t="shared" si="1"/>
        <v>0</v>
      </c>
      <c r="C189" s="12">
        <f t="shared" si="1"/>
        <v>0</v>
      </c>
      <c r="D189" s="12">
        <f t="shared" si="1"/>
        <v>0</v>
      </c>
      <c r="E189" s="12">
        <f t="shared" si="1"/>
        <v>0</v>
      </c>
      <c r="F189" s="12">
        <f t="shared" si="1"/>
        <v>0</v>
      </c>
      <c r="G189" s="12">
        <f t="shared" si="1"/>
        <v>0</v>
      </c>
      <c r="H189" s="12">
        <f t="shared" si="1"/>
        <v>0</v>
      </c>
      <c r="I189" s="12">
        <f t="shared" si="1"/>
        <v>0</v>
      </c>
      <c r="J189" s="12">
        <f t="shared" si="1"/>
        <v>3</v>
      </c>
      <c r="K189" s="12">
        <f t="shared" si="1"/>
        <v>3</v>
      </c>
      <c r="L189" s="12">
        <f t="shared" si="1"/>
        <v>3</v>
      </c>
      <c r="M189" s="12">
        <f t="shared" si="1"/>
        <v>3</v>
      </c>
      <c r="N189" s="12" t="str">
        <f t="shared" si="1"/>
        <v/>
      </c>
      <c r="O189" s="12">
        <f t="shared" si="1"/>
        <v>3</v>
      </c>
      <c r="P189" s="12">
        <f t="shared" si="1"/>
        <v>3</v>
      </c>
      <c r="Q189" s="12">
        <f t="shared" si="1"/>
        <v>3</v>
      </c>
    </row>
    <row r="190" spans="1:17">
      <c r="A190" s="9">
        <v>14</v>
      </c>
      <c r="B190" s="12">
        <f t="shared" si="1"/>
        <v>0</v>
      </c>
      <c r="C190" s="12">
        <f t="shared" si="1"/>
        <v>0</v>
      </c>
      <c r="D190" s="12">
        <f t="shared" si="1"/>
        <v>0</v>
      </c>
      <c r="E190" s="12">
        <f t="shared" si="1"/>
        <v>0</v>
      </c>
      <c r="F190" s="12">
        <f t="shared" si="1"/>
        <v>0</v>
      </c>
      <c r="G190" s="12">
        <f t="shared" si="1"/>
        <v>0</v>
      </c>
      <c r="H190" s="12">
        <f t="shared" si="1"/>
        <v>0</v>
      </c>
      <c r="I190" s="12">
        <f t="shared" si="1"/>
        <v>0</v>
      </c>
      <c r="J190" s="12">
        <f t="shared" si="1"/>
        <v>3</v>
      </c>
      <c r="K190" s="12">
        <f t="shared" si="1"/>
        <v>3</v>
      </c>
      <c r="L190" s="12">
        <f t="shared" si="1"/>
        <v>3</v>
      </c>
      <c r="M190" s="12">
        <f t="shared" si="1"/>
        <v>3</v>
      </c>
      <c r="N190" s="12">
        <f t="shared" si="1"/>
        <v>3</v>
      </c>
      <c r="O190" s="12" t="str">
        <f t="shared" si="1"/>
        <v/>
      </c>
      <c r="P190" s="12">
        <f t="shared" si="1"/>
        <v>3</v>
      </c>
      <c r="Q190" s="12">
        <f t="shared" si="1"/>
        <v>3</v>
      </c>
    </row>
    <row r="191" spans="1:17">
      <c r="A191" s="9">
        <v>15</v>
      </c>
      <c r="B191" s="12">
        <f t="shared" si="1"/>
        <v>0</v>
      </c>
      <c r="C191" s="12">
        <f t="shared" si="1"/>
        <v>0</v>
      </c>
      <c r="D191" s="12">
        <f t="shared" si="1"/>
        <v>0</v>
      </c>
      <c r="E191" s="12">
        <f t="shared" si="1"/>
        <v>0</v>
      </c>
      <c r="F191" s="12">
        <f t="shared" si="1"/>
        <v>0</v>
      </c>
      <c r="G191" s="12">
        <f t="shared" si="1"/>
        <v>0</v>
      </c>
      <c r="H191" s="12">
        <f t="shared" si="1"/>
        <v>0</v>
      </c>
      <c r="I191" s="12">
        <f t="shared" si="1"/>
        <v>0</v>
      </c>
      <c r="J191" s="12">
        <f t="shared" si="1"/>
        <v>3</v>
      </c>
      <c r="K191" s="12">
        <f t="shared" si="1"/>
        <v>3</v>
      </c>
      <c r="L191" s="12">
        <f t="shared" si="1"/>
        <v>3</v>
      </c>
      <c r="M191" s="12">
        <f t="shared" si="1"/>
        <v>3</v>
      </c>
      <c r="N191" s="12">
        <f t="shared" si="1"/>
        <v>3</v>
      </c>
      <c r="O191" s="12">
        <f t="shared" si="1"/>
        <v>3</v>
      </c>
      <c r="P191" s="12" t="str">
        <f t="shared" si="1"/>
        <v/>
      </c>
      <c r="Q191" s="12">
        <f t="shared" si="1"/>
        <v>3</v>
      </c>
    </row>
    <row r="192" spans="1:17">
      <c r="A192" s="9">
        <v>16</v>
      </c>
      <c r="B192" s="12">
        <f t="shared" si="1"/>
        <v>0</v>
      </c>
      <c r="C192" s="12">
        <f t="shared" si="1"/>
        <v>0</v>
      </c>
      <c r="D192" s="12">
        <f t="shared" si="1"/>
        <v>0</v>
      </c>
      <c r="E192" s="12">
        <f t="shared" si="1"/>
        <v>0</v>
      </c>
      <c r="F192" s="12">
        <f t="shared" si="1"/>
        <v>0</v>
      </c>
      <c r="G192" s="12">
        <f t="shared" si="1"/>
        <v>0</v>
      </c>
      <c r="H192" s="12">
        <f t="shared" si="1"/>
        <v>0</v>
      </c>
      <c r="I192" s="12">
        <f t="shared" si="1"/>
        <v>0</v>
      </c>
      <c r="J192" s="12">
        <f t="shared" si="1"/>
        <v>3</v>
      </c>
      <c r="K192" s="12">
        <f t="shared" si="1"/>
        <v>3</v>
      </c>
      <c r="L192" s="12">
        <f t="shared" si="1"/>
        <v>3</v>
      </c>
      <c r="M192" s="12">
        <f t="shared" si="1"/>
        <v>3</v>
      </c>
      <c r="N192" s="12">
        <f t="shared" si="1"/>
        <v>3</v>
      </c>
      <c r="O192" s="12">
        <f t="shared" si="1"/>
        <v>3</v>
      </c>
      <c r="P192" s="12">
        <f t="shared" si="1"/>
        <v>3</v>
      </c>
      <c r="Q192" s="12" t="str">
        <f t="shared" si="1"/>
        <v/>
      </c>
    </row>
    <row r="193" spans="1:7">
      <c r="A193" s="17" t="s">
        <v>434</v>
      </c>
      <c r="B193" s="14">
        <f>_xlfn.MINIFS(B177:Q192,B177:Q192,"&gt;0")</f>
        <v>3</v>
      </c>
      <c r="C193" s="5"/>
      <c r="D193" s="5"/>
      <c r="E193" s="5"/>
      <c r="F193" s="5"/>
      <c r="G193" s="5"/>
    </row>
    <row r="194" spans="1:7">
      <c r="A194" s="17" t="s">
        <v>435</v>
      </c>
      <c r="B194" s="14">
        <f>MAX(B177:Q192)</f>
        <v>3</v>
      </c>
      <c r="C194" s="5"/>
      <c r="D194" s="5"/>
      <c r="E194" s="5"/>
      <c r="F194" s="5"/>
      <c r="G194" s="5"/>
    </row>
    <row r="195" spans="1:7">
      <c r="A195" s="5"/>
      <c r="B195" s="5"/>
      <c r="C195" s="5"/>
      <c r="D195" s="5"/>
      <c r="E195" s="5"/>
      <c r="F195" s="5"/>
      <c r="G195" s="5"/>
    </row>
    <row r="196" spans="1:7">
      <c r="A196" s="5"/>
      <c r="B196" s="5"/>
      <c r="C196" s="5"/>
      <c r="D196" s="5"/>
      <c r="E196" s="5"/>
      <c r="F196" s="5"/>
      <c r="G196" s="5"/>
    </row>
    <row r="197" spans="1:7">
      <c r="A197" s="5"/>
      <c r="B197" s="5"/>
      <c r="C197" s="5"/>
      <c r="D197" s="5"/>
      <c r="E197" s="5"/>
      <c r="F197" s="5"/>
      <c r="G197" s="5"/>
    </row>
    <row r="198" spans="1:7">
      <c r="A198" s="5"/>
      <c r="B198" s="5"/>
      <c r="C198" s="5"/>
      <c r="D198" s="5"/>
      <c r="E198" s="5"/>
      <c r="F198" s="5"/>
      <c r="G198" s="5"/>
    </row>
    <row r="199" spans="1:7">
      <c r="A199" s="5"/>
      <c r="B199" s="5"/>
      <c r="C199" s="5"/>
      <c r="D199" s="5"/>
      <c r="E199" s="5"/>
      <c r="F199" s="5"/>
      <c r="G199" s="5"/>
    </row>
    <row r="200" spans="1:7">
      <c r="A200" s="5"/>
      <c r="B200" s="5"/>
      <c r="C200" s="5"/>
      <c r="D200" s="5"/>
      <c r="E200" s="5"/>
      <c r="F200" s="5"/>
      <c r="G200" s="5"/>
    </row>
    <row r="201" spans="1:7">
      <c r="A201" s="5"/>
      <c r="B201" s="5"/>
      <c r="C201" s="5"/>
      <c r="D201" s="5"/>
      <c r="E201" s="5"/>
      <c r="F201" s="5"/>
      <c r="G201" s="5"/>
    </row>
    <row r="202" spans="1:7">
      <c r="A202" s="5"/>
      <c r="B202" s="5"/>
      <c r="C202" s="5"/>
      <c r="D202" s="5"/>
      <c r="E202" s="5"/>
      <c r="F202" s="5"/>
      <c r="G202" s="5"/>
    </row>
    <row r="203" spans="1:7">
      <c r="A203" s="5"/>
      <c r="B203" s="5"/>
      <c r="C203" s="5"/>
      <c r="D203" s="5"/>
      <c r="E203" s="5"/>
      <c r="F203" s="5"/>
      <c r="G203" s="5"/>
    </row>
    <row r="204" spans="1:7">
      <c r="A204" s="5"/>
      <c r="B204" s="5"/>
      <c r="C204" s="5"/>
      <c r="D204" s="5"/>
      <c r="E204" s="5"/>
      <c r="F204" s="5"/>
      <c r="G204" s="5"/>
    </row>
    <row r="205" spans="1:7">
      <c r="A205" s="5"/>
      <c r="B205" s="5"/>
      <c r="C205" s="5"/>
      <c r="D205" s="5"/>
      <c r="E205" s="5"/>
      <c r="F205" s="5"/>
      <c r="G205" s="5"/>
    </row>
    <row r="206" spans="1:7">
      <c r="A206" s="5"/>
      <c r="B206" s="5"/>
      <c r="C206" s="5"/>
      <c r="D206" s="5"/>
      <c r="E206" s="5"/>
      <c r="F206" s="5"/>
      <c r="G206" s="5"/>
    </row>
    <row r="207" spans="1:7">
      <c r="A207" s="5"/>
      <c r="B207" s="5"/>
      <c r="C207" s="5"/>
      <c r="D207" s="5"/>
      <c r="E207" s="5"/>
      <c r="F207" s="5"/>
      <c r="G207" s="5"/>
    </row>
    <row r="208" spans="1:7">
      <c r="A208" s="5"/>
      <c r="B208" s="5"/>
      <c r="C208" s="5"/>
      <c r="D208" s="5"/>
      <c r="E208" s="5"/>
      <c r="F208" s="5"/>
      <c r="G208" s="5"/>
    </row>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175:Q17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7451-3D20-4FC8-8189-09F8D0360F75}">
  <dimension ref="A1:S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12.90625" style="15" bestFit="1" customWidth="1"/>
    <col min="5" max="5" width="17.0898437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44.36328125" style="5" bestFit="1" customWidth="1"/>
    <col min="13" max="13" width="10.1796875" style="5" bestFit="1" customWidth="1"/>
    <col min="14" max="14" width="8.7265625" style="5"/>
    <col min="15" max="15" width="39.6328125" style="5" bestFit="1" customWidth="1"/>
    <col min="16" max="16" width="10.1796875" style="5" bestFit="1" customWidth="1"/>
    <col min="17" max="16384" width="8.7265625" style="5"/>
  </cols>
  <sheetData>
    <row r="1" spans="1:16" ht="18.5">
      <c r="A1" s="49" t="s">
        <v>443</v>
      </c>
      <c r="B1" s="49"/>
      <c r="C1" s="49"/>
      <c r="D1" s="49"/>
      <c r="E1" s="49"/>
      <c r="F1" s="49"/>
      <c r="G1" s="49"/>
      <c r="H1" s="4"/>
      <c r="I1" s="4"/>
      <c r="J1" s="4"/>
      <c r="K1" s="4"/>
      <c r="L1" s="4"/>
      <c r="M1" s="4"/>
      <c r="N1" s="4"/>
      <c r="O1" s="4"/>
      <c r="P1" s="4"/>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16" t="s">
        <v>173</v>
      </c>
    </row>
    <row r="4" spans="1:16">
      <c r="A4" s="11">
        <v>1</v>
      </c>
      <c r="B4" s="12" t="str">
        <f>المدخلات!$F$4</f>
        <v>4:00–5:30 م</v>
      </c>
      <c r="C4" s="12">
        <v>1</v>
      </c>
      <c r="D4" s="12" t="s">
        <v>17</v>
      </c>
      <c r="E4" s="12" t="s">
        <v>18</v>
      </c>
      <c r="F4" s="7"/>
      <c r="G4" s="5"/>
    </row>
    <row r="5" spans="1:16">
      <c r="A5" s="11">
        <v>1</v>
      </c>
      <c r="B5" s="12" t="str">
        <f>المدخلات!$F$4</f>
        <v>4:00–5:30 م</v>
      </c>
      <c r="C5" s="12">
        <v>2</v>
      </c>
      <c r="D5" s="12" t="s">
        <v>17</v>
      </c>
      <c r="E5" s="12" t="s">
        <v>19</v>
      </c>
      <c r="F5" s="7"/>
      <c r="G5" s="5"/>
    </row>
    <row r="6" spans="1:16">
      <c r="A6" s="11">
        <v>1</v>
      </c>
      <c r="B6" s="12" t="str">
        <f>المدخلات!$F$4</f>
        <v>4:00–5:30 م</v>
      </c>
      <c r="C6" s="12">
        <v>3</v>
      </c>
      <c r="D6" s="12" t="s">
        <v>17</v>
      </c>
      <c r="E6" s="12" t="s">
        <v>20</v>
      </c>
      <c r="F6" s="7"/>
      <c r="G6" s="5"/>
    </row>
    <row r="7" spans="1:16">
      <c r="A7" s="11">
        <v>1</v>
      </c>
      <c r="B7" s="12" t="str">
        <f>المدخلات!$F$5</f>
        <v>5:40–7:10 م</v>
      </c>
      <c r="C7" s="12">
        <v>1</v>
      </c>
      <c r="D7" s="12" t="s">
        <v>89</v>
      </c>
      <c r="E7" s="12" t="s">
        <v>86</v>
      </c>
      <c r="F7" s="7"/>
      <c r="G7" s="5"/>
    </row>
    <row r="8" spans="1:16">
      <c r="A8" s="11">
        <v>1</v>
      </c>
      <c r="B8" s="12" t="str">
        <f>المدخلات!$F$5</f>
        <v>5:40–7:10 م</v>
      </c>
      <c r="C8" s="12">
        <v>2</v>
      </c>
      <c r="D8" s="12" t="s">
        <v>89</v>
      </c>
      <c r="E8" s="12" t="s">
        <v>75</v>
      </c>
      <c r="F8" s="7"/>
      <c r="G8" s="5"/>
    </row>
    <row r="9" spans="1:16">
      <c r="A9" s="11">
        <v>1</v>
      </c>
      <c r="B9" s="12" t="str">
        <f>المدخلات!$F$5</f>
        <v>5:40–7:10 م</v>
      </c>
      <c r="C9" s="12">
        <v>3</v>
      </c>
      <c r="D9" s="12" t="s">
        <v>89</v>
      </c>
      <c r="E9" s="12" t="s">
        <v>64</v>
      </c>
      <c r="F9" s="7"/>
      <c r="G9" s="5"/>
    </row>
    <row r="10" spans="1:16">
      <c r="A10" s="11">
        <v>1</v>
      </c>
      <c r="B10" s="12" t="str">
        <f>المدخلات!$F$6</f>
        <v>7:20–8:50 م</v>
      </c>
      <c r="C10" s="12">
        <v>1</v>
      </c>
      <c r="D10" s="12" t="s">
        <v>163</v>
      </c>
      <c r="E10" s="12" t="s">
        <v>164</v>
      </c>
      <c r="F10" s="7"/>
      <c r="G10" s="5"/>
    </row>
    <row r="11" spans="1:16">
      <c r="A11" s="11">
        <v>1</v>
      </c>
      <c r="B11" s="12" t="str">
        <f>المدخلات!$F$6</f>
        <v>7:20–8:50 م</v>
      </c>
      <c r="C11" s="12">
        <v>2</v>
      </c>
      <c r="D11" s="12" t="s">
        <v>163</v>
      </c>
      <c r="E11" s="12" t="s">
        <v>152</v>
      </c>
      <c r="F11" s="7"/>
      <c r="G11" s="5"/>
    </row>
    <row r="12" spans="1:16">
      <c r="A12" s="11">
        <v>1</v>
      </c>
      <c r="B12" s="12" t="str">
        <f>المدخلات!$F$6</f>
        <v>7:20–8:50 م</v>
      </c>
      <c r="C12" s="12">
        <v>3</v>
      </c>
      <c r="D12" s="12" t="s">
        <v>163</v>
      </c>
      <c r="E12" s="12" t="s">
        <v>114</v>
      </c>
      <c r="F12" s="7"/>
      <c r="G12" s="5"/>
    </row>
    <row r="13" spans="1:16">
      <c r="A13" s="11">
        <v>2</v>
      </c>
      <c r="B13" s="12" t="str">
        <f>المدخلات!$F$4</f>
        <v>4:00–5:30 م</v>
      </c>
      <c r="C13" s="12">
        <v>1</v>
      </c>
      <c r="D13" s="12" t="s">
        <v>163</v>
      </c>
      <c r="E13" s="12" t="s">
        <v>108</v>
      </c>
      <c r="F13" s="7"/>
      <c r="G13" s="5"/>
    </row>
    <row r="14" spans="1:16">
      <c r="A14" s="11">
        <v>2</v>
      </c>
      <c r="B14" s="12" t="str">
        <f>المدخلات!$F$4</f>
        <v>4:00–5:30 م</v>
      </c>
      <c r="C14" s="12">
        <v>2</v>
      </c>
      <c r="D14" s="12" t="s">
        <v>163</v>
      </c>
      <c r="E14" s="12" t="s">
        <v>165</v>
      </c>
      <c r="F14" s="7"/>
      <c r="G14" s="5"/>
    </row>
    <row r="15" spans="1:16">
      <c r="A15" s="11">
        <v>2</v>
      </c>
      <c r="B15" s="12" t="str">
        <f>المدخلات!$F$4</f>
        <v>4:00–5:30 م</v>
      </c>
      <c r="C15" s="12">
        <v>3</v>
      </c>
      <c r="D15" s="12" t="s">
        <v>163</v>
      </c>
      <c r="E15" s="12" t="s">
        <v>130</v>
      </c>
      <c r="F15" s="7"/>
      <c r="G15" s="5"/>
    </row>
    <row r="16" spans="1:16">
      <c r="A16" s="11">
        <v>2</v>
      </c>
      <c r="B16" s="12" t="str">
        <f>المدخلات!$F$5</f>
        <v>5:40–7:10 م</v>
      </c>
      <c r="C16" s="12">
        <v>1</v>
      </c>
      <c r="D16" s="12" t="s">
        <v>17</v>
      </c>
      <c r="E16" s="12" t="s">
        <v>23</v>
      </c>
      <c r="F16" s="7"/>
      <c r="G16" s="5"/>
    </row>
    <row r="17" spans="1:7">
      <c r="A17" s="11">
        <v>2</v>
      </c>
      <c r="B17" s="12" t="str">
        <f>المدخلات!$F$5</f>
        <v>5:40–7:10 م</v>
      </c>
      <c r="C17" s="12">
        <v>2</v>
      </c>
      <c r="D17" s="12" t="s">
        <v>17</v>
      </c>
      <c r="E17" s="12" t="s">
        <v>22</v>
      </c>
      <c r="F17" s="7"/>
      <c r="G17" s="5"/>
    </row>
    <row r="18" spans="1:7">
      <c r="A18" s="11">
        <v>2</v>
      </c>
      <c r="B18" s="12" t="str">
        <f>المدخلات!$F$5</f>
        <v>5:40–7:10 م</v>
      </c>
      <c r="C18" s="12">
        <v>3</v>
      </c>
      <c r="D18" s="12" t="s">
        <v>17</v>
      </c>
      <c r="E18" s="12" t="s">
        <v>21</v>
      </c>
      <c r="F18" s="7"/>
      <c r="G18" s="5"/>
    </row>
    <row r="19" spans="1:7">
      <c r="A19" s="11">
        <v>2</v>
      </c>
      <c r="B19" s="12" t="str">
        <f>المدخلات!$F$6</f>
        <v>7:20–8:50 م</v>
      </c>
      <c r="C19" s="12">
        <v>1</v>
      </c>
      <c r="D19" s="12" t="s">
        <v>89</v>
      </c>
      <c r="E19" s="12" t="s">
        <v>56</v>
      </c>
      <c r="F19" s="7"/>
      <c r="G19" s="5"/>
    </row>
    <row r="20" spans="1:7">
      <c r="A20" s="11">
        <v>2</v>
      </c>
      <c r="B20" s="12" t="str">
        <f>المدخلات!$F$6</f>
        <v>7:20–8:50 م</v>
      </c>
      <c r="C20" s="12">
        <v>2</v>
      </c>
      <c r="D20" s="12" t="s">
        <v>89</v>
      </c>
      <c r="E20" s="12" t="s">
        <v>79</v>
      </c>
      <c r="F20" s="7"/>
      <c r="G20" s="5"/>
    </row>
    <row r="21" spans="1:7">
      <c r="A21" s="11">
        <v>2</v>
      </c>
      <c r="B21" s="12" t="str">
        <f>المدخلات!$F$6</f>
        <v>7:20–8:50 م</v>
      </c>
      <c r="C21" s="12">
        <v>3</v>
      </c>
      <c r="D21" s="12" t="s">
        <v>89</v>
      </c>
      <c r="E21" s="12" t="s">
        <v>71</v>
      </c>
      <c r="F21" s="7"/>
      <c r="G21" s="5"/>
    </row>
    <row r="22" spans="1:7">
      <c r="A22" s="11">
        <v>3</v>
      </c>
      <c r="B22" s="12" t="str">
        <f>المدخلات!$F$4</f>
        <v>4:00–5:30 م</v>
      </c>
      <c r="C22" s="12">
        <v>1</v>
      </c>
      <c r="D22" s="12" t="s">
        <v>89</v>
      </c>
      <c r="E22" s="12" t="s">
        <v>65</v>
      </c>
      <c r="F22" s="7"/>
      <c r="G22" s="5"/>
    </row>
    <row r="23" spans="1:7">
      <c r="A23" s="11">
        <v>3</v>
      </c>
      <c r="B23" s="12" t="str">
        <f>المدخلات!$F$4</f>
        <v>4:00–5:30 م</v>
      </c>
      <c r="C23" s="12">
        <v>2</v>
      </c>
      <c r="D23" s="12" t="s">
        <v>89</v>
      </c>
      <c r="E23" s="12" t="s">
        <v>70</v>
      </c>
      <c r="F23" s="7"/>
      <c r="G23" s="5"/>
    </row>
    <row r="24" spans="1:7">
      <c r="A24" s="11">
        <v>3</v>
      </c>
      <c r="B24" s="12" t="str">
        <f>المدخلات!$F$4</f>
        <v>4:00–5:30 م</v>
      </c>
      <c r="C24" s="12">
        <v>3</v>
      </c>
      <c r="D24" s="12" t="s">
        <v>89</v>
      </c>
      <c r="E24" s="12" t="s">
        <v>80</v>
      </c>
      <c r="F24" s="7"/>
      <c r="G24" s="5"/>
    </row>
    <row r="25" spans="1:7">
      <c r="A25" s="11">
        <v>3</v>
      </c>
      <c r="B25" s="12" t="str">
        <f>المدخلات!$F$5</f>
        <v>5:40–7:10 م</v>
      </c>
      <c r="C25" s="12">
        <v>1</v>
      </c>
      <c r="D25" s="12" t="s">
        <v>163</v>
      </c>
      <c r="E25" s="12" t="s">
        <v>115</v>
      </c>
      <c r="F25" s="7"/>
      <c r="G25" s="5"/>
    </row>
    <row r="26" spans="1:7">
      <c r="A26" s="11">
        <v>3</v>
      </c>
      <c r="B26" s="12" t="str">
        <f>المدخلات!$F$5</f>
        <v>5:40–7:10 م</v>
      </c>
      <c r="C26" s="12">
        <v>2</v>
      </c>
      <c r="D26" s="12" t="s">
        <v>163</v>
      </c>
      <c r="E26" s="12" t="s">
        <v>127</v>
      </c>
      <c r="F26" s="7"/>
      <c r="G26" s="5"/>
    </row>
    <row r="27" spans="1:7">
      <c r="A27" s="11">
        <v>3</v>
      </c>
      <c r="B27" s="12" t="str">
        <f>المدخلات!$F$5</f>
        <v>5:40–7:10 م</v>
      </c>
      <c r="C27" s="12">
        <v>3</v>
      </c>
      <c r="D27" s="12" t="s">
        <v>163</v>
      </c>
      <c r="E27" s="12" t="s">
        <v>166</v>
      </c>
      <c r="F27" s="7"/>
      <c r="G27" s="5"/>
    </row>
    <row r="28" spans="1:7">
      <c r="A28" s="11">
        <v>3</v>
      </c>
      <c r="B28" s="12" t="str">
        <f>المدخلات!$F$6</f>
        <v>7:20–8:50 م</v>
      </c>
      <c r="C28" s="12">
        <v>1</v>
      </c>
      <c r="D28" s="12" t="s">
        <v>17</v>
      </c>
      <c r="E28" s="12" t="s">
        <v>24</v>
      </c>
      <c r="F28" s="7"/>
      <c r="G28" s="5"/>
    </row>
    <row r="29" spans="1:7">
      <c r="A29" s="11">
        <v>3</v>
      </c>
      <c r="B29" s="12" t="str">
        <f>المدخلات!$F$6</f>
        <v>7:20–8:50 م</v>
      </c>
      <c r="C29" s="12">
        <v>2</v>
      </c>
      <c r="D29" s="12" t="s">
        <v>17</v>
      </c>
      <c r="E29" s="12" t="s">
        <v>25</v>
      </c>
      <c r="F29" s="7"/>
      <c r="G29" s="5"/>
    </row>
    <row r="30" spans="1:7">
      <c r="A30" s="11">
        <v>3</v>
      </c>
      <c r="B30" s="12" t="str">
        <f>المدخلات!$F$6</f>
        <v>7:20–8:50 م</v>
      </c>
      <c r="C30" s="12">
        <v>3</v>
      </c>
      <c r="D30" s="12" t="s">
        <v>17</v>
      </c>
      <c r="E30" s="12" t="s">
        <v>26</v>
      </c>
      <c r="F30" s="7"/>
      <c r="G30" s="5"/>
    </row>
    <row r="31" spans="1:7">
      <c r="A31" s="11">
        <v>4</v>
      </c>
      <c r="B31" s="12" t="str">
        <f>المدخلات!$F$4</f>
        <v>4:00–5:30 م</v>
      </c>
      <c r="C31" s="12">
        <v>1</v>
      </c>
      <c r="D31" s="12" t="s">
        <v>17</v>
      </c>
      <c r="E31" s="12" t="s">
        <v>29</v>
      </c>
      <c r="F31" s="7"/>
      <c r="G31" s="5"/>
    </row>
    <row r="32" spans="1:7">
      <c r="A32" s="11">
        <v>4</v>
      </c>
      <c r="B32" s="12" t="str">
        <f>المدخلات!$F$4</f>
        <v>4:00–5:30 م</v>
      </c>
      <c r="C32" s="12">
        <v>2</v>
      </c>
      <c r="D32" s="12" t="s">
        <v>17</v>
      </c>
      <c r="E32" s="12" t="s">
        <v>27</v>
      </c>
      <c r="F32" s="7"/>
      <c r="G32" s="5"/>
    </row>
    <row r="33" spans="1:7">
      <c r="A33" s="11">
        <v>4</v>
      </c>
      <c r="B33" s="12" t="str">
        <f>المدخلات!$F$4</f>
        <v>4:00–5:30 م</v>
      </c>
      <c r="C33" s="12">
        <v>3</v>
      </c>
      <c r="D33" s="12" t="s">
        <v>17</v>
      </c>
      <c r="E33" s="12" t="s">
        <v>28</v>
      </c>
      <c r="F33" s="7"/>
      <c r="G33" s="5"/>
    </row>
    <row r="34" spans="1:7">
      <c r="A34" s="11">
        <v>4</v>
      </c>
      <c r="B34" s="12" t="str">
        <f>المدخلات!$F$5</f>
        <v>5:40–7:10 م</v>
      </c>
      <c r="C34" s="12">
        <v>1</v>
      </c>
      <c r="D34" s="12" t="s">
        <v>89</v>
      </c>
      <c r="E34" s="12" t="s">
        <v>84</v>
      </c>
      <c r="F34" s="7"/>
      <c r="G34" s="5"/>
    </row>
    <row r="35" spans="1:7">
      <c r="A35" s="11">
        <v>4</v>
      </c>
      <c r="B35" s="12" t="str">
        <f>المدخلات!$F$5</f>
        <v>5:40–7:10 م</v>
      </c>
      <c r="C35" s="12">
        <v>2</v>
      </c>
      <c r="D35" s="12" t="s">
        <v>89</v>
      </c>
      <c r="E35" s="12" t="s">
        <v>53</v>
      </c>
      <c r="F35" s="7"/>
      <c r="G35" s="5"/>
    </row>
    <row r="36" spans="1:7">
      <c r="A36" s="11">
        <v>4</v>
      </c>
      <c r="B36" s="12" t="str">
        <f>المدخلات!$F$5</f>
        <v>5:40–7:10 م</v>
      </c>
      <c r="C36" s="12">
        <v>3</v>
      </c>
      <c r="D36" s="12" t="s">
        <v>89</v>
      </c>
      <c r="E36" s="12" t="s">
        <v>60</v>
      </c>
      <c r="F36" s="7"/>
      <c r="G36" s="5"/>
    </row>
    <row r="37" spans="1:7">
      <c r="A37" s="11">
        <v>4</v>
      </c>
      <c r="B37" s="12" t="str">
        <f>المدخلات!$F$6</f>
        <v>7:20–8:50 م</v>
      </c>
      <c r="C37" s="12">
        <v>1</v>
      </c>
      <c r="D37" s="12" t="s">
        <v>163</v>
      </c>
      <c r="E37" s="12" t="s">
        <v>167</v>
      </c>
      <c r="F37" s="7"/>
      <c r="G37" s="5"/>
    </row>
    <row r="38" spans="1:7">
      <c r="A38" s="11">
        <v>4</v>
      </c>
      <c r="B38" s="12" t="str">
        <f>المدخلات!$F$6</f>
        <v>7:20–8:50 م</v>
      </c>
      <c r="C38" s="12">
        <v>2</v>
      </c>
      <c r="D38" s="12" t="s">
        <v>163</v>
      </c>
      <c r="E38" s="12" t="s">
        <v>106</v>
      </c>
      <c r="F38" s="7"/>
      <c r="G38" s="5"/>
    </row>
    <row r="39" spans="1:7">
      <c r="A39" s="11">
        <v>4</v>
      </c>
      <c r="B39" s="12" t="str">
        <f>المدخلات!$F$6</f>
        <v>7:20–8:50 م</v>
      </c>
      <c r="C39" s="12">
        <v>3</v>
      </c>
      <c r="D39" s="12" t="s">
        <v>163</v>
      </c>
      <c r="E39" s="12" t="s">
        <v>111</v>
      </c>
      <c r="F39" s="7"/>
      <c r="G39" s="5"/>
    </row>
    <row r="40" spans="1:7">
      <c r="A40" s="11">
        <v>5</v>
      </c>
      <c r="B40" s="12" t="str">
        <f>المدخلات!$F$4</f>
        <v>4:00–5:30 م</v>
      </c>
      <c r="C40" s="12">
        <v>1</v>
      </c>
      <c r="D40" s="12" t="s">
        <v>163</v>
      </c>
      <c r="E40" s="12" t="s">
        <v>151</v>
      </c>
      <c r="F40" s="7"/>
      <c r="G40" s="5"/>
    </row>
    <row r="41" spans="1:7">
      <c r="A41" s="11">
        <v>5</v>
      </c>
      <c r="B41" s="12" t="str">
        <f>المدخلات!$F$4</f>
        <v>4:00–5:30 م</v>
      </c>
      <c r="C41" s="12">
        <v>2</v>
      </c>
      <c r="D41" s="12" t="s">
        <v>163</v>
      </c>
      <c r="E41" s="12" t="s">
        <v>102</v>
      </c>
      <c r="F41" s="7"/>
      <c r="G41" s="5"/>
    </row>
    <row r="42" spans="1:7">
      <c r="A42" s="11">
        <v>5</v>
      </c>
      <c r="B42" s="12" t="str">
        <f>المدخلات!$F$4</f>
        <v>4:00–5:30 م</v>
      </c>
      <c r="C42" s="12">
        <v>3</v>
      </c>
      <c r="D42" s="12" t="s">
        <v>163</v>
      </c>
      <c r="E42" s="12" t="s">
        <v>168</v>
      </c>
      <c r="F42" s="7"/>
      <c r="G42" s="5"/>
    </row>
    <row r="43" spans="1:7">
      <c r="A43" s="11">
        <v>5</v>
      </c>
      <c r="B43" s="12" t="str">
        <f>المدخلات!$F$5</f>
        <v>5:40–7:10 م</v>
      </c>
      <c r="C43" s="12">
        <v>1</v>
      </c>
      <c r="D43" s="12" t="s">
        <v>17</v>
      </c>
      <c r="E43" s="12" t="s">
        <v>32</v>
      </c>
      <c r="F43" s="7"/>
      <c r="G43" s="5"/>
    </row>
    <row r="44" spans="1:7">
      <c r="A44" s="11">
        <v>5</v>
      </c>
      <c r="B44" s="12" t="str">
        <f>المدخلات!$F$5</f>
        <v>5:40–7:10 م</v>
      </c>
      <c r="C44" s="12">
        <v>2</v>
      </c>
      <c r="D44" s="12" t="s">
        <v>17</v>
      </c>
      <c r="E44" s="12" t="s">
        <v>30</v>
      </c>
      <c r="F44" s="7"/>
      <c r="G44" s="5"/>
    </row>
    <row r="45" spans="1:7">
      <c r="A45" s="11">
        <v>5</v>
      </c>
      <c r="B45" s="12" t="str">
        <f>المدخلات!$F$5</f>
        <v>5:40–7:10 م</v>
      </c>
      <c r="C45" s="12">
        <v>3</v>
      </c>
      <c r="D45" s="12" t="s">
        <v>17</v>
      </c>
      <c r="E45" s="12" t="s">
        <v>31</v>
      </c>
      <c r="F45" s="7"/>
      <c r="G45" s="5"/>
    </row>
    <row r="46" spans="1:7">
      <c r="A46" s="11">
        <v>5</v>
      </c>
      <c r="B46" s="12" t="str">
        <f>المدخلات!$F$6</f>
        <v>7:20–8:50 م</v>
      </c>
      <c r="C46" s="12">
        <v>1</v>
      </c>
      <c r="D46" s="12" t="s">
        <v>89</v>
      </c>
      <c r="E46" s="12" t="s">
        <v>74</v>
      </c>
      <c r="F46" s="7"/>
      <c r="G46" s="5"/>
    </row>
    <row r="47" spans="1:7">
      <c r="A47" s="11">
        <v>5</v>
      </c>
      <c r="B47" s="12" t="str">
        <f>المدخلات!$F$6</f>
        <v>7:20–8:50 م</v>
      </c>
      <c r="C47" s="12">
        <v>2</v>
      </c>
      <c r="D47" s="12" t="s">
        <v>89</v>
      </c>
      <c r="E47" s="12" t="s">
        <v>48</v>
      </c>
      <c r="F47" s="7"/>
      <c r="G47" s="5"/>
    </row>
    <row r="48" spans="1:7">
      <c r="A48" s="11">
        <v>5</v>
      </c>
      <c r="B48" s="12" t="str">
        <f>المدخلات!$F$6</f>
        <v>7:20–8:50 م</v>
      </c>
      <c r="C48" s="12">
        <v>3</v>
      </c>
      <c r="D48" s="12" t="s">
        <v>89</v>
      </c>
      <c r="E48" s="12" t="s">
        <v>85</v>
      </c>
      <c r="F48" s="7"/>
      <c r="G48" s="5"/>
    </row>
    <row r="49" spans="1:7">
      <c r="A49" s="11">
        <v>6</v>
      </c>
      <c r="B49" s="12" t="str">
        <f>المدخلات!$F$4</f>
        <v>4:00–5:30 م</v>
      </c>
      <c r="C49" s="12">
        <v>1</v>
      </c>
      <c r="D49" s="12" t="s">
        <v>89</v>
      </c>
      <c r="E49" s="12" t="s">
        <v>48</v>
      </c>
      <c r="F49" s="7"/>
      <c r="G49" s="5"/>
    </row>
    <row r="50" spans="1:7">
      <c r="A50" s="11">
        <v>6</v>
      </c>
      <c r="B50" s="12" t="str">
        <f>المدخلات!$F$4</f>
        <v>4:00–5:30 م</v>
      </c>
      <c r="C50" s="12">
        <v>2</v>
      </c>
      <c r="D50" s="12" t="s">
        <v>89</v>
      </c>
      <c r="E50" s="12" t="s">
        <v>85</v>
      </c>
      <c r="F50" s="7"/>
      <c r="G50" s="5"/>
    </row>
    <row r="51" spans="1:7">
      <c r="A51" s="11">
        <v>6</v>
      </c>
      <c r="B51" s="12" t="str">
        <f>المدخلات!$F$4</f>
        <v>4:00–5:30 م</v>
      </c>
      <c r="C51" s="12">
        <v>3</v>
      </c>
      <c r="D51" s="12" t="s">
        <v>89</v>
      </c>
      <c r="E51" s="12" t="s">
        <v>74</v>
      </c>
      <c r="F51" s="7"/>
      <c r="G51" s="5"/>
    </row>
    <row r="52" spans="1:7">
      <c r="A52" s="11">
        <v>6</v>
      </c>
      <c r="B52" s="12" t="str">
        <f>المدخلات!$F$5</f>
        <v>5:40–7:10 م</v>
      </c>
      <c r="C52" s="12">
        <v>1</v>
      </c>
      <c r="D52" s="12" t="s">
        <v>163</v>
      </c>
      <c r="E52" s="12" t="s">
        <v>102</v>
      </c>
      <c r="F52" s="7"/>
      <c r="G52" s="5"/>
    </row>
    <row r="53" spans="1:7">
      <c r="A53" s="11">
        <v>6</v>
      </c>
      <c r="B53" s="12" t="str">
        <f>المدخلات!$F$5</f>
        <v>5:40–7:10 م</v>
      </c>
      <c r="C53" s="12">
        <v>2</v>
      </c>
      <c r="D53" s="12" t="s">
        <v>163</v>
      </c>
      <c r="E53" s="12" t="s">
        <v>168</v>
      </c>
      <c r="F53" s="7"/>
      <c r="G53" s="5"/>
    </row>
    <row r="54" spans="1:7">
      <c r="A54" s="11">
        <v>6</v>
      </c>
      <c r="B54" s="12" t="str">
        <f>المدخلات!$F$5</f>
        <v>5:40–7:10 م</v>
      </c>
      <c r="C54" s="12">
        <v>3</v>
      </c>
      <c r="D54" s="12" t="s">
        <v>163</v>
      </c>
      <c r="E54" s="12" t="s">
        <v>151</v>
      </c>
      <c r="F54" s="7"/>
      <c r="G54" s="5"/>
    </row>
    <row r="55" spans="1:7">
      <c r="A55" s="11">
        <v>6</v>
      </c>
      <c r="B55" s="12" t="str">
        <f>المدخلات!$F$6</f>
        <v>7:20–8:50 م</v>
      </c>
      <c r="C55" s="12">
        <v>1</v>
      </c>
      <c r="D55" s="12" t="s">
        <v>17</v>
      </c>
      <c r="E55" s="12" t="s">
        <v>30</v>
      </c>
      <c r="F55" s="7"/>
      <c r="G55" s="5"/>
    </row>
    <row r="56" spans="1:7">
      <c r="A56" s="11">
        <v>6</v>
      </c>
      <c r="B56" s="12" t="str">
        <f>المدخلات!$F$6</f>
        <v>7:20–8:50 م</v>
      </c>
      <c r="C56" s="12">
        <v>2</v>
      </c>
      <c r="D56" s="12" t="s">
        <v>17</v>
      </c>
      <c r="E56" s="12" t="s">
        <v>31</v>
      </c>
      <c r="F56" s="7"/>
      <c r="G56" s="5"/>
    </row>
    <row r="57" spans="1:7">
      <c r="A57" s="11">
        <v>6</v>
      </c>
      <c r="B57" s="12" t="str">
        <f>المدخلات!$F$6</f>
        <v>7:20–8:50 م</v>
      </c>
      <c r="C57" s="12">
        <v>3</v>
      </c>
      <c r="D57" s="12" t="s">
        <v>17</v>
      </c>
      <c r="E57" s="12" t="s">
        <v>32</v>
      </c>
      <c r="F57" s="7"/>
      <c r="G57" s="5"/>
    </row>
    <row r="58" spans="1:7">
      <c r="A58" s="11">
        <v>7</v>
      </c>
      <c r="B58" s="12" t="str">
        <f>المدخلات!$F$4</f>
        <v>4:00–5:30 م</v>
      </c>
      <c r="C58" s="12">
        <v>1</v>
      </c>
      <c r="D58" s="12" t="s">
        <v>17</v>
      </c>
      <c r="E58" s="12" t="s">
        <v>20</v>
      </c>
      <c r="F58" s="7"/>
      <c r="G58" s="5"/>
    </row>
    <row r="59" spans="1:7">
      <c r="A59" s="11">
        <v>7</v>
      </c>
      <c r="B59" s="12" t="str">
        <f>المدخلات!$F$4</f>
        <v>4:00–5:30 م</v>
      </c>
      <c r="C59" s="12">
        <v>2</v>
      </c>
      <c r="D59" s="12" t="s">
        <v>17</v>
      </c>
      <c r="E59" s="12" t="s">
        <v>19</v>
      </c>
      <c r="F59" s="7"/>
      <c r="G59" s="5"/>
    </row>
    <row r="60" spans="1:7">
      <c r="A60" s="11">
        <v>7</v>
      </c>
      <c r="B60" s="12" t="str">
        <f>المدخلات!$F$4</f>
        <v>4:00–5:30 م</v>
      </c>
      <c r="C60" s="12">
        <v>3</v>
      </c>
      <c r="D60" s="12" t="s">
        <v>17</v>
      </c>
      <c r="E60" s="12" t="s">
        <v>18</v>
      </c>
      <c r="F60" s="7"/>
      <c r="G60" s="5"/>
    </row>
    <row r="61" spans="1:7">
      <c r="A61" s="11">
        <v>7</v>
      </c>
      <c r="B61" s="12" t="str">
        <f>المدخلات!$F$5</f>
        <v>5:40–7:10 م</v>
      </c>
      <c r="C61" s="12">
        <v>1</v>
      </c>
      <c r="D61" s="12" t="s">
        <v>89</v>
      </c>
      <c r="E61" s="12" t="s">
        <v>64</v>
      </c>
      <c r="F61" s="7"/>
      <c r="G61" s="5"/>
    </row>
    <row r="62" spans="1:7">
      <c r="A62" s="11">
        <v>7</v>
      </c>
      <c r="B62" s="12" t="str">
        <f>المدخلات!$F$5</f>
        <v>5:40–7:10 م</v>
      </c>
      <c r="C62" s="12">
        <v>2</v>
      </c>
      <c r="D62" s="12" t="s">
        <v>89</v>
      </c>
      <c r="E62" s="12" t="s">
        <v>75</v>
      </c>
      <c r="F62" s="7"/>
      <c r="G62" s="5"/>
    </row>
    <row r="63" spans="1:7">
      <c r="A63" s="11">
        <v>7</v>
      </c>
      <c r="B63" s="12" t="str">
        <f>المدخلات!$F$5</f>
        <v>5:40–7:10 م</v>
      </c>
      <c r="C63" s="12">
        <v>3</v>
      </c>
      <c r="D63" s="12" t="s">
        <v>89</v>
      </c>
      <c r="E63" s="12" t="s">
        <v>86</v>
      </c>
      <c r="F63" s="7"/>
      <c r="G63" s="5"/>
    </row>
    <row r="64" spans="1:7">
      <c r="A64" s="11">
        <v>7</v>
      </c>
      <c r="B64" s="12" t="str">
        <f>المدخلات!$F$6</f>
        <v>7:20–8:50 م</v>
      </c>
      <c r="C64" s="12">
        <v>1</v>
      </c>
      <c r="D64" s="12" t="s">
        <v>163</v>
      </c>
      <c r="E64" s="12" t="s">
        <v>114</v>
      </c>
      <c r="F64" s="7"/>
      <c r="G64" s="5"/>
    </row>
    <row r="65" spans="1:7">
      <c r="A65" s="11">
        <v>7</v>
      </c>
      <c r="B65" s="12" t="str">
        <f>المدخلات!$F$6</f>
        <v>7:20–8:50 م</v>
      </c>
      <c r="C65" s="12">
        <v>2</v>
      </c>
      <c r="D65" s="12" t="s">
        <v>163</v>
      </c>
      <c r="E65" s="12" t="s">
        <v>152</v>
      </c>
      <c r="F65" s="7"/>
      <c r="G65" s="5"/>
    </row>
    <row r="66" spans="1:7">
      <c r="A66" s="11">
        <v>7</v>
      </c>
      <c r="B66" s="12" t="str">
        <f>المدخلات!$F$6</f>
        <v>7:20–8:50 م</v>
      </c>
      <c r="C66" s="12">
        <v>3</v>
      </c>
      <c r="D66" s="12" t="s">
        <v>163</v>
      </c>
      <c r="E66" s="12" t="s">
        <v>164</v>
      </c>
      <c r="F66" s="7"/>
      <c r="G66" s="5"/>
    </row>
    <row r="67" spans="1:7">
      <c r="A67" s="11">
        <v>8</v>
      </c>
      <c r="B67" s="12" t="str">
        <f>المدخلات!$F$4</f>
        <v>4:00–5:30 م</v>
      </c>
      <c r="C67" s="12">
        <v>1</v>
      </c>
      <c r="D67" s="12" t="s">
        <v>163</v>
      </c>
      <c r="E67" s="12" t="s">
        <v>108</v>
      </c>
      <c r="F67" s="7"/>
      <c r="G67" s="5"/>
    </row>
    <row r="68" spans="1:7">
      <c r="A68" s="11">
        <v>8</v>
      </c>
      <c r="B68" s="12" t="str">
        <f>المدخلات!$F$4</f>
        <v>4:00–5:30 م</v>
      </c>
      <c r="C68" s="12">
        <v>2</v>
      </c>
      <c r="D68" s="12" t="s">
        <v>163</v>
      </c>
      <c r="E68" s="12" t="s">
        <v>165</v>
      </c>
      <c r="F68" s="7"/>
      <c r="G68" s="5"/>
    </row>
    <row r="69" spans="1:7">
      <c r="A69" s="11">
        <v>8</v>
      </c>
      <c r="B69" s="12" t="str">
        <f>المدخلات!$F$4</f>
        <v>4:00–5:30 م</v>
      </c>
      <c r="C69" s="12">
        <v>3</v>
      </c>
      <c r="D69" s="12" t="s">
        <v>163</v>
      </c>
      <c r="E69" s="12" t="s">
        <v>130</v>
      </c>
      <c r="F69" s="7"/>
      <c r="G69" s="5"/>
    </row>
    <row r="70" spans="1:7">
      <c r="A70" s="11">
        <v>8</v>
      </c>
      <c r="B70" s="12" t="str">
        <f>المدخلات!$F$5</f>
        <v>5:40–7:10 م</v>
      </c>
      <c r="C70" s="12">
        <v>1</v>
      </c>
      <c r="D70" s="12" t="s">
        <v>17</v>
      </c>
      <c r="E70" s="12" t="s">
        <v>23</v>
      </c>
      <c r="F70" s="7"/>
      <c r="G70" s="5"/>
    </row>
    <row r="71" spans="1:7">
      <c r="A71" s="11">
        <v>8</v>
      </c>
      <c r="B71" s="12" t="str">
        <f>المدخلات!$F$5</f>
        <v>5:40–7:10 م</v>
      </c>
      <c r="C71" s="12">
        <v>2</v>
      </c>
      <c r="D71" s="12" t="s">
        <v>17</v>
      </c>
      <c r="E71" s="12" t="s">
        <v>22</v>
      </c>
      <c r="F71" s="7"/>
      <c r="G71" s="5"/>
    </row>
    <row r="72" spans="1:7">
      <c r="A72" s="11">
        <v>8</v>
      </c>
      <c r="B72" s="12" t="str">
        <f>المدخلات!$F$5</f>
        <v>5:40–7:10 م</v>
      </c>
      <c r="C72" s="12">
        <v>3</v>
      </c>
      <c r="D72" s="12" t="s">
        <v>17</v>
      </c>
      <c r="E72" s="12" t="s">
        <v>21</v>
      </c>
      <c r="F72" s="7"/>
      <c r="G72" s="5"/>
    </row>
    <row r="73" spans="1:7">
      <c r="A73" s="11">
        <v>8</v>
      </c>
      <c r="B73" s="12" t="str">
        <f>المدخلات!$F$6</f>
        <v>7:20–8:50 م</v>
      </c>
      <c r="C73" s="12">
        <v>1</v>
      </c>
      <c r="D73" s="12" t="s">
        <v>89</v>
      </c>
      <c r="E73" s="12" t="s">
        <v>56</v>
      </c>
      <c r="F73" s="7"/>
      <c r="G73" s="5"/>
    </row>
    <row r="74" spans="1:7">
      <c r="A74" s="11">
        <v>8</v>
      </c>
      <c r="B74" s="12" t="str">
        <f>المدخلات!$F$6</f>
        <v>7:20–8:50 م</v>
      </c>
      <c r="C74" s="12">
        <v>2</v>
      </c>
      <c r="D74" s="12" t="s">
        <v>89</v>
      </c>
      <c r="E74" s="12" t="s">
        <v>79</v>
      </c>
      <c r="F74" s="7"/>
      <c r="G74" s="5"/>
    </row>
    <row r="75" spans="1:7">
      <c r="A75" s="11">
        <v>8</v>
      </c>
      <c r="B75" s="12" t="str">
        <f>المدخلات!$F$6</f>
        <v>7:20–8:50 م</v>
      </c>
      <c r="C75" s="12">
        <v>3</v>
      </c>
      <c r="D75" s="12" t="s">
        <v>89</v>
      </c>
      <c r="E75" s="12" t="s">
        <v>71</v>
      </c>
      <c r="F75" s="7"/>
      <c r="G75" s="5"/>
    </row>
    <row r="76" spans="1:7">
      <c r="A76" s="11">
        <v>9</v>
      </c>
      <c r="B76" s="12" t="str">
        <f>المدخلات!$F$4</f>
        <v>4:00–5:30 م</v>
      </c>
      <c r="C76" s="12">
        <v>1</v>
      </c>
      <c r="D76" s="12" t="s">
        <v>89</v>
      </c>
      <c r="E76" s="12" t="s">
        <v>70</v>
      </c>
      <c r="F76" s="7"/>
      <c r="G76" s="5"/>
    </row>
    <row r="77" spans="1:7">
      <c r="A77" s="11">
        <v>9</v>
      </c>
      <c r="B77" s="12" t="str">
        <f>المدخلات!$F$4</f>
        <v>4:00–5:30 م</v>
      </c>
      <c r="C77" s="12">
        <v>2</v>
      </c>
      <c r="D77" s="12" t="s">
        <v>89</v>
      </c>
      <c r="E77" s="12" t="s">
        <v>65</v>
      </c>
      <c r="F77" s="7"/>
      <c r="G77" s="5"/>
    </row>
    <row r="78" spans="1:7">
      <c r="A78" s="11">
        <v>9</v>
      </c>
      <c r="B78" s="12" t="str">
        <f>المدخلات!$F$4</f>
        <v>4:00–5:30 م</v>
      </c>
      <c r="C78" s="12">
        <v>3</v>
      </c>
      <c r="D78" s="12" t="s">
        <v>89</v>
      </c>
      <c r="E78" s="12" t="s">
        <v>80</v>
      </c>
      <c r="F78" s="7"/>
      <c r="G78" s="5"/>
    </row>
    <row r="79" spans="1:7">
      <c r="A79" s="11">
        <v>9</v>
      </c>
      <c r="B79" s="12" t="str">
        <f>المدخلات!$F$5</f>
        <v>5:40–7:10 م</v>
      </c>
      <c r="C79" s="12">
        <v>1</v>
      </c>
      <c r="D79" s="12" t="s">
        <v>163</v>
      </c>
      <c r="E79" s="12" t="s">
        <v>127</v>
      </c>
      <c r="F79" s="7"/>
      <c r="G79" s="5"/>
    </row>
    <row r="80" spans="1:7">
      <c r="A80" s="11">
        <v>9</v>
      </c>
      <c r="B80" s="12" t="str">
        <f>المدخلات!$F$5</f>
        <v>5:40–7:10 م</v>
      </c>
      <c r="C80" s="12">
        <v>2</v>
      </c>
      <c r="D80" s="12" t="s">
        <v>163</v>
      </c>
      <c r="E80" s="12" t="s">
        <v>115</v>
      </c>
      <c r="F80" s="7"/>
      <c r="G80" s="5"/>
    </row>
    <row r="81" spans="1:7">
      <c r="A81" s="11">
        <v>9</v>
      </c>
      <c r="B81" s="12" t="str">
        <f>المدخلات!$F$5</f>
        <v>5:40–7:10 م</v>
      </c>
      <c r="C81" s="12">
        <v>3</v>
      </c>
      <c r="D81" s="12" t="s">
        <v>163</v>
      </c>
      <c r="E81" s="12" t="s">
        <v>166</v>
      </c>
      <c r="F81" s="7"/>
      <c r="G81" s="5"/>
    </row>
    <row r="82" spans="1:7">
      <c r="A82" s="11">
        <v>9</v>
      </c>
      <c r="B82" s="12" t="str">
        <f>المدخلات!$F$6</f>
        <v>7:20–8:50 م</v>
      </c>
      <c r="C82" s="12">
        <v>1</v>
      </c>
      <c r="D82" s="12" t="s">
        <v>17</v>
      </c>
      <c r="E82" s="12" t="s">
        <v>25</v>
      </c>
      <c r="F82" s="7"/>
      <c r="G82" s="5"/>
    </row>
    <row r="83" spans="1:7">
      <c r="A83" s="11">
        <v>9</v>
      </c>
      <c r="B83" s="12" t="str">
        <f>المدخلات!$F$6</f>
        <v>7:20–8:50 م</v>
      </c>
      <c r="C83" s="12">
        <v>2</v>
      </c>
      <c r="D83" s="12" t="s">
        <v>17</v>
      </c>
      <c r="E83" s="12" t="s">
        <v>24</v>
      </c>
      <c r="F83" s="7"/>
      <c r="G83" s="5"/>
    </row>
    <row r="84" spans="1:7">
      <c r="A84" s="11">
        <v>9</v>
      </c>
      <c r="B84" s="12" t="str">
        <f>المدخلات!$F$6</f>
        <v>7:20–8:50 م</v>
      </c>
      <c r="C84" s="12">
        <v>3</v>
      </c>
      <c r="D84" s="12" t="s">
        <v>17</v>
      </c>
      <c r="E84" s="12" t="s">
        <v>26</v>
      </c>
      <c r="F84" s="7"/>
      <c r="G84" s="5"/>
    </row>
    <row r="85" spans="1:7">
      <c r="A85" s="11">
        <v>10</v>
      </c>
      <c r="B85" s="12" t="str">
        <f>المدخلات!$F$4</f>
        <v>4:00–5:30 م</v>
      </c>
      <c r="C85" s="12">
        <v>1</v>
      </c>
      <c r="D85" s="12" t="s">
        <v>17</v>
      </c>
      <c r="E85" s="12" t="s">
        <v>29</v>
      </c>
      <c r="F85" s="7"/>
      <c r="G85" s="5"/>
    </row>
    <row r="86" spans="1:7">
      <c r="A86" s="11">
        <v>10</v>
      </c>
      <c r="B86" s="12" t="str">
        <f>المدخلات!$F$4</f>
        <v>4:00–5:30 م</v>
      </c>
      <c r="C86" s="12">
        <v>2</v>
      </c>
      <c r="D86" s="12" t="s">
        <v>17</v>
      </c>
      <c r="E86" s="12" t="s">
        <v>28</v>
      </c>
      <c r="F86" s="7"/>
      <c r="G86" s="5"/>
    </row>
    <row r="87" spans="1:7">
      <c r="A87" s="11">
        <v>10</v>
      </c>
      <c r="B87" s="12" t="str">
        <f>المدخلات!$F$4</f>
        <v>4:00–5:30 م</v>
      </c>
      <c r="C87" s="12">
        <v>3</v>
      </c>
      <c r="D87" s="12" t="s">
        <v>17</v>
      </c>
      <c r="E87" s="12" t="s">
        <v>27</v>
      </c>
      <c r="F87" s="7"/>
      <c r="G87" s="5"/>
    </row>
    <row r="88" spans="1:7">
      <c r="A88" s="11">
        <v>10</v>
      </c>
      <c r="B88" s="12" t="str">
        <f>المدخلات!$F$5</f>
        <v>5:40–7:10 م</v>
      </c>
      <c r="C88" s="12">
        <v>1</v>
      </c>
      <c r="D88" s="12" t="s">
        <v>89</v>
      </c>
      <c r="E88" s="12" t="s">
        <v>84</v>
      </c>
      <c r="F88" s="7"/>
      <c r="G88" s="5"/>
    </row>
    <row r="89" spans="1:7">
      <c r="A89" s="11">
        <v>10</v>
      </c>
      <c r="B89" s="12" t="str">
        <f>المدخلات!$F$5</f>
        <v>5:40–7:10 م</v>
      </c>
      <c r="C89" s="12">
        <v>2</v>
      </c>
      <c r="D89" s="12" t="s">
        <v>89</v>
      </c>
      <c r="E89" s="12" t="s">
        <v>60</v>
      </c>
      <c r="F89" s="7"/>
      <c r="G89" s="5"/>
    </row>
    <row r="90" spans="1:7">
      <c r="A90" s="11">
        <v>10</v>
      </c>
      <c r="B90" s="12" t="str">
        <f>المدخلات!$F$5</f>
        <v>5:40–7:10 م</v>
      </c>
      <c r="C90" s="12">
        <v>3</v>
      </c>
      <c r="D90" s="12" t="s">
        <v>89</v>
      </c>
      <c r="E90" s="12" t="s">
        <v>53</v>
      </c>
      <c r="F90" s="7"/>
      <c r="G90" s="5"/>
    </row>
    <row r="91" spans="1:7">
      <c r="A91" s="11">
        <v>10</v>
      </c>
      <c r="B91" s="12" t="str">
        <f>المدخلات!$F$6</f>
        <v>7:20–8:50 م</v>
      </c>
      <c r="C91" s="12">
        <v>1</v>
      </c>
      <c r="D91" s="12" t="s">
        <v>163</v>
      </c>
      <c r="E91" s="12" t="s">
        <v>167</v>
      </c>
      <c r="F91" s="7"/>
      <c r="G91" s="5"/>
    </row>
    <row r="92" spans="1:7">
      <c r="A92" s="11">
        <v>10</v>
      </c>
      <c r="B92" s="12" t="str">
        <f>المدخلات!$F$6</f>
        <v>7:20–8:50 م</v>
      </c>
      <c r="C92" s="12">
        <v>2</v>
      </c>
      <c r="D92" s="12" t="s">
        <v>163</v>
      </c>
      <c r="E92" s="12" t="s">
        <v>111</v>
      </c>
      <c r="F92" s="7"/>
      <c r="G92" s="5"/>
    </row>
    <row r="93" spans="1:7">
      <c r="A93" s="11">
        <v>10</v>
      </c>
      <c r="B93" s="12" t="str">
        <f>المدخلات!$F$6</f>
        <v>7:20–8:50 م</v>
      </c>
      <c r="C93" s="12">
        <v>3</v>
      </c>
      <c r="D93" s="12" t="s">
        <v>163</v>
      </c>
      <c r="E93" s="12" t="s">
        <v>106</v>
      </c>
      <c r="F93" s="7"/>
      <c r="G93" s="5"/>
    </row>
    <row r="94" spans="1:7">
      <c r="A94" s="11">
        <v>11</v>
      </c>
      <c r="B94" s="12" t="str">
        <f>المدخلات!$F$4</f>
        <v>4:00–5:30 م</v>
      </c>
      <c r="C94" s="12">
        <v>1</v>
      </c>
      <c r="D94" s="12" t="s">
        <v>163</v>
      </c>
      <c r="E94" s="12" t="s">
        <v>111</v>
      </c>
      <c r="F94" s="7"/>
      <c r="G94" s="5"/>
    </row>
    <row r="95" spans="1:7">
      <c r="A95" s="11">
        <v>11</v>
      </c>
      <c r="B95" s="12" t="str">
        <f>المدخلات!$F$4</f>
        <v>4:00–5:30 م</v>
      </c>
      <c r="C95" s="12">
        <v>2</v>
      </c>
      <c r="D95" s="12" t="s">
        <v>163</v>
      </c>
      <c r="E95" s="12" t="s">
        <v>167</v>
      </c>
      <c r="F95" s="7"/>
      <c r="G95" s="5"/>
    </row>
    <row r="96" spans="1:7">
      <c r="A96" s="11">
        <v>11</v>
      </c>
      <c r="B96" s="12" t="str">
        <f>المدخلات!$F$4</f>
        <v>4:00–5:30 م</v>
      </c>
      <c r="C96" s="12">
        <v>3</v>
      </c>
      <c r="D96" s="12" t="s">
        <v>89</v>
      </c>
      <c r="E96" s="12" t="s">
        <v>84</v>
      </c>
      <c r="F96" s="7"/>
      <c r="G96" s="5"/>
    </row>
    <row r="97" spans="1:7">
      <c r="A97" s="11">
        <v>11</v>
      </c>
      <c r="B97" s="12" t="str">
        <f>المدخلات!$F$5</f>
        <v>5:40–7:10 م</v>
      </c>
      <c r="C97" s="12">
        <v>1</v>
      </c>
      <c r="D97" s="12" t="s">
        <v>17</v>
      </c>
      <c r="E97" s="12" t="s">
        <v>28</v>
      </c>
      <c r="F97" s="7"/>
      <c r="G97" s="5"/>
    </row>
    <row r="98" spans="1:7">
      <c r="A98" s="11">
        <v>11</v>
      </c>
      <c r="B98" s="12" t="str">
        <f>المدخلات!$F$5</f>
        <v>5:40–7:10 م</v>
      </c>
      <c r="C98" s="12">
        <v>2</v>
      </c>
      <c r="D98" s="12" t="s">
        <v>17</v>
      </c>
      <c r="E98" s="12" t="s">
        <v>27</v>
      </c>
      <c r="F98" s="7"/>
      <c r="G98" s="5"/>
    </row>
    <row r="99" spans="1:7">
      <c r="A99" s="11">
        <v>11</v>
      </c>
      <c r="B99" s="12" t="str">
        <f>المدخلات!$F$5</f>
        <v>5:40–7:10 م</v>
      </c>
      <c r="C99" s="12">
        <v>3</v>
      </c>
      <c r="D99" s="12" t="s">
        <v>163</v>
      </c>
      <c r="E99" s="12" t="s">
        <v>106</v>
      </c>
      <c r="F99" s="7"/>
      <c r="G99" s="5"/>
    </row>
    <row r="100" spans="1:7">
      <c r="A100" s="11">
        <v>11</v>
      </c>
      <c r="B100" s="12" t="str">
        <f>المدخلات!$F$6</f>
        <v>7:20–8:50 م</v>
      </c>
      <c r="C100" s="12">
        <v>1</v>
      </c>
      <c r="D100" s="12" t="s">
        <v>89</v>
      </c>
      <c r="E100" s="12" t="s">
        <v>60</v>
      </c>
      <c r="F100" s="7"/>
      <c r="G100" s="5"/>
    </row>
    <row r="101" spans="1:7">
      <c r="A101" s="11">
        <v>11</v>
      </c>
      <c r="B101" s="12" t="str">
        <f>المدخلات!$F$6</f>
        <v>7:20–8:50 م</v>
      </c>
      <c r="C101" s="12">
        <v>2</v>
      </c>
      <c r="D101" s="12" t="s">
        <v>17</v>
      </c>
      <c r="E101" s="12" t="s">
        <v>29</v>
      </c>
      <c r="F101" s="7"/>
      <c r="G101" s="5"/>
    </row>
    <row r="102" spans="1:7">
      <c r="A102" s="11">
        <v>11</v>
      </c>
      <c r="B102" s="12" t="str">
        <f>المدخلات!$F$6</f>
        <v>7:20–8:50 م</v>
      </c>
      <c r="C102" s="12">
        <v>3</v>
      </c>
      <c r="D102" s="12" t="s">
        <v>89</v>
      </c>
      <c r="E102" s="12" t="s">
        <v>53</v>
      </c>
      <c r="F102" s="7"/>
      <c r="G102" s="5"/>
    </row>
    <row r="103" spans="1:7">
      <c r="A103" s="11">
        <v>12</v>
      </c>
      <c r="B103" s="12" t="str">
        <f>المدخلات!$F$4</f>
        <v>4:00–5:30 م</v>
      </c>
      <c r="C103" s="12">
        <v>1</v>
      </c>
      <c r="D103" s="12" t="s">
        <v>89</v>
      </c>
      <c r="E103" s="12" t="s">
        <v>48</v>
      </c>
      <c r="F103" s="7"/>
      <c r="G103" s="5"/>
    </row>
    <row r="104" spans="1:7">
      <c r="A104" s="11">
        <v>12</v>
      </c>
      <c r="B104" s="12" t="str">
        <f>المدخلات!$F$4</f>
        <v>4:00–5:30 م</v>
      </c>
      <c r="C104" s="12">
        <v>2</v>
      </c>
      <c r="D104" s="12" t="s">
        <v>163</v>
      </c>
      <c r="E104" s="12" t="s">
        <v>168</v>
      </c>
      <c r="F104" s="7"/>
      <c r="G104" s="5"/>
    </row>
    <row r="105" spans="1:7">
      <c r="A105" s="11">
        <v>12</v>
      </c>
      <c r="B105" s="12" t="str">
        <f>المدخلات!$F$4</f>
        <v>4:00–5:30 م</v>
      </c>
      <c r="C105" s="12">
        <v>3</v>
      </c>
      <c r="D105" s="12" t="s">
        <v>89</v>
      </c>
      <c r="E105" s="12" t="s">
        <v>74</v>
      </c>
      <c r="F105" s="7"/>
      <c r="G105" s="5"/>
    </row>
    <row r="106" spans="1:7">
      <c r="A106" s="11">
        <v>12</v>
      </c>
      <c r="B106" s="12" t="str">
        <f>المدخلات!$F$5</f>
        <v>5:40–7:10 م</v>
      </c>
      <c r="C106" s="12">
        <v>1</v>
      </c>
      <c r="D106" s="12" t="s">
        <v>17</v>
      </c>
      <c r="E106" s="12" t="s">
        <v>31</v>
      </c>
      <c r="F106" s="7"/>
      <c r="G106" s="5"/>
    </row>
    <row r="107" spans="1:7">
      <c r="A107" s="11">
        <v>12</v>
      </c>
      <c r="B107" s="12" t="str">
        <f>المدخلات!$F$5</f>
        <v>5:40–7:10 م</v>
      </c>
      <c r="C107" s="12">
        <v>2</v>
      </c>
      <c r="D107" s="12" t="s">
        <v>163</v>
      </c>
      <c r="E107" s="12" t="s">
        <v>102</v>
      </c>
      <c r="F107" s="7"/>
      <c r="G107" s="5"/>
    </row>
    <row r="108" spans="1:7">
      <c r="A108" s="11">
        <v>12</v>
      </c>
      <c r="B108" s="12" t="str">
        <f>المدخلات!$F$5</f>
        <v>5:40–7:10 م</v>
      </c>
      <c r="C108" s="12">
        <v>3</v>
      </c>
      <c r="D108" s="12" t="s">
        <v>163</v>
      </c>
      <c r="E108" s="12" t="s">
        <v>151</v>
      </c>
      <c r="F108" s="7"/>
      <c r="G108" s="5"/>
    </row>
    <row r="109" spans="1:7">
      <c r="A109" s="11">
        <v>12</v>
      </c>
      <c r="B109" s="12" t="str">
        <f>المدخلات!$F$6</f>
        <v>7:20–8:50 م</v>
      </c>
      <c r="C109" s="12">
        <v>1</v>
      </c>
      <c r="D109" s="12" t="s">
        <v>17</v>
      </c>
      <c r="E109" s="12" t="s">
        <v>30</v>
      </c>
      <c r="F109" s="7"/>
      <c r="G109" s="5"/>
    </row>
    <row r="110" spans="1:7">
      <c r="A110" s="11">
        <v>12</v>
      </c>
      <c r="B110" s="12" t="str">
        <f>المدخلات!$F$6</f>
        <v>7:20–8:50 م</v>
      </c>
      <c r="C110" s="12">
        <v>2</v>
      </c>
      <c r="D110" s="12" t="s">
        <v>89</v>
      </c>
      <c r="E110" s="12" t="s">
        <v>85</v>
      </c>
      <c r="F110" s="7"/>
      <c r="G110" s="5"/>
    </row>
    <row r="111" spans="1:7">
      <c r="A111" s="11">
        <v>12</v>
      </c>
      <c r="B111" s="12" t="str">
        <f>المدخلات!$F$6</f>
        <v>7:20–8:50 م</v>
      </c>
      <c r="C111" s="12">
        <v>3</v>
      </c>
      <c r="D111" s="12" t="s">
        <v>17</v>
      </c>
      <c r="E111" s="12" t="s">
        <v>32</v>
      </c>
      <c r="F111" s="7"/>
      <c r="G111" s="5"/>
    </row>
    <row r="112" spans="1:7">
      <c r="A112" s="11">
        <v>13</v>
      </c>
      <c r="B112" s="12" t="str">
        <f>المدخلات!$F$4</f>
        <v>4:00–5:30 م</v>
      </c>
      <c r="C112" s="12">
        <v>1</v>
      </c>
      <c r="D112" s="12" t="s">
        <v>89</v>
      </c>
      <c r="E112" s="12" t="s">
        <v>64</v>
      </c>
      <c r="F112" s="7"/>
      <c r="G112" s="5"/>
    </row>
    <row r="113" spans="1:7">
      <c r="A113" s="11">
        <v>13</v>
      </c>
      <c r="B113" s="12" t="str">
        <f>المدخلات!$F$4</f>
        <v>4:00–5:30 م</v>
      </c>
      <c r="C113" s="12">
        <v>2</v>
      </c>
      <c r="D113" s="12" t="s">
        <v>89</v>
      </c>
      <c r="E113" s="12" t="s">
        <v>86</v>
      </c>
      <c r="F113" s="7"/>
      <c r="G113" s="5"/>
    </row>
    <row r="114" spans="1:7">
      <c r="A114" s="11">
        <v>13</v>
      </c>
      <c r="B114" s="12" t="str">
        <f>المدخلات!$F$4</f>
        <v>4:00–5:30 م</v>
      </c>
      <c r="C114" s="12">
        <v>3</v>
      </c>
      <c r="D114" s="12" t="s">
        <v>163</v>
      </c>
      <c r="E114" s="12" t="s">
        <v>152</v>
      </c>
      <c r="F114" s="7"/>
      <c r="G114" s="5"/>
    </row>
    <row r="115" spans="1:7">
      <c r="A115" s="11">
        <v>13</v>
      </c>
      <c r="B115" s="12" t="str">
        <f>المدخلات!$F$5</f>
        <v>5:40–7:10 م</v>
      </c>
      <c r="C115" s="12">
        <v>1</v>
      </c>
      <c r="D115" s="12" t="s">
        <v>163</v>
      </c>
      <c r="E115" s="12" t="s">
        <v>164</v>
      </c>
      <c r="F115" s="7"/>
      <c r="G115" s="5"/>
    </row>
    <row r="116" spans="1:7">
      <c r="A116" s="11">
        <v>13</v>
      </c>
      <c r="B116" s="12" t="str">
        <f>المدخلات!$F$5</f>
        <v>5:40–7:10 م</v>
      </c>
      <c r="C116" s="12">
        <v>2</v>
      </c>
      <c r="D116" s="12" t="s">
        <v>17</v>
      </c>
      <c r="E116" s="12" t="s">
        <v>18</v>
      </c>
      <c r="F116" s="7"/>
      <c r="G116" s="5"/>
    </row>
    <row r="117" spans="1:7">
      <c r="A117" s="11">
        <v>13</v>
      </c>
      <c r="B117" s="12" t="str">
        <f>المدخلات!$F$5</f>
        <v>5:40–7:10 م</v>
      </c>
      <c r="C117" s="12">
        <v>3</v>
      </c>
      <c r="D117" s="12" t="s">
        <v>17</v>
      </c>
      <c r="E117" s="12" t="s">
        <v>19</v>
      </c>
      <c r="F117" s="7"/>
      <c r="G117" s="5"/>
    </row>
    <row r="118" spans="1:7">
      <c r="A118" s="11">
        <v>13</v>
      </c>
      <c r="B118" s="12" t="str">
        <f>المدخلات!$F$6</f>
        <v>7:20–8:50 م</v>
      </c>
      <c r="C118" s="12">
        <v>1</v>
      </c>
      <c r="D118" s="12" t="s">
        <v>163</v>
      </c>
      <c r="E118" s="12" t="s">
        <v>114</v>
      </c>
      <c r="F118" s="7"/>
      <c r="G118" s="5"/>
    </row>
    <row r="119" spans="1:7">
      <c r="A119" s="11">
        <v>13</v>
      </c>
      <c r="B119" s="12" t="str">
        <f>المدخلات!$F$6</f>
        <v>7:20–8:50 م</v>
      </c>
      <c r="C119" s="12">
        <v>2</v>
      </c>
      <c r="D119" s="12" t="s">
        <v>89</v>
      </c>
      <c r="E119" s="12" t="s">
        <v>75</v>
      </c>
      <c r="F119" s="7"/>
      <c r="G119" s="5"/>
    </row>
    <row r="120" spans="1:7">
      <c r="A120" s="11">
        <v>13</v>
      </c>
      <c r="B120" s="12" t="str">
        <f>المدخلات!$F$6</f>
        <v>7:20–8:50 م</v>
      </c>
      <c r="C120" s="12">
        <v>3</v>
      </c>
      <c r="D120" s="12" t="s">
        <v>17</v>
      </c>
      <c r="E120" s="12" t="s">
        <v>20</v>
      </c>
      <c r="F120" s="7"/>
      <c r="G120" s="5"/>
    </row>
    <row r="121" spans="1:7">
      <c r="A121" s="11">
        <v>14</v>
      </c>
      <c r="B121" s="12" t="str">
        <f>المدخلات!$F$4</f>
        <v>4:00–5:30 م</v>
      </c>
      <c r="C121" s="12">
        <v>1</v>
      </c>
      <c r="D121" s="12" t="s">
        <v>17</v>
      </c>
      <c r="E121" s="12" t="s">
        <v>21</v>
      </c>
      <c r="F121" s="7"/>
      <c r="G121" s="5"/>
    </row>
    <row r="122" spans="1:7">
      <c r="A122" s="11">
        <v>14</v>
      </c>
      <c r="B122" s="12" t="str">
        <f>المدخلات!$F$4</f>
        <v>4:00–5:30 م</v>
      </c>
      <c r="C122" s="12">
        <v>2</v>
      </c>
      <c r="D122" s="12" t="s">
        <v>17</v>
      </c>
      <c r="E122" s="12" t="s">
        <v>22</v>
      </c>
      <c r="F122" s="7"/>
      <c r="G122" s="5"/>
    </row>
    <row r="123" spans="1:7">
      <c r="A123" s="11">
        <v>14</v>
      </c>
      <c r="B123" s="12" t="str">
        <f>المدخلات!$F$4</f>
        <v>4:00–5:30 م</v>
      </c>
      <c r="C123" s="12">
        <v>3</v>
      </c>
      <c r="D123" s="12" t="s">
        <v>89</v>
      </c>
      <c r="E123" s="12" t="s">
        <v>56</v>
      </c>
      <c r="F123" s="7"/>
      <c r="G123" s="5"/>
    </row>
    <row r="124" spans="1:7">
      <c r="A124" s="11">
        <v>14</v>
      </c>
      <c r="B124" s="12" t="str">
        <f>المدخلات!$F$5</f>
        <v>5:40–7:10 م</v>
      </c>
      <c r="C124" s="12">
        <v>1</v>
      </c>
      <c r="D124" s="12" t="s">
        <v>89</v>
      </c>
      <c r="E124" s="12" t="s">
        <v>79</v>
      </c>
      <c r="F124" s="7"/>
      <c r="G124" s="5"/>
    </row>
    <row r="125" spans="1:7">
      <c r="A125" s="11">
        <v>14</v>
      </c>
      <c r="B125" s="12" t="str">
        <f>المدخلات!$F$5</f>
        <v>5:40–7:10 م</v>
      </c>
      <c r="C125" s="12">
        <v>2</v>
      </c>
      <c r="D125" s="12" t="s">
        <v>163</v>
      </c>
      <c r="E125" s="12" t="s">
        <v>108</v>
      </c>
      <c r="F125" s="7"/>
      <c r="G125" s="5"/>
    </row>
    <row r="126" spans="1:7">
      <c r="A126" s="11">
        <v>14</v>
      </c>
      <c r="B126" s="12" t="str">
        <f>المدخلات!$F$5</f>
        <v>5:40–7:10 م</v>
      </c>
      <c r="C126" s="12">
        <v>3</v>
      </c>
      <c r="D126" s="12" t="s">
        <v>163</v>
      </c>
      <c r="E126" s="12" t="s">
        <v>165</v>
      </c>
      <c r="F126" s="7"/>
      <c r="G126" s="5"/>
    </row>
    <row r="127" spans="1:7">
      <c r="A127" s="11">
        <v>14</v>
      </c>
      <c r="B127" s="12" t="str">
        <f>المدخلات!$F$6</f>
        <v>7:20–8:50 م</v>
      </c>
      <c r="C127" s="12">
        <v>1</v>
      </c>
      <c r="D127" s="12" t="s">
        <v>163</v>
      </c>
      <c r="E127" s="12" t="s">
        <v>130</v>
      </c>
      <c r="F127" s="7"/>
      <c r="G127" s="5"/>
    </row>
    <row r="128" spans="1:7">
      <c r="A128" s="11">
        <v>14</v>
      </c>
      <c r="B128" s="12" t="str">
        <f>المدخلات!$F$6</f>
        <v>7:20–8:50 م</v>
      </c>
      <c r="C128" s="12">
        <v>2</v>
      </c>
      <c r="D128" s="12" t="s">
        <v>89</v>
      </c>
      <c r="E128" s="12" t="s">
        <v>71</v>
      </c>
      <c r="F128" s="7"/>
      <c r="G128" s="5"/>
    </row>
    <row r="129" spans="1:7">
      <c r="A129" s="11">
        <v>14</v>
      </c>
      <c r="B129" s="12" t="str">
        <f>المدخلات!$F$6</f>
        <v>7:20–8:50 م</v>
      </c>
      <c r="C129" s="12">
        <v>3</v>
      </c>
      <c r="D129" s="12" t="s">
        <v>17</v>
      </c>
      <c r="E129" s="12" t="s">
        <v>23</v>
      </c>
      <c r="F129" s="7"/>
      <c r="G129" s="5"/>
    </row>
    <row r="130" spans="1:7">
      <c r="A130" s="11">
        <v>15</v>
      </c>
      <c r="B130" s="12" t="str">
        <f>المدخلات!$F$4</f>
        <v>4:00–5:30 م</v>
      </c>
      <c r="C130" s="12">
        <v>1</v>
      </c>
      <c r="D130" s="12" t="s">
        <v>17</v>
      </c>
      <c r="E130" s="12" t="s">
        <v>26</v>
      </c>
      <c r="F130" s="7"/>
      <c r="G130" s="5"/>
    </row>
    <row r="131" spans="1:7">
      <c r="A131" s="11">
        <v>15</v>
      </c>
      <c r="B131" s="12" t="str">
        <f>المدخلات!$F$4</f>
        <v>4:00–5:30 م</v>
      </c>
      <c r="C131" s="12">
        <v>2</v>
      </c>
      <c r="D131" s="12" t="s">
        <v>163</v>
      </c>
      <c r="E131" s="12" t="s">
        <v>115</v>
      </c>
      <c r="F131" s="7"/>
      <c r="G131" s="5"/>
    </row>
    <row r="132" spans="1:7">
      <c r="A132" s="11">
        <v>15</v>
      </c>
      <c r="B132" s="12" t="str">
        <f>المدخلات!$F$4</f>
        <v>4:00–5:30 م</v>
      </c>
      <c r="C132" s="12">
        <v>3</v>
      </c>
      <c r="D132" s="12" t="s">
        <v>163</v>
      </c>
      <c r="E132" s="12" t="s">
        <v>127</v>
      </c>
      <c r="F132" s="7"/>
      <c r="G132" s="5"/>
    </row>
    <row r="133" spans="1:7">
      <c r="A133" s="11">
        <v>15</v>
      </c>
      <c r="B133" s="12" t="str">
        <f>المدخلات!$F$5</f>
        <v>5:40–7:10 م</v>
      </c>
      <c r="C133" s="12">
        <v>1</v>
      </c>
      <c r="D133" s="12" t="s">
        <v>89</v>
      </c>
      <c r="E133" s="12" t="s">
        <v>70</v>
      </c>
      <c r="F133" s="7"/>
      <c r="G133" s="5"/>
    </row>
    <row r="134" spans="1:7">
      <c r="A134" s="11">
        <v>15</v>
      </c>
      <c r="B134" s="12" t="str">
        <f>المدخلات!$F$5</f>
        <v>5:40–7:10 م</v>
      </c>
      <c r="C134" s="12">
        <v>2</v>
      </c>
      <c r="D134" s="12" t="s">
        <v>17</v>
      </c>
      <c r="E134" s="12" t="s">
        <v>25</v>
      </c>
      <c r="F134" s="7"/>
      <c r="G134" s="5"/>
    </row>
    <row r="135" spans="1:7">
      <c r="A135" s="11">
        <v>15</v>
      </c>
      <c r="B135" s="12" t="str">
        <f>المدخلات!$F$5</f>
        <v>5:40–7:10 م</v>
      </c>
      <c r="C135" s="12">
        <v>3</v>
      </c>
      <c r="D135" s="12" t="s">
        <v>17</v>
      </c>
      <c r="E135" s="12" t="s">
        <v>24</v>
      </c>
      <c r="F135" s="7"/>
      <c r="G135" s="5"/>
    </row>
    <row r="136" spans="1:7">
      <c r="A136" s="11">
        <v>15</v>
      </c>
      <c r="B136" s="12" t="str">
        <f>المدخلات!$F$6</f>
        <v>7:20–8:50 م</v>
      </c>
      <c r="C136" s="12">
        <v>1</v>
      </c>
      <c r="D136" s="12" t="s">
        <v>163</v>
      </c>
      <c r="E136" s="12" t="s">
        <v>166</v>
      </c>
      <c r="F136" s="7"/>
      <c r="G136" s="5"/>
    </row>
    <row r="137" spans="1:7">
      <c r="A137" s="11">
        <v>15</v>
      </c>
      <c r="B137" s="12" t="str">
        <f>المدخلات!$F$6</f>
        <v>7:20–8:50 م</v>
      </c>
      <c r="C137" s="12">
        <v>2</v>
      </c>
      <c r="D137" s="12" t="s">
        <v>89</v>
      </c>
      <c r="E137" s="12" t="s">
        <v>65</v>
      </c>
      <c r="F137" s="7"/>
      <c r="G137" s="5"/>
    </row>
    <row r="138" spans="1:7">
      <c r="A138" s="11">
        <v>15</v>
      </c>
      <c r="B138" s="12" t="str">
        <f>المدخلات!$F$6</f>
        <v>7:20–8:50 م</v>
      </c>
      <c r="C138" s="12">
        <v>3</v>
      </c>
      <c r="D138" s="12" t="s">
        <v>89</v>
      </c>
      <c r="E138" s="12" t="s">
        <v>80</v>
      </c>
      <c r="F138" s="7"/>
      <c r="G138" s="5"/>
    </row>
    <row r="139" spans="1:7">
      <c r="A139" s="11">
        <v>16</v>
      </c>
      <c r="B139" s="12" t="str">
        <f>المدخلات!$F$4</f>
        <v>4:00–5:30 م</v>
      </c>
      <c r="C139" s="12">
        <v>1</v>
      </c>
      <c r="D139" s="12" t="s">
        <v>17</v>
      </c>
      <c r="E139" s="12" t="s">
        <v>25</v>
      </c>
      <c r="F139" s="7"/>
      <c r="G139" s="5"/>
    </row>
    <row r="140" spans="1:7">
      <c r="A140" s="11">
        <v>16</v>
      </c>
      <c r="B140" s="12" t="str">
        <f>المدخلات!$F$4</f>
        <v>4:00–5:30 م</v>
      </c>
      <c r="C140" s="12">
        <v>2</v>
      </c>
      <c r="D140" s="12" t="s">
        <v>163</v>
      </c>
      <c r="E140" s="12" t="s">
        <v>115</v>
      </c>
      <c r="F140" s="7"/>
      <c r="G140" s="5"/>
    </row>
    <row r="141" spans="1:7">
      <c r="A141" s="11">
        <v>16</v>
      </c>
      <c r="B141" s="12" t="str">
        <f>المدخلات!$F$4</f>
        <v>4:00–5:30 م</v>
      </c>
      <c r="C141" s="12">
        <v>3</v>
      </c>
      <c r="D141" s="12" t="s">
        <v>163</v>
      </c>
      <c r="E141" s="12" t="s">
        <v>166</v>
      </c>
      <c r="F141" s="7"/>
      <c r="G141" s="5"/>
    </row>
    <row r="142" spans="1:7">
      <c r="A142" s="11">
        <v>16</v>
      </c>
      <c r="B142" s="12" t="str">
        <f>المدخلات!$F$5</f>
        <v>5:40–7:10 م</v>
      </c>
      <c r="C142" s="12">
        <v>1</v>
      </c>
      <c r="D142" s="12" t="s">
        <v>89</v>
      </c>
      <c r="E142" s="12" t="s">
        <v>80</v>
      </c>
      <c r="F142" s="7"/>
      <c r="G142" s="5"/>
    </row>
    <row r="143" spans="1:7">
      <c r="A143" s="11">
        <v>16</v>
      </c>
      <c r="B143" s="12" t="str">
        <f>المدخلات!$F$5</f>
        <v>5:40–7:10 م</v>
      </c>
      <c r="C143" s="12">
        <v>2</v>
      </c>
      <c r="D143" s="12" t="s">
        <v>163</v>
      </c>
      <c r="E143" s="12" t="s">
        <v>127</v>
      </c>
      <c r="F143" s="7"/>
      <c r="G143" s="5"/>
    </row>
    <row r="144" spans="1:7">
      <c r="A144" s="11">
        <v>16</v>
      </c>
      <c r="B144" s="12" t="str">
        <f>المدخلات!$F$5</f>
        <v>5:40–7:10 م</v>
      </c>
      <c r="C144" s="12">
        <v>3</v>
      </c>
      <c r="D144" s="12" t="s">
        <v>89</v>
      </c>
      <c r="E144" s="12" t="s">
        <v>65</v>
      </c>
      <c r="F144" s="7"/>
      <c r="G144" s="5"/>
    </row>
    <row r="145" spans="1:7">
      <c r="A145" s="11">
        <v>16</v>
      </c>
      <c r="B145" s="12" t="str">
        <f>المدخلات!$F$6</f>
        <v>7:20–8:50 م</v>
      </c>
      <c r="C145" s="12">
        <v>1</v>
      </c>
      <c r="D145" s="12" t="s">
        <v>17</v>
      </c>
      <c r="E145" s="12" t="s">
        <v>24</v>
      </c>
      <c r="F145" s="7"/>
      <c r="G145" s="5"/>
    </row>
    <row r="146" spans="1:7">
      <c r="A146" s="11">
        <v>16</v>
      </c>
      <c r="B146" s="12" t="str">
        <f>المدخلات!$F$6</f>
        <v>7:20–8:50 م</v>
      </c>
      <c r="C146" s="12">
        <v>2</v>
      </c>
      <c r="D146" s="12" t="s">
        <v>89</v>
      </c>
      <c r="E146" s="12" t="s">
        <v>70</v>
      </c>
      <c r="F146" s="7"/>
      <c r="G146" s="5"/>
    </row>
    <row r="147" spans="1:7">
      <c r="A147" s="11">
        <v>16</v>
      </c>
      <c r="B147" s="12" t="str">
        <f>المدخلات!$F$6</f>
        <v>7:20–8:50 م</v>
      </c>
      <c r="C147" s="12">
        <v>3</v>
      </c>
      <c r="D147" s="12" t="s">
        <v>17</v>
      </c>
      <c r="E147" s="12" t="s">
        <v>26</v>
      </c>
      <c r="F147" s="7"/>
      <c r="G147" s="5"/>
    </row>
    <row r="148" spans="1:7">
      <c r="A148" s="11">
        <v>17</v>
      </c>
      <c r="B148" s="12" t="str">
        <f>المدخلات!$F$4</f>
        <v>4:00–5:30 م</v>
      </c>
      <c r="C148" s="12">
        <v>1</v>
      </c>
      <c r="D148" s="12" t="s">
        <v>89</v>
      </c>
      <c r="E148" s="12" t="s">
        <v>84</v>
      </c>
      <c r="F148" s="7"/>
      <c r="G148" s="5"/>
    </row>
    <row r="149" spans="1:7">
      <c r="A149" s="11">
        <v>17</v>
      </c>
      <c r="B149" s="12" t="str">
        <f>المدخلات!$F$4</f>
        <v>4:00–5:30 م</v>
      </c>
      <c r="C149" s="12">
        <v>2</v>
      </c>
      <c r="D149" s="12" t="s">
        <v>17</v>
      </c>
      <c r="E149" s="12" t="s">
        <v>28</v>
      </c>
      <c r="F149" s="7"/>
      <c r="G149" s="5"/>
    </row>
    <row r="150" spans="1:7">
      <c r="A150" s="11">
        <v>17</v>
      </c>
      <c r="B150" s="12" t="str">
        <f>المدخلات!$F$4</f>
        <v>4:00–5:30 م</v>
      </c>
      <c r="C150" s="12">
        <v>3</v>
      </c>
      <c r="D150" s="12" t="s">
        <v>89</v>
      </c>
      <c r="E150" s="12" t="s">
        <v>60</v>
      </c>
      <c r="F150" s="7"/>
      <c r="G150" s="5"/>
    </row>
    <row r="151" spans="1:7">
      <c r="A151" s="11">
        <v>17</v>
      </c>
      <c r="B151" s="12" t="str">
        <f>المدخلات!$F$5</f>
        <v>5:40–7:10 م</v>
      </c>
      <c r="C151" s="12">
        <v>1</v>
      </c>
      <c r="D151" s="12" t="s">
        <v>89</v>
      </c>
      <c r="E151" s="12" t="s">
        <v>53</v>
      </c>
      <c r="F151" s="7"/>
      <c r="G151" s="5"/>
    </row>
    <row r="152" spans="1:7">
      <c r="A152" s="11">
        <v>17</v>
      </c>
      <c r="B152" s="12" t="str">
        <f>المدخلات!$F$5</f>
        <v>5:40–7:10 م</v>
      </c>
      <c r="C152" s="12">
        <v>2</v>
      </c>
      <c r="D152" s="12" t="s">
        <v>163</v>
      </c>
      <c r="E152" s="12" t="s">
        <v>167</v>
      </c>
      <c r="F152" s="7"/>
      <c r="G152" s="5"/>
    </row>
    <row r="153" spans="1:7">
      <c r="A153" s="11">
        <v>17</v>
      </c>
      <c r="B153" s="12" t="str">
        <f>المدخلات!$F$5</f>
        <v>5:40–7:10 م</v>
      </c>
      <c r="C153" s="12">
        <v>3</v>
      </c>
      <c r="D153" s="12" t="s">
        <v>17</v>
      </c>
      <c r="E153" s="12" t="s">
        <v>29</v>
      </c>
      <c r="F153" s="7"/>
      <c r="G153" s="5"/>
    </row>
    <row r="154" spans="1:7">
      <c r="A154" s="11">
        <v>17</v>
      </c>
      <c r="B154" s="12" t="str">
        <f>المدخلات!$F$6</f>
        <v>7:20–8:50 م</v>
      </c>
      <c r="C154" s="12">
        <v>1</v>
      </c>
      <c r="D154" s="12" t="s">
        <v>163</v>
      </c>
      <c r="E154" s="12" t="s">
        <v>111</v>
      </c>
      <c r="F154" s="7"/>
      <c r="G154" s="5"/>
    </row>
    <row r="155" spans="1:7">
      <c r="A155" s="11">
        <v>17</v>
      </c>
      <c r="B155" s="12" t="str">
        <f>المدخلات!$F$6</f>
        <v>7:20–8:50 م</v>
      </c>
      <c r="C155" s="12">
        <v>2</v>
      </c>
      <c r="D155" s="12" t="s">
        <v>17</v>
      </c>
      <c r="E155" s="12" t="s">
        <v>27</v>
      </c>
      <c r="F155" s="7"/>
      <c r="G155" s="5"/>
    </row>
    <row r="156" spans="1:7">
      <c r="A156" s="11">
        <v>17</v>
      </c>
      <c r="B156" s="12" t="str">
        <f>المدخلات!$F$6</f>
        <v>7:20–8:50 م</v>
      </c>
      <c r="C156" s="12">
        <v>3</v>
      </c>
      <c r="D156" s="12" t="s">
        <v>163</v>
      </c>
      <c r="E156" s="12" t="s">
        <v>106</v>
      </c>
      <c r="F156" s="7"/>
      <c r="G156" s="5"/>
    </row>
    <row r="157" spans="1:7">
      <c r="A157" s="11">
        <v>18</v>
      </c>
      <c r="B157" s="12" t="str">
        <f>المدخلات!$F$4</f>
        <v>4:00–5:30 م</v>
      </c>
      <c r="C157" s="12">
        <v>1</v>
      </c>
      <c r="D157" s="12" t="s">
        <v>163</v>
      </c>
      <c r="E157" s="12" t="s">
        <v>168</v>
      </c>
      <c r="F157" s="7"/>
      <c r="G157" s="5"/>
    </row>
    <row r="158" spans="1:7">
      <c r="A158" s="11">
        <v>18</v>
      </c>
      <c r="B158" s="12" t="str">
        <f>المدخلات!$F$4</f>
        <v>4:00–5:30 م</v>
      </c>
      <c r="C158" s="12">
        <v>2</v>
      </c>
      <c r="D158" s="12" t="s">
        <v>89</v>
      </c>
      <c r="E158" s="12" t="s">
        <v>48</v>
      </c>
      <c r="F158" s="7"/>
      <c r="G158" s="5"/>
    </row>
    <row r="159" spans="1:7">
      <c r="A159" s="11">
        <v>18</v>
      </c>
      <c r="B159" s="12" t="str">
        <f>المدخلات!$F$4</f>
        <v>4:00–5:30 م</v>
      </c>
      <c r="C159" s="12">
        <v>3</v>
      </c>
      <c r="D159" s="12" t="s">
        <v>163</v>
      </c>
      <c r="E159" s="12" t="s">
        <v>102</v>
      </c>
      <c r="F159" s="7"/>
      <c r="G159" s="5"/>
    </row>
    <row r="160" spans="1:7">
      <c r="A160" s="11">
        <v>18</v>
      </c>
      <c r="B160" s="12" t="str">
        <f>المدخلات!$F$5</f>
        <v>5:40–7:10 م</v>
      </c>
      <c r="C160" s="12">
        <v>1</v>
      </c>
      <c r="D160" s="12" t="s">
        <v>17</v>
      </c>
      <c r="E160" s="12" t="s">
        <v>32</v>
      </c>
      <c r="F160" s="7"/>
      <c r="G160" s="5"/>
    </row>
    <row r="161" spans="1:7">
      <c r="A161" s="11">
        <v>18</v>
      </c>
      <c r="B161" s="12" t="str">
        <f>المدخلات!$F$5</f>
        <v>5:40–7:10 م</v>
      </c>
      <c r="C161" s="12">
        <v>2</v>
      </c>
      <c r="D161" s="12" t="s">
        <v>17</v>
      </c>
      <c r="E161" s="12" t="s">
        <v>30</v>
      </c>
      <c r="F161" s="7"/>
      <c r="G161" s="5"/>
    </row>
    <row r="162" spans="1:7">
      <c r="A162" s="11">
        <v>18</v>
      </c>
      <c r="B162" s="12" t="str">
        <f>المدخلات!$F$5</f>
        <v>5:40–7:10 م</v>
      </c>
      <c r="C162" s="12">
        <v>3</v>
      </c>
      <c r="D162" s="12" t="s">
        <v>89</v>
      </c>
      <c r="E162" s="12" t="s">
        <v>74</v>
      </c>
      <c r="F162" s="7"/>
      <c r="G162" s="5"/>
    </row>
    <row r="163" spans="1:7">
      <c r="A163" s="11">
        <v>18</v>
      </c>
      <c r="B163" s="12" t="str">
        <f>المدخلات!$F$6</f>
        <v>7:20–8:50 م</v>
      </c>
      <c r="C163" s="12">
        <v>1</v>
      </c>
      <c r="D163" s="12" t="s">
        <v>17</v>
      </c>
      <c r="E163" s="12" t="s">
        <v>31</v>
      </c>
      <c r="F163" s="7"/>
      <c r="G163" s="5"/>
    </row>
    <row r="164" spans="1:7">
      <c r="A164" s="11">
        <v>18</v>
      </c>
      <c r="B164" s="12" t="str">
        <f>المدخلات!$F$6</f>
        <v>7:20–8:50 م</v>
      </c>
      <c r="C164" s="12">
        <v>2</v>
      </c>
      <c r="D164" s="12" t="s">
        <v>89</v>
      </c>
      <c r="E164" s="12" t="s">
        <v>85</v>
      </c>
      <c r="F164" s="7"/>
      <c r="G164" s="5"/>
    </row>
    <row r="165" spans="1:7">
      <c r="A165" s="11">
        <v>18</v>
      </c>
      <c r="B165" s="12" t="str">
        <f>المدخلات!$F$6</f>
        <v>7:20–8:50 م</v>
      </c>
      <c r="C165" s="12">
        <v>3</v>
      </c>
      <c r="D165" s="12" t="s">
        <v>163</v>
      </c>
      <c r="E165" s="12" t="s">
        <v>151</v>
      </c>
      <c r="F165" s="7"/>
      <c r="G165" s="5"/>
    </row>
    <row r="166" spans="1:7">
      <c r="A166" s="11">
        <v>19</v>
      </c>
      <c r="B166" s="12" t="str">
        <f>المدخلات!$F$4</f>
        <v>4:00–5:30 م</v>
      </c>
      <c r="C166" s="12">
        <v>1</v>
      </c>
      <c r="D166" s="12" t="s">
        <v>17</v>
      </c>
      <c r="E166" s="12" t="s">
        <v>18</v>
      </c>
      <c r="F166" s="7"/>
      <c r="G166" s="5"/>
    </row>
    <row r="167" spans="1:7">
      <c r="A167" s="11">
        <v>19</v>
      </c>
      <c r="B167" s="12" t="str">
        <f>المدخلات!$F$4</f>
        <v>4:00–5:30 م</v>
      </c>
      <c r="C167" s="12">
        <v>2</v>
      </c>
      <c r="D167" s="12" t="s">
        <v>89</v>
      </c>
      <c r="E167" s="12" t="s">
        <v>64</v>
      </c>
      <c r="F167" s="7"/>
      <c r="G167" s="5"/>
    </row>
    <row r="168" spans="1:7">
      <c r="A168" s="11">
        <v>19</v>
      </c>
      <c r="B168" s="12" t="str">
        <f>المدخلات!$F$4</f>
        <v>4:00–5:30 م</v>
      </c>
      <c r="C168" s="12">
        <v>3</v>
      </c>
      <c r="D168" s="12" t="s">
        <v>17</v>
      </c>
      <c r="E168" s="12" t="s">
        <v>20</v>
      </c>
      <c r="F168" s="7"/>
      <c r="G168" s="5"/>
    </row>
    <row r="169" spans="1:7">
      <c r="A169" s="11">
        <v>19</v>
      </c>
      <c r="B169" s="12" t="str">
        <f>المدخلات!$F$5</f>
        <v>5:40–7:10 م</v>
      </c>
      <c r="C169" s="12">
        <v>1</v>
      </c>
      <c r="D169" s="12" t="s">
        <v>163</v>
      </c>
      <c r="E169" s="12" t="s">
        <v>152</v>
      </c>
      <c r="F169" s="7"/>
      <c r="G169" s="5"/>
    </row>
    <row r="170" spans="1:7">
      <c r="A170" s="11">
        <v>19</v>
      </c>
      <c r="B170" s="12" t="str">
        <f>المدخلات!$F$5</f>
        <v>5:40–7:10 م</v>
      </c>
      <c r="C170" s="12">
        <v>2</v>
      </c>
      <c r="D170" s="12" t="s">
        <v>89</v>
      </c>
      <c r="E170" s="12" t="s">
        <v>75</v>
      </c>
      <c r="F170" s="7"/>
      <c r="G170" s="5"/>
    </row>
    <row r="171" spans="1:7">
      <c r="A171" s="11">
        <v>19</v>
      </c>
      <c r="B171" s="12" t="str">
        <f>المدخلات!$F$5</f>
        <v>5:40–7:10 م</v>
      </c>
      <c r="C171" s="12">
        <v>3</v>
      </c>
      <c r="D171" s="12" t="s">
        <v>163</v>
      </c>
      <c r="E171" s="12" t="s">
        <v>114</v>
      </c>
      <c r="F171" s="7"/>
      <c r="G171" s="5"/>
    </row>
    <row r="172" spans="1:7">
      <c r="A172" s="11">
        <v>19</v>
      </c>
      <c r="B172" s="12" t="str">
        <f>المدخلات!$F$6</f>
        <v>7:20–8:50 م</v>
      </c>
      <c r="C172" s="12">
        <v>1</v>
      </c>
      <c r="D172" s="12" t="s">
        <v>163</v>
      </c>
      <c r="E172" s="12" t="s">
        <v>164</v>
      </c>
      <c r="F172" s="7"/>
      <c r="G172" s="5"/>
    </row>
    <row r="173" spans="1:7">
      <c r="A173" s="11">
        <v>19</v>
      </c>
      <c r="B173" s="12" t="str">
        <f>المدخلات!$F$6</f>
        <v>7:20–8:50 م</v>
      </c>
      <c r="C173" s="12">
        <v>2</v>
      </c>
      <c r="D173" s="12" t="s">
        <v>17</v>
      </c>
      <c r="E173" s="12" t="s">
        <v>19</v>
      </c>
      <c r="F173" s="7"/>
      <c r="G173" s="5"/>
    </row>
    <row r="174" spans="1:7">
      <c r="A174" s="11">
        <v>19</v>
      </c>
      <c r="B174" s="12" t="str">
        <f>المدخلات!$F$6</f>
        <v>7:20–8:50 م</v>
      </c>
      <c r="C174" s="12">
        <v>3</v>
      </c>
      <c r="D174" s="12" t="s">
        <v>89</v>
      </c>
      <c r="E174" s="12" t="s">
        <v>86</v>
      </c>
      <c r="F174" s="7"/>
      <c r="G174" s="5"/>
    </row>
    <row r="175" spans="1:7">
      <c r="A175" s="11">
        <v>20</v>
      </c>
      <c r="B175" s="12" t="str">
        <f>المدخلات!$F$4</f>
        <v>4:00–5:30 م</v>
      </c>
      <c r="C175" s="12">
        <v>1</v>
      </c>
      <c r="D175" s="12" t="s">
        <v>89</v>
      </c>
      <c r="E175" s="12" t="s">
        <v>71</v>
      </c>
      <c r="F175" s="7"/>
      <c r="G175" s="5"/>
    </row>
    <row r="176" spans="1:7">
      <c r="A176" s="11">
        <v>20</v>
      </c>
      <c r="B176" s="12" t="str">
        <f>المدخلات!$F$4</f>
        <v>4:00–5:30 م</v>
      </c>
      <c r="C176" s="12">
        <v>2</v>
      </c>
      <c r="D176" s="12" t="s">
        <v>163</v>
      </c>
      <c r="E176" s="12" t="s">
        <v>130</v>
      </c>
      <c r="F176" s="7"/>
      <c r="G176" s="5"/>
    </row>
    <row r="177" spans="1:19">
      <c r="A177" s="11">
        <v>20</v>
      </c>
      <c r="B177" s="12" t="str">
        <f>المدخلات!$F$4</f>
        <v>4:00–5:30 م</v>
      </c>
      <c r="C177" s="12">
        <v>3</v>
      </c>
      <c r="D177" s="12" t="s">
        <v>17</v>
      </c>
      <c r="E177" s="12" t="s">
        <v>23</v>
      </c>
      <c r="F177" s="7"/>
      <c r="G177" s="5"/>
    </row>
    <row r="178" spans="1:19">
      <c r="A178" s="11">
        <v>20</v>
      </c>
      <c r="B178" s="12" t="str">
        <f>المدخلات!$F$5</f>
        <v>5:40–7:10 م</v>
      </c>
      <c r="C178" s="12">
        <v>1</v>
      </c>
      <c r="D178" s="12" t="s">
        <v>17</v>
      </c>
      <c r="E178" s="12" t="s">
        <v>22</v>
      </c>
      <c r="F178" s="7"/>
      <c r="G178" s="5"/>
    </row>
    <row r="179" spans="1:19">
      <c r="A179" s="11">
        <v>20</v>
      </c>
      <c r="B179" s="12" t="str">
        <f>المدخلات!$F$5</f>
        <v>5:40–7:10 م</v>
      </c>
      <c r="C179" s="12">
        <v>2</v>
      </c>
      <c r="D179" s="12" t="s">
        <v>163</v>
      </c>
      <c r="E179" s="12" t="s">
        <v>165</v>
      </c>
      <c r="F179" s="7"/>
      <c r="G179" s="5"/>
    </row>
    <row r="180" spans="1:19">
      <c r="A180" s="11">
        <v>20</v>
      </c>
      <c r="B180" s="12" t="str">
        <f>المدخلات!$F$5</f>
        <v>5:40–7:10 م</v>
      </c>
      <c r="C180" s="12">
        <v>3</v>
      </c>
      <c r="D180" s="12" t="s">
        <v>89</v>
      </c>
      <c r="E180" s="12" t="s">
        <v>56</v>
      </c>
      <c r="F180" s="7"/>
      <c r="G180" s="5"/>
    </row>
    <row r="181" spans="1:19">
      <c r="A181" s="11">
        <v>20</v>
      </c>
      <c r="B181" s="12" t="str">
        <f>المدخلات!$F$6</f>
        <v>7:20–8:50 م</v>
      </c>
      <c r="C181" s="12">
        <v>1</v>
      </c>
      <c r="D181" s="12" t="s">
        <v>89</v>
      </c>
      <c r="E181" s="12" t="s">
        <v>79</v>
      </c>
      <c r="F181" s="7"/>
      <c r="G181" s="5"/>
    </row>
    <row r="182" spans="1:19">
      <c r="A182" s="11">
        <v>20</v>
      </c>
      <c r="B182" s="12" t="str">
        <f>المدخلات!$F$6</f>
        <v>7:20–8:50 م</v>
      </c>
      <c r="C182" s="12">
        <v>2</v>
      </c>
      <c r="D182" s="12" t="s">
        <v>163</v>
      </c>
      <c r="E182" s="12" t="s">
        <v>108</v>
      </c>
      <c r="F182" s="7"/>
      <c r="G182" s="5"/>
    </row>
    <row r="183" spans="1:19">
      <c r="A183" s="11">
        <v>20</v>
      </c>
      <c r="B183" s="12" t="str">
        <f>المدخلات!$F$6</f>
        <v>7:20–8:50 م</v>
      </c>
      <c r="C183" s="12">
        <v>3</v>
      </c>
      <c r="D183" s="12" t="s">
        <v>17</v>
      </c>
      <c r="E183" s="12" t="s">
        <v>21</v>
      </c>
      <c r="F183" s="7"/>
      <c r="G183" s="5"/>
    </row>
    <row r="184" spans="1:19">
      <c r="A184" s="11">
        <v>21</v>
      </c>
      <c r="B184" s="12" t="str">
        <f>المدخلات!$F$4</f>
        <v>4:00–5:30 م</v>
      </c>
      <c r="C184" s="12">
        <v>1</v>
      </c>
      <c r="D184" s="12" t="s">
        <v>169</v>
      </c>
      <c r="E184" s="12" t="s">
        <v>170</v>
      </c>
      <c r="F184" s="7"/>
      <c r="G184" s="5"/>
    </row>
    <row r="185" spans="1:19">
      <c r="A185" s="11">
        <v>21</v>
      </c>
      <c r="B185" s="12" t="str">
        <f>المدخلات!$F$4</f>
        <v>4:00–5:30 م</v>
      </c>
      <c r="C185" s="12">
        <v>2</v>
      </c>
      <c r="D185" s="12" t="s">
        <v>169</v>
      </c>
      <c r="E185" s="12" t="s">
        <v>171</v>
      </c>
      <c r="F185" s="7"/>
      <c r="G185" s="5"/>
    </row>
    <row r="186" spans="1:19">
      <c r="A186" s="11">
        <v>22</v>
      </c>
      <c r="B186" s="12" t="str">
        <f>المدخلات!$F$4</f>
        <v>4:00–5:30 م</v>
      </c>
      <c r="C186" s="12">
        <v>1</v>
      </c>
      <c r="D186" s="12" t="s">
        <v>95</v>
      </c>
      <c r="E186" s="12" t="s">
        <v>172</v>
      </c>
      <c r="F186" s="7"/>
      <c r="G186" s="5"/>
    </row>
    <row r="187" spans="1:19">
      <c r="A187" s="5"/>
      <c r="B187" s="5"/>
      <c r="C187" s="5"/>
      <c r="D187" s="5"/>
      <c r="E187" s="5"/>
      <c r="F187" s="5"/>
      <c r="G187" s="5"/>
    </row>
    <row r="188" spans="1:19">
      <c r="A188" s="5"/>
      <c r="B188" s="5"/>
      <c r="C188" s="5"/>
      <c r="D188" s="5"/>
      <c r="E188" s="5"/>
      <c r="F188" s="5"/>
      <c r="G188" s="5"/>
    </row>
    <row r="189" spans="1:19" ht="15.5">
      <c r="A189" s="52" t="s">
        <v>363</v>
      </c>
      <c r="B189" s="52"/>
      <c r="C189" s="52"/>
      <c r="D189" s="52"/>
      <c r="E189" s="52"/>
      <c r="F189" s="52"/>
      <c r="G189" s="52"/>
      <c r="H189" s="52"/>
      <c r="I189" s="52"/>
      <c r="J189" s="52"/>
      <c r="K189" s="52"/>
      <c r="L189" s="52"/>
      <c r="M189" s="52"/>
      <c r="N189" s="52"/>
      <c r="O189" s="52"/>
      <c r="P189" s="52"/>
      <c r="Q189" s="52"/>
      <c r="R189" s="52"/>
      <c r="S189" s="52"/>
    </row>
    <row r="190" spans="1:19">
      <c r="A190" s="9" t="s">
        <v>362</v>
      </c>
      <c r="B190" s="9">
        <v>1</v>
      </c>
      <c r="C190" s="9">
        <v>2</v>
      </c>
      <c r="D190" s="9">
        <v>3</v>
      </c>
      <c r="E190" s="9">
        <v>4</v>
      </c>
      <c r="F190" s="9">
        <v>5</v>
      </c>
      <c r="G190" s="9">
        <v>6</v>
      </c>
      <c r="H190" s="9">
        <v>7</v>
      </c>
      <c r="I190" s="9">
        <v>8</v>
      </c>
      <c r="J190" s="9">
        <v>9</v>
      </c>
      <c r="K190" s="9">
        <v>10</v>
      </c>
      <c r="L190" s="9">
        <v>11</v>
      </c>
      <c r="M190" s="9">
        <v>12</v>
      </c>
      <c r="N190" s="9">
        <v>13</v>
      </c>
      <c r="O190" s="9">
        <v>14</v>
      </c>
      <c r="P190" s="9">
        <v>15</v>
      </c>
      <c r="Q190" s="9">
        <v>16</v>
      </c>
      <c r="R190" s="9">
        <v>17</v>
      </c>
      <c r="S190" s="9">
        <v>18</v>
      </c>
    </row>
    <row r="191" spans="1:19">
      <c r="A191" s="9">
        <v>1</v>
      </c>
      <c r="B191" s="12" t="str">
        <f t="shared" ref="B191:K200" si="0">IF($A191=B$190,"",COUNTIF($E$4:$E$186,$A191&amp;" ضد "&amp;B$190)+COUNTIF($E$4:$E$186,B$190&amp;" ضد "&amp;$A191))</f>
        <v/>
      </c>
      <c r="C191" s="12">
        <f t="shared" si="0"/>
        <v>4</v>
      </c>
      <c r="D191" s="12">
        <f t="shared" si="0"/>
        <v>4</v>
      </c>
      <c r="E191" s="12">
        <f t="shared" si="0"/>
        <v>4</v>
      </c>
      <c r="F191" s="12">
        <f t="shared" si="0"/>
        <v>4</v>
      </c>
      <c r="G191" s="12">
        <f t="shared" si="0"/>
        <v>4</v>
      </c>
      <c r="H191" s="12">
        <f t="shared" si="0"/>
        <v>0</v>
      </c>
      <c r="I191" s="12">
        <f t="shared" si="0"/>
        <v>0</v>
      </c>
      <c r="J191" s="12">
        <f t="shared" si="0"/>
        <v>0</v>
      </c>
      <c r="K191" s="12">
        <f t="shared" si="0"/>
        <v>0</v>
      </c>
      <c r="L191" s="12">
        <f t="shared" ref="L191:S200" si="1">IF($A191=L$190,"",COUNTIF($E$4:$E$186,$A191&amp;" ضد "&amp;L$190)+COUNTIF($E$4:$E$186,L$190&amp;" ضد "&amp;$A191))</f>
        <v>0</v>
      </c>
      <c r="M191" s="12">
        <f t="shared" si="1"/>
        <v>0</v>
      </c>
      <c r="N191" s="12">
        <f t="shared" si="1"/>
        <v>0</v>
      </c>
      <c r="O191" s="12">
        <f t="shared" si="1"/>
        <v>0</v>
      </c>
      <c r="P191" s="12">
        <f t="shared" si="1"/>
        <v>0</v>
      </c>
      <c r="Q191" s="12">
        <f t="shared" si="1"/>
        <v>0</v>
      </c>
      <c r="R191" s="12">
        <f t="shared" si="1"/>
        <v>0</v>
      </c>
      <c r="S191" s="12">
        <f t="shared" si="1"/>
        <v>0</v>
      </c>
    </row>
    <row r="192" spans="1:19">
      <c r="A192" s="9">
        <v>2</v>
      </c>
      <c r="B192" s="12">
        <f t="shared" si="0"/>
        <v>4</v>
      </c>
      <c r="C192" s="12" t="str">
        <f t="shared" si="0"/>
        <v/>
      </c>
      <c r="D192" s="12">
        <f t="shared" si="0"/>
        <v>4</v>
      </c>
      <c r="E192" s="12">
        <f t="shared" si="0"/>
        <v>4</v>
      </c>
      <c r="F192" s="12">
        <f t="shared" si="0"/>
        <v>4</v>
      </c>
      <c r="G192" s="12">
        <f t="shared" si="0"/>
        <v>4</v>
      </c>
      <c r="H192" s="12">
        <f t="shared" si="0"/>
        <v>0</v>
      </c>
      <c r="I192" s="12">
        <f t="shared" si="0"/>
        <v>0</v>
      </c>
      <c r="J192" s="12">
        <f t="shared" si="0"/>
        <v>0</v>
      </c>
      <c r="K192" s="12">
        <f t="shared" si="0"/>
        <v>0</v>
      </c>
      <c r="L192" s="12">
        <f t="shared" si="1"/>
        <v>0</v>
      </c>
      <c r="M192" s="12">
        <f t="shared" si="1"/>
        <v>0</v>
      </c>
      <c r="N192" s="12">
        <f t="shared" si="1"/>
        <v>0</v>
      </c>
      <c r="O192" s="12">
        <f t="shared" si="1"/>
        <v>0</v>
      </c>
      <c r="P192" s="12">
        <f t="shared" si="1"/>
        <v>0</v>
      </c>
      <c r="Q192" s="12">
        <f t="shared" si="1"/>
        <v>0</v>
      </c>
      <c r="R192" s="12">
        <f t="shared" si="1"/>
        <v>0</v>
      </c>
      <c r="S192" s="12">
        <f t="shared" si="1"/>
        <v>0</v>
      </c>
    </row>
    <row r="193" spans="1:19">
      <c r="A193" s="9">
        <v>3</v>
      </c>
      <c r="B193" s="12">
        <f t="shared" si="0"/>
        <v>4</v>
      </c>
      <c r="C193" s="12">
        <f t="shared" si="0"/>
        <v>4</v>
      </c>
      <c r="D193" s="12" t="str">
        <f t="shared" si="0"/>
        <v/>
      </c>
      <c r="E193" s="12">
        <f t="shared" si="0"/>
        <v>4</v>
      </c>
      <c r="F193" s="12">
        <f t="shared" si="0"/>
        <v>4</v>
      </c>
      <c r="G193" s="12">
        <f t="shared" si="0"/>
        <v>4</v>
      </c>
      <c r="H193" s="12">
        <f t="shared" si="0"/>
        <v>0</v>
      </c>
      <c r="I193" s="12">
        <f t="shared" si="0"/>
        <v>0</v>
      </c>
      <c r="J193" s="12">
        <f t="shared" si="0"/>
        <v>0</v>
      </c>
      <c r="K193" s="12">
        <f t="shared" si="0"/>
        <v>0</v>
      </c>
      <c r="L193" s="12">
        <f t="shared" si="1"/>
        <v>0</v>
      </c>
      <c r="M193" s="12">
        <f t="shared" si="1"/>
        <v>0</v>
      </c>
      <c r="N193" s="12">
        <f t="shared" si="1"/>
        <v>0</v>
      </c>
      <c r="O193" s="12">
        <f t="shared" si="1"/>
        <v>0</v>
      </c>
      <c r="P193" s="12">
        <f t="shared" si="1"/>
        <v>0</v>
      </c>
      <c r="Q193" s="12">
        <f t="shared" si="1"/>
        <v>0</v>
      </c>
      <c r="R193" s="12">
        <f t="shared" si="1"/>
        <v>0</v>
      </c>
      <c r="S193" s="12">
        <f t="shared" si="1"/>
        <v>0</v>
      </c>
    </row>
    <row r="194" spans="1:19">
      <c r="A194" s="9">
        <v>4</v>
      </c>
      <c r="B194" s="12">
        <f t="shared" si="0"/>
        <v>4</v>
      </c>
      <c r="C194" s="12">
        <f t="shared" si="0"/>
        <v>4</v>
      </c>
      <c r="D194" s="12">
        <f t="shared" si="0"/>
        <v>4</v>
      </c>
      <c r="E194" s="12" t="str">
        <f t="shared" si="0"/>
        <v/>
      </c>
      <c r="F194" s="12">
        <f t="shared" si="0"/>
        <v>4</v>
      </c>
      <c r="G194" s="12">
        <f t="shared" si="0"/>
        <v>4</v>
      </c>
      <c r="H194" s="12">
        <f t="shared" si="0"/>
        <v>0</v>
      </c>
      <c r="I194" s="12">
        <f t="shared" si="0"/>
        <v>0</v>
      </c>
      <c r="J194" s="12">
        <f t="shared" si="0"/>
        <v>0</v>
      </c>
      <c r="K194" s="12">
        <f t="shared" si="0"/>
        <v>0</v>
      </c>
      <c r="L194" s="12">
        <f t="shared" si="1"/>
        <v>0</v>
      </c>
      <c r="M194" s="12">
        <f t="shared" si="1"/>
        <v>0</v>
      </c>
      <c r="N194" s="12">
        <f t="shared" si="1"/>
        <v>0</v>
      </c>
      <c r="O194" s="12">
        <f t="shared" si="1"/>
        <v>0</v>
      </c>
      <c r="P194" s="12">
        <f t="shared" si="1"/>
        <v>0</v>
      </c>
      <c r="Q194" s="12">
        <f t="shared" si="1"/>
        <v>0</v>
      </c>
      <c r="R194" s="12">
        <f t="shared" si="1"/>
        <v>0</v>
      </c>
      <c r="S194" s="12">
        <f t="shared" si="1"/>
        <v>0</v>
      </c>
    </row>
    <row r="195" spans="1:19">
      <c r="A195" s="9">
        <v>5</v>
      </c>
      <c r="B195" s="12">
        <f t="shared" si="0"/>
        <v>4</v>
      </c>
      <c r="C195" s="12">
        <f t="shared" si="0"/>
        <v>4</v>
      </c>
      <c r="D195" s="12">
        <f t="shared" si="0"/>
        <v>4</v>
      </c>
      <c r="E195" s="12">
        <f t="shared" si="0"/>
        <v>4</v>
      </c>
      <c r="F195" s="12" t="str">
        <f t="shared" si="0"/>
        <v/>
      </c>
      <c r="G195" s="12">
        <f t="shared" si="0"/>
        <v>4</v>
      </c>
      <c r="H195" s="12">
        <f t="shared" si="0"/>
        <v>0</v>
      </c>
      <c r="I195" s="12">
        <f t="shared" si="0"/>
        <v>0</v>
      </c>
      <c r="J195" s="12">
        <f t="shared" si="0"/>
        <v>0</v>
      </c>
      <c r="K195" s="12">
        <f t="shared" si="0"/>
        <v>0</v>
      </c>
      <c r="L195" s="12">
        <f t="shared" si="1"/>
        <v>0</v>
      </c>
      <c r="M195" s="12">
        <f t="shared" si="1"/>
        <v>0</v>
      </c>
      <c r="N195" s="12">
        <f t="shared" si="1"/>
        <v>0</v>
      </c>
      <c r="O195" s="12">
        <f t="shared" si="1"/>
        <v>0</v>
      </c>
      <c r="P195" s="12">
        <f t="shared" si="1"/>
        <v>0</v>
      </c>
      <c r="Q195" s="12">
        <f t="shared" si="1"/>
        <v>0</v>
      </c>
      <c r="R195" s="12">
        <f t="shared" si="1"/>
        <v>0</v>
      </c>
      <c r="S195" s="12">
        <f t="shared" si="1"/>
        <v>0</v>
      </c>
    </row>
    <row r="196" spans="1:19">
      <c r="A196" s="9">
        <v>6</v>
      </c>
      <c r="B196" s="12">
        <f t="shared" si="0"/>
        <v>4</v>
      </c>
      <c r="C196" s="12">
        <f t="shared" si="0"/>
        <v>4</v>
      </c>
      <c r="D196" s="12">
        <f t="shared" si="0"/>
        <v>4</v>
      </c>
      <c r="E196" s="12">
        <f t="shared" si="0"/>
        <v>4</v>
      </c>
      <c r="F196" s="12">
        <f t="shared" si="0"/>
        <v>4</v>
      </c>
      <c r="G196" s="12" t="str">
        <f t="shared" si="0"/>
        <v/>
      </c>
      <c r="H196" s="12">
        <f t="shared" si="0"/>
        <v>0</v>
      </c>
      <c r="I196" s="12">
        <f t="shared" si="0"/>
        <v>0</v>
      </c>
      <c r="J196" s="12">
        <f t="shared" si="0"/>
        <v>0</v>
      </c>
      <c r="K196" s="12">
        <f t="shared" si="0"/>
        <v>0</v>
      </c>
      <c r="L196" s="12">
        <f t="shared" si="1"/>
        <v>0</v>
      </c>
      <c r="M196" s="12">
        <f t="shared" si="1"/>
        <v>0</v>
      </c>
      <c r="N196" s="12">
        <f t="shared" si="1"/>
        <v>0</v>
      </c>
      <c r="O196" s="12">
        <f t="shared" si="1"/>
        <v>0</v>
      </c>
      <c r="P196" s="12">
        <f t="shared" si="1"/>
        <v>0</v>
      </c>
      <c r="Q196" s="12">
        <f t="shared" si="1"/>
        <v>0</v>
      </c>
      <c r="R196" s="12">
        <f t="shared" si="1"/>
        <v>0</v>
      </c>
      <c r="S196" s="12">
        <f t="shared" si="1"/>
        <v>0</v>
      </c>
    </row>
    <row r="197" spans="1:19">
      <c r="A197" s="9">
        <v>7</v>
      </c>
      <c r="B197" s="12">
        <f t="shared" si="0"/>
        <v>0</v>
      </c>
      <c r="C197" s="12">
        <f t="shared" si="0"/>
        <v>0</v>
      </c>
      <c r="D197" s="12">
        <f t="shared" si="0"/>
        <v>0</v>
      </c>
      <c r="E197" s="12">
        <f t="shared" si="0"/>
        <v>0</v>
      </c>
      <c r="F197" s="12">
        <f t="shared" si="0"/>
        <v>0</v>
      </c>
      <c r="G197" s="12">
        <f t="shared" si="0"/>
        <v>0</v>
      </c>
      <c r="H197" s="12" t="str">
        <f t="shared" si="0"/>
        <v/>
      </c>
      <c r="I197" s="12">
        <f t="shared" si="0"/>
        <v>4</v>
      </c>
      <c r="J197" s="12">
        <f t="shared" si="0"/>
        <v>4</v>
      </c>
      <c r="K197" s="12">
        <f t="shared" si="0"/>
        <v>4</v>
      </c>
      <c r="L197" s="12">
        <f t="shared" si="1"/>
        <v>4</v>
      </c>
      <c r="M197" s="12">
        <f t="shared" si="1"/>
        <v>4</v>
      </c>
      <c r="N197" s="12">
        <f t="shared" si="1"/>
        <v>0</v>
      </c>
      <c r="O197" s="12">
        <f t="shared" si="1"/>
        <v>0</v>
      </c>
      <c r="P197" s="12">
        <f t="shared" si="1"/>
        <v>0</v>
      </c>
      <c r="Q197" s="12">
        <f t="shared" si="1"/>
        <v>0</v>
      </c>
      <c r="R197" s="12">
        <f t="shared" si="1"/>
        <v>0</v>
      </c>
      <c r="S197" s="12">
        <f t="shared" si="1"/>
        <v>0</v>
      </c>
    </row>
    <row r="198" spans="1:19">
      <c r="A198" s="9">
        <v>8</v>
      </c>
      <c r="B198" s="12">
        <f t="shared" si="0"/>
        <v>0</v>
      </c>
      <c r="C198" s="12">
        <f t="shared" si="0"/>
        <v>0</v>
      </c>
      <c r="D198" s="12">
        <f t="shared" si="0"/>
        <v>0</v>
      </c>
      <c r="E198" s="12">
        <f t="shared" si="0"/>
        <v>0</v>
      </c>
      <c r="F198" s="12">
        <f t="shared" si="0"/>
        <v>0</v>
      </c>
      <c r="G198" s="12">
        <f t="shared" si="0"/>
        <v>0</v>
      </c>
      <c r="H198" s="12">
        <f t="shared" si="0"/>
        <v>4</v>
      </c>
      <c r="I198" s="12" t="str">
        <f t="shared" si="0"/>
        <v/>
      </c>
      <c r="J198" s="12">
        <f t="shared" si="0"/>
        <v>4</v>
      </c>
      <c r="K198" s="12">
        <f t="shared" si="0"/>
        <v>4</v>
      </c>
      <c r="L198" s="12">
        <f t="shared" si="1"/>
        <v>4</v>
      </c>
      <c r="M198" s="12">
        <f t="shared" si="1"/>
        <v>4</v>
      </c>
      <c r="N198" s="12">
        <f t="shared" si="1"/>
        <v>0</v>
      </c>
      <c r="O198" s="12">
        <f t="shared" si="1"/>
        <v>0</v>
      </c>
      <c r="P198" s="12">
        <f t="shared" si="1"/>
        <v>0</v>
      </c>
      <c r="Q198" s="12">
        <f t="shared" si="1"/>
        <v>0</v>
      </c>
      <c r="R198" s="12">
        <f t="shared" si="1"/>
        <v>0</v>
      </c>
      <c r="S198" s="12">
        <f t="shared" si="1"/>
        <v>0</v>
      </c>
    </row>
    <row r="199" spans="1:19">
      <c r="A199" s="9">
        <v>9</v>
      </c>
      <c r="B199" s="12">
        <f t="shared" si="0"/>
        <v>0</v>
      </c>
      <c r="C199" s="12">
        <f t="shared" si="0"/>
        <v>0</v>
      </c>
      <c r="D199" s="12">
        <f t="shared" si="0"/>
        <v>0</v>
      </c>
      <c r="E199" s="12">
        <f t="shared" si="0"/>
        <v>0</v>
      </c>
      <c r="F199" s="12">
        <f t="shared" si="0"/>
        <v>0</v>
      </c>
      <c r="G199" s="12">
        <f t="shared" si="0"/>
        <v>0</v>
      </c>
      <c r="H199" s="12">
        <f t="shared" si="0"/>
        <v>4</v>
      </c>
      <c r="I199" s="12">
        <f t="shared" si="0"/>
        <v>4</v>
      </c>
      <c r="J199" s="12" t="str">
        <f t="shared" si="0"/>
        <v/>
      </c>
      <c r="K199" s="12">
        <f t="shared" si="0"/>
        <v>4</v>
      </c>
      <c r="L199" s="12">
        <f t="shared" si="1"/>
        <v>4</v>
      </c>
      <c r="M199" s="12">
        <f t="shared" si="1"/>
        <v>4</v>
      </c>
      <c r="N199" s="12">
        <f t="shared" si="1"/>
        <v>0</v>
      </c>
      <c r="O199" s="12">
        <f t="shared" si="1"/>
        <v>0</v>
      </c>
      <c r="P199" s="12">
        <f t="shared" si="1"/>
        <v>0</v>
      </c>
      <c r="Q199" s="12">
        <f t="shared" si="1"/>
        <v>0</v>
      </c>
      <c r="R199" s="12">
        <f t="shared" si="1"/>
        <v>0</v>
      </c>
      <c r="S199" s="12">
        <f t="shared" si="1"/>
        <v>0</v>
      </c>
    </row>
    <row r="200" spans="1:19">
      <c r="A200" s="9">
        <v>10</v>
      </c>
      <c r="B200" s="12">
        <f t="shared" si="0"/>
        <v>0</v>
      </c>
      <c r="C200" s="12">
        <f t="shared" si="0"/>
        <v>0</v>
      </c>
      <c r="D200" s="12">
        <f t="shared" si="0"/>
        <v>0</v>
      </c>
      <c r="E200" s="12">
        <f t="shared" si="0"/>
        <v>0</v>
      </c>
      <c r="F200" s="12">
        <f t="shared" si="0"/>
        <v>0</v>
      </c>
      <c r="G200" s="12">
        <f t="shared" si="0"/>
        <v>0</v>
      </c>
      <c r="H200" s="12">
        <f t="shared" si="0"/>
        <v>4</v>
      </c>
      <c r="I200" s="12">
        <f t="shared" si="0"/>
        <v>4</v>
      </c>
      <c r="J200" s="12">
        <f t="shared" si="0"/>
        <v>4</v>
      </c>
      <c r="K200" s="12" t="str">
        <f t="shared" si="0"/>
        <v/>
      </c>
      <c r="L200" s="12">
        <f t="shared" si="1"/>
        <v>4</v>
      </c>
      <c r="M200" s="12">
        <f t="shared" si="1"/>
        <v>4</v>
      </c>
      <c r="N200" s="12">
        <f t="shared" si="1"/>
        <v>0</v>
      </c>
      <c r="O200" s="12">
        <f t="shared" si="1"/>
        <v>0</v>
      </c>
      <c r="P200" s="12">
        <f t="shared" si="1"/>
        <v>0</v>
      </c>
      <c r="Q200" s="12">
        <f t="shared" si="1"/>
        <v>0</v>
      </c>
      <c r="R200" s="12">
        <f t="shared" si="1"/>
        <v>0</v>
      </c>
      <c r="S200" s="12">
        <f t="shared" si="1"/>
        <v>0</v>
      </c>
    </row>
    <row r="201" spans="1:19">
      <c r="A201" s="9">
        <v>11</v>
      </c>
      <c r="B201" s="12">
        <f t="shared" ref="B201:K208" si="2">IF($A201=B$190,"",COUNTIF($E$4:$E$186,$A201&amp;" ضد "&amp;B$190)+COUNTIF($E$4:$E$186,B$190&amp;" ضد "&amp;$A201))</f>
        <v>0</v>
      </c>
      <c r="C201" s="12">
        <f t="shared" si="2"/>
        <v>0</v>
      </c>
      <c r="D201" s="12">
        <f t="shared" si="2"/>
        <v>0</v>
      </c>
      <c r="E201" s="12">
        <f t="shared" si="2"/>
        <v>0</v>
      </c>
      <c r="F201" s="12">
        <f t="shared" si="2"/>
        <v>0</v>
      </c>
      <c r="G201" s="12">
        <f t="shared" si="2"/>
        <v>0</v>
      </c>
      <c r="H201" s="12">
        <f t="shared" si="2"/>
        <v>4</v>
      </c>
      <c r="I201" s="12">
        <f t="shared" si="2"/>
        <v>4</v>
      </c>
      <c r="J201" s="12">
        <f t="shared" si="2"/>
        <v>4</v>
      </c>
      <c r="K201" s="12">
        <f t="shared" si="2"/>
        <v>4</v>
      </c>
      <c r="L201" s="12" t="str">
        <f t="shared" ref="L201:S208" si="3">IF($A201=L$190,"",COUNTIF($E$4:$E$186,$A201&amp;" ضد "&amp;L$190)+COUNTIF($E$4:$E$186,L$190&amp;" ضد "&amp;$A201))</f>
        <v/>
      </c>
      <c r="M201" s="12">
        <f t="shared" si="3"/>
        <v>4</v>
      </c>
      <c r="N201" s="12">
        <f t="shared" si="3"/>
        <v>0</v>
      </c>
      <c r="O201" s="12">
        <f t="shared" si="3"/>
        <v>0</v>
      </c>
      <c r="P201" s="12">
        <f t="shared" si="3"/>
        <v>0</v>
      </c>
      <c r="Q201" s="12">
        <f t="shared" si="3"/>
        <v>0</v>
      </c>
      <c r="R201" s="12">
        <f t="shared" si="3"/>
        <v>0</v>
      </c>
      <c r="S201" s="12">
        <f t="shared" si="3"/>
        <v>0</v>
      </c>
    </row>
    <row r="202" spans="1:19">
      <c r="A202" s="9">
        <v>12</v>
      </c>
      <c r="B202" s="12">
        <f t="shared" si="2"/>
        <v>0</v>
      </c>
      <c r="C202" s="12">
        <f t="shared" si="2"/>
        <v>0</v>
      </c>
      <c r="D202" s="12">
        <f t="shared" si="2"/>
        <v>0</v>
      </c>
      <c r="E202" s="12">
        <f t="shared" si="2"/>
        <v>0</v>
      </c>
      <c r="F202" s="12">
        <f t="shared" si="2"/>
        <v>0</v>
      </c>
      <c r="G202" s="12">
        <f t="shared" si="2"/>
        <v>0</v>
      </c>
      <c r="H202" s="12">
        <f t="shared" si="2"/>
        <v>4</v>
      </c>
      <c r="I202" s="12">
        <f t="shared" si="2"/>
        <v>4</v>
      </c>
      <c r="J202" s="12">
        <f t="shared" si="2"/>
        <v>4</v>
      </c>
      <c r="K202" s="12">
        <f t="shared" si="2"/>
        <v>4</v>
      </c>
      <c r="L202" s="12">
        <f t="shared" si="3"/>
        <v>4</v>
      </c>
      <c r="M202" s="12" t="str">
        <f t="shared" si="3"/>
        <v/>
      </c>
      <c r="N202" s="12">
        <f t="shared" si="3"/>
        <v>0</v>
      </c>
      <c r="O202" s="12">
        <f t="shared" si="3"/>
        <v>0</v>
      </c>
      <c r="P202" s="12">
        <f t="shared" si="3"/>
        <v>0</v>
      </c>
      <c r="Q202" s="12">
        <f t="shared" si="3"/>
        <v>0</v>
      </c>
      <c r="R202" s="12">
        <f t="shared" si="3"/>
        <v>0</v>
      </c>
      <c r="S202" s="12">
        <f t="shared" si="3"/>
        <v>0</v>
      </c>
    </row>
    <row r="203" spans="1:19">
      <c r="A203" s="9">
        <v>13</v>
      </c>
      <c r="B203" s="12">
        <f t="shared" si="2"/>
        <v>0</v>
      </c>
      <c r="C203" s="12">
        <f t="shared" si="2"/>
        <v>0</v>
      </c>
      <c r="D203" s="12">
        <f t="shared" si="2"/>
        <v>0</v>
      </c>
      <c r="E203" s="12">
        <f t="shared" si="2"/>
        <v>0</v>
      </c>
      <c r="F203" s="12">
        <f t="shared" si="2"/>
        <v>0</v>
      </c>
      <c r="G203" s="12">
        <f t="shared" si="2"/>
        <v>0</v>
      </c>
      <c r="H203" s="12">
        <f t="shared" si="2"/>
        <v>0</v>
      </c>
      <c r="I203" s="12">
        <f t="shared" si="2"/>
        <v>0</v>
      </c>
      <c r="J203" s="12">
        <f t="shared" si="2"/>
        <v>0</v>
      </c>
      <c r="K203" s="12">
        <f t="shared" si="2"/>
        <v>0</v>
      </c>
      <c r="L203" s="12">
        <f t="shared" si="3"/>
        <v>0</v>
      </c>
      <c r="M203" s="12">
        <f t="shared" si="3"/>
        <v>0</v>
      </c>
      <c r="N203" s="12" t="str">
        <f t="shared" si="3"/>
        <v/>
      </c>
      <c r="O203" s="12">
        <f t="shared" si="3"/>
        <v>4</v>
      </c>
      <c r="P203" s="12">
        <f t="shared" si="3"/>
        <v>4</v>
      </c>
      <c r="Q203" s="12">
        <f t="shared" si="3"/>
        <v>4</v>
      </c>
      <c r="R203" s="12">
        <f t="shared" si="3"/>
        <v>4</v>
      </c>
      <c r="S203" s="12">
        <f t="shared" si="3"/>
        <v>4</v>
      </c>
    </row>
    <row r="204" spans="1:19">
      <c r="A204" s="9">
        <v>14</v>
      </c>
      <c r="B204" s="12">
        <f t="shared" si="2"/>
        <v>0</v>
      </c>
      <c r="C204" s="12">
        <f t="shared" si="2"/>
        <v>0</v>
      </c>
      <c r="D204" s="12">
        <f t="shared" si="2"/>
        <v>0</v>
      </c>
      <c r="E204" s="12">
        <f t="shared" si="2"/>
        <v>0</v>
      </c>
      <c r="F204" s="12">
        <f t="shared" si="2"/>
        <v>0</v>
      </c>
      <c r="G204" s="12">
        <f t="shared" si="2"/>
        <v>0</v>
      </c>
      <c r="H204" s="12">
        <f t="shared" si="2"/>
        <v>0</v>
      </c>
      <c r="I204" s="12">
        <f t="shared" si="2"/>
        <v>0</v>
      </c>
      <c r="J204" s="12">
        <f t="shared" si="2"/>
        <v>0</v>
      </c>
      <c r="K204" s="12">
        <f t="shared" si="2"/>
        <v>0</v>
      </c>
      <c r="L204" s="12">
        <f t="shared" si="3"/>
        <v>0</v>
      </c>
      <c r="M204" s="12">
        <f t="shared" si="3"/>
        <v>0</v>
      </c>
      <c r="N204" s="12">
        <f t="shared" si="3"/>
        <v>4</v>
      </c>
      <c r="O204" s="12" t="str">
        <f t="shared" si="3"/>
        <v/>
      </c>
      <c r="P204" s="12">
        <f t="shared" si="3"/>
        <v>4</v>
      </c>
      <c r="Q204" s="12">
        <f t="shared" si="3"/>
        <v>4</v>
      </c>
      <c r="R204" s="12">
        <f t="shared" si="3"/>
        <v>4</v>
      </c>
      <c r="S204" s="12">
        <f t="shared" si="3"/>
        <v>4</v>
      </c>
    </row>
    <row r="205" spans="1:19">
      <c r="A205" s="9">
        <v>15</v>
      </c>
      <c r="B205" s="12">
        <f t="shared" si="2"/>
        <v>0</v>
      </c>
      <c r="C205" s="12">
        <f t="shared" si="2"/>
        <v>0</v>
      </c>
      <c r="D205" s="12">
        <f t="shared" si="2"/>
        <v>0</v>
      </c>
      <c r="E205" s="12">
        <f t="shared" si="2"/>
        <v>0</v>
      </c>
      <c r="F205" s="12">
        <f t="shared" si="2"/>
        <v>0</v>
      </c>
      <c r="G205" s="12">
        <f t="shared" si="2"/>
        <v>0</v>
      </c>
      <c r="H205" s="12">
        <f t="shared" si="2"/>
        <v>0</v>
      </c>
      <c r="I205" s="12">
        <f t="shared" si="2"/>
        <v>0</v>
      </c>
      <c r="J205" s="12">
        <f t="shared" si="2"/>
        <v>0</v>
      </c>
      <c r="K205" s="12">
        <f t="shared" si="2"/>
        <v>0</v>
      </c>
      <c r="L205" s="12">
        <f t="shared" si="3"/>
        <v>0</v>
      </c>
      <c r="M205" s="12">
        <f t="shared" si="3"/>
        <v>0</v>
      </c>
      <c r="N205" s="12">
        <f t="shared" si="3"/>
        <v>4</v>
      </c>
      <c r="O205" s="12">
        <f t="shared" si="3"/>
        <v>4</v>
      </c>
      <c r="P205" s="12" t="str">
        <f t="shared" si="3"/>
        <v/>
      </c>
      <c r="Q205" s="12">
        <f t="shared" si="3"/>
        <v>4</v>
      </c>
      <c r="R205" s="12">
        <f t="shared" si="3"/>
        <v>4</v>
      </c>
      <c r="S205" s="12">
        <f t="shared" si="3"/>
        <v>4</v>
      </c>
    </row>
    <row r="206" spans="1:19">
      <c r="A206" s="9">
        <v>16</v>
      </c>
      <c r="B206" s="12">
        <f t="shared" si="2"/>
        <v>0</v>
      </c>
      <c r="C206" s="12">
        <f t="shared" si="2"/>
        <v>0</v>
      </c>
      <c r="D206" s="12">
        <f t="shared" si="2"/>
        <v>0</v>
      </c>
      <c r="E206" s="12">
        <f t="shared" si="2"/>
        <v>0</v>
      </c>
      <c r="F206" s="12">
        <f t="shared" si="2"/>
        <v>0</v>
      </c>
      <c r="G206" s="12">
        <f t="shared" si="2"/>
        <v>0</v>
      </c>
      <c r="H206" s="12">
        <f t="shared" si="2"/>
        <v>0</v>
      </c>
      <c r="I206" s="12">
        <f t="shared" si="2"/>
        <v>0</v>
      </c>
      <c r="J206" s="12">
        <f t="shared" si="2"/>
        <v>0</v>
      </c>
      <c r="K206" s="12">
        <f t="shared" si="2"/>
        <v>0</v>
      </c>
      <c r="L206" s="12">
        <f t="shared" si="3"/>
        <v>0</v>
      </c>
      <c r="M206" s="12">
        <f t="shared" si="3"/>
        <v>0</v>
      </c>
      <c r="N206" s="12">
        <f t="shared" si="3"/>
        <v>4</v>
      </c>
      <c r="O206" s="12">
        <f t="shared" si="3"/>
        <v>4</v>
      </c>
      <c r="P206" s="12">
        <f t="shared" si="3"/>
        <v>4</v>
      </c>
      <c r="Q206" s="12" t="str">
        <f t="shared" si="3"/>
        <v/>
      </c>
      <c r="R206" s="12">
        <f t="shared" si="3"/>
        <v>4</v>
      </c>
      <c r="S206" s="12">
        <f t="shared" si="3"/>
        <v>4</v>
      </c>
    </row>
    <row r="207" spans="1:19">
      <c r="A207" s="9">
        <v>17</v>
      </c>
      <c r="B207" s="12">
        <f t="shared" si="2"/>
        <v>0</v>
      </c>
      <c r="C207" s="12">
        <f t="shared" si="2"/>
        <v>0</v>
      </c>
      <c r="D207" s="12">
        <f t="shared" si="2"/>
        <v>0</v>
      </c>
      <c r="E207" s="12">
        <f t="shared" si="2"/>
        <v>0</v>
      </c>
      <c r="F207" s="12">
        <f t="shared" si="2"/>
        <v>0</v>
      </c>
      <c r="G207" s="12">
        <f t="shared" si="2"/>
        <v>0</v>
      </c>
      <c r="H207" s="12">
        <f t="shared" si="2"/>
        <v>0</v>
      </c>
      <c r="I207" s="12">
        <f t="shared" si="2"/>
        <v>0</v>
      </c>
      <c r="J207" s="12">
        <f t="shared" si="2"/>
        <v>0</v>
      </c>
      <c r="K207" s="12">
        <f t="shared" si="2"/>
        <v>0</v>
      </c>
      <c r="L207" s="12">
        <f t="shared" si="3"/>
        <v>0</v>
      </c>
      <c r="M207" s="12">
        <f t="shared" si="3"/>
        <v>0</v>
      </c>
      <c r="N207" s="12">
        <f t="shared" si="3"/>
        <v>4</v>
      </c>
      <c r="O207" s="12">
        <f t="shared" si="3"/>
        <v>4</v>
      </c>
      <c r="P207" s="12">
        <f t="shared" si="3"/>
        <v>4</v>
      </c>
      <c r="Q207" s="12">
        <f t="shared" si="3"/>
        <v>4</v>
      </c>
      <c r="R207" s="12" t="str">
        <f t="shared" si="3"/>
        <v/>
      </c>
      <c r="S207" s="12">
        <f t="shared" si="3"/>
        <v>4</v>
      </c>
    </row>
    <row r="208" spans="1:19">
      <c r="A208" s="9">
        <v>18</v>
      </c>
      <c r="B208" s="12">
        <f t="shared" si="2"/>
        <v>0</v>
      </c>
      <c r="C208" s="12">
        <f t="shared" si="2"/>
        <v>0</v>
      </c>
      <c r="D208" s="12">
        <f t="shared" si="2"/>
        <v>0</v>
      </c>
      <c r="E208" s="12">
        <f t="shared" si="2"/>
        <v>0</v>
      </c>
      <c r="F208" s="12">
        <f t="shared" si="2"/>
        <v>0</v>
      </c>
      <c r="G208" s="12">
        <f t="shared" si="2"/>
        <v>0</v>
      </c>
      <c r="H208" s="12">
        <f t="shared" si="2"/>
        <v>0</v>
      </c>
      <c r="I208" s="12">
        <f t="shared" si="2"/>
        <v>0</v>
      </c>
      <c r="J208" s="12">
        <f t="shared" si="2"/>
        <v>0</v>
      </c>
      <c r="K208" s="12">
        <f t="shared" si="2"/>
        <v>0</v>
      </c>
      <c r="L208" s="12">
        <f t="shared" si="3"/>
        <v>0</v>
      </c>
      <c r="M208" s="12">
        <f t="shared" si="3"/>
        <v>0</v>
      </c>
      <c r="N208" s="12">
        <f t="shared" si="3"/>
        <v>4</v>
      </c>
      <c r="O208" s="12">
        <f t="shared" si="3"/>
        <v>4</v>
      </c>
      <c r="P208" s="12">
        <f t="shared" si="3"/>
        <v>4</v>
      </c>
      <c r="Q208" s="12">
        <f t="shared" si="3"/>
        <v>4</v>
      </c>
      <c r="R208" s="12">
        <f t="shared" si="3"/>
        <v>4</v>
      </c>
      <c r="S208" s="12" t="str">
        <f t="shared" si="3"/>
        <v/>
      </c>
    </row>
    <row r="209" spans="1:7">
      <c r="A209" s="17" t="s">
        <v>434</v>
      </c>
      <c r="B209" s="14">
        <f>_xlfn.MINIFS(B191:S208,B191:S208,"&gt;0")</f>
        <v>4</v>
      </c>
      <c r="C209" s="5"/>
      <c r="D209" s="5"/>
      <c r="E209" s="5"/>
      <c r="F209" s="5"/>
      <c r="G209" s="5"/>
    </row>
    <row r="210" spans="1:7">
      <c r="A210" s="17" t="s">
        <v>435</v>
      </c>
      <c r="B210" s="14">
        <f>MAX(B191:S208)</f>
        <v>4</v>
      </c>
      <c r="C210" s="5"/>
      <c r="D210" s="5"/>
      <c r="E210" s="5"/>
      <c r="F210" s="5"/>
      <c r="G210" s="5"/>
    </row>
    <row r="211" spans="1:7">
      <c r="A211" s="5"/>
      <c r="B211" s="5"/>
      <c r="C211" s="5"/>
      <c r="D211" s="5"/>
      <c r="E211" s="5"/>
      <c r="F211" s="5"/>
      <c r="G211" s="5"/>
    </row>
    <row r="212" spans="1:7">
      <c r="A212" s="5"/>
      <c r="B212" s="5"/>
      <c r="C212" s="5"/>
      <c r="D212" s="5"/>
      <c r="E212" s="5"/>
      <c r="F212" s="5"/>
      <c r="G212" s="5"/>
    </row>
    <row r="213" spans="1:7">
      <c r="A213" s="5"/>
      <c r="B213" s="5"/>
      <c r="C213" s="5"/>
      <c r="D213" s="5"/>
      <c r="E213" s="5"/>
      <c r="F213" s="5"/>
      <c r="G213" s="5"/>
    </row>
    <row r="214" spans="1:7">
      <c r="A214" s="5"/>
      <c r="B214" s="5"/>
      <c r="C214" s="5"/>
      <c r="D214" s="5"/>
      <c r="E214" s="5"/>
      <c r="F214" s="5"/>
      <c r="G214" s="5"/>
    </row>
    <row r="215" spans="1:7">
      <c r="A215" s="5"/>
      <c r="B215" s="5"/>
      <c r="C215" s="5"/>
      <c r="D215" s="5"/>
      <c r="E215" s="5"/>
      <c r="F215" s="5"/>
      <c r="G215" s="5"/>
    </row>
    <row r="216" spans="1:7">
      <c r="A216" s="5"/>
      <c r="B216" s="5"/>
      <c r="C216" s="5"/>
      <c r="D216" s="5"/>
      <c r="E216" s="5"/>
      <c r="F216" s="5"/>
      <c r="G216" s="5"/>
    </row>
    <row r="217" spans="1:7">
      <c r="A217" s="5"/>
      <c r="B217" s="5"/>
      <c r="C217" s="5"/>
      <c r="D217" s="5"/>
      <c r="E217" s="5"/>
      <c r="F217" s="5"/>
      <c r="G217" s="5"/>
    </row>
    <row r="218" spans="1:7">
      <c r="A218" s="5"/>
      <c r="B218" s="5"/>
      <c r="C218" s="5"/>
      <c r="D218" s="5"/>
      <c r="E218" s="5"/>
      <c r="F218" s="5"/>
      <c r="G218" s="5"/>
    </row>
    <row r="219" spans="1:7">
      <c r="A219" s="5"/>
      <c r="B219" s="5"/>
      <c r="C219" s="5"/>
      <c r="D219" s="5"/>
      <c r="E219" s="5"/>
      <c r="F219" s="5"/>
      <c r="G219" s="5"/>
    </row>
    <row r="220" spans="1:7">
      <c r="A220" s="5"/>
      <c r="B220" s="5"/>
      <c r="C220" s="5"/>
      <c r="D220" s="5"/>
      <c r="E220" s="5"/>
      <c r="F220" s="5"/>
      <c r="G220" s="5"/>
    </row>
    <row r="221" spans="1:7">
      <c r="A221" s="5"/>
      <c r="B221" s="5"/>
      <c r="C221" s="5"/>
      <c r="D221" s="5"/>
      <c r="E221" s="5"/>
      <c r="F221" s="5"/>
      <c r="G221" s="5"/>
    </row>
    <row r="222" spans="1:7">
      <c r="A222" s="5"/>
      <c r="B222" s="5"/>
      <c r="C222" s="5"/>
      <c r="D222" s="5"/>
      <c r="E222" s="5"/>
      <c r="F222" s="5"/>
      <c r="G222" s="5"/>
    </row>
    <row r="223" spans="1:7">
      <c r="A223" s="5"/>
      <c r="B223" s="5"/>
      <c r="C223" s="5"/>
      <c r="D223" s="5"/>
      <c r="E223" s="5"/>
      <c r="F223" s="5"/>
      <c r="G223" s="5"/>
    </row>
    <row r="224" spans="1:7">
      <c r="A224" s="5"/>
      <c r="B224" s="5"/>
      <c r="C224" s="5"/>
      <c r="D224" s="5"/>
      <c r="E224" s="5"/>
      <c r="F224" s="5"/>
      <c r="G224" s="5"/>
    </row>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189:S18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881E-CE78-401D-A4DE-6F34D1A8987E}">
  <dimension ref="A1:T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8.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444</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9" t="s">
        <v>16</v>
      </c>
      <c r="E3" s="7"/>
      <c r="F3" s="5"/>
      <c r="G3" s="5"/>
    </row>
    <row r="4" spans="1:16">
      <c r="A4" s="11">
        <v>1</v>
      </c>
      <c r="B4" s="12" t="str">
        <f>المدخلات!$F$4</f>
        <v>4:00–5:30 م</v>
      </c>
      <c r="C4" s="12">
        <v>1</v>
      </c>
      <c r="D4" s="12" t="s">
        <v>174</v>
      </c>
      <c r="E4" s="7"/>
      <c r="F4" s="5"/>
      <c r="G4" s="5"/>
    </row>
    <row r="5" spans="1:16">
      <c r="A5" s="11">
        <v>1</v>
      </c>
      <c r="B5" s="12" t="str">
        <f>المدخلات!$F$4</f>
        <v>4:00–5:30 م</v>
      </c>
      <c r="C5" s="12">
        <v>2</v>
      </c>
      <c r="D5" s="12" t="s">
        <v>175</v>
      </c>
      <c r="E5" s="7"/>
      <c r="F5" s="5"/>
      <c r="G5" s="5"/>
    </row>
    <row r="6" spans="1:16">
      <c r="A6" s="11">
        <v>1</v>
      </c>
      <c r="B6" s="12" t="str">
        <f>المدخلات!$F$4</f>
        <v>4:00–5:30 م</v>
      </c>
      <c r="C6" s="12">
        <v>3</v>
      </c>
      <c r="D6" s="12" t="s">
        <v>159</v>
      </c>
      <c r="E6" s="7"/>
      <c r="F6" s="5"/>
      <c r="G6" s="5"/>
    </row>
    <row r="7" spans="1:16">
      <c r="A7" s="11">
        <v>1</v>
      </c>
      <c r="B7" s="12" t="str">
        <f>المدخلات!$F$5</f>
        <v>5:40–7:10 م</v>
      </c>
      <c r="C7" s="12">
        <v>1</v>
      </c>
      <c r="D7" s="12" t="s">
        <v>160</v>
      </c>
      <c r="E7" s="7"/>
      <c r="F7" s="5"/>
      <c r="G7" s="5"/>
    </row>
    <row r="8" spans="1:16">
      <c r="A8" s="11">
        <v>1</v>
      </c>
      <c r="B8" s="12" t="str">
        <f>المدخلات!$F$5</f>
        <v>5:40–7:10 م</v>
      </c>
      <c r="C8" s="12">
        <v>2</v>
      </c>
      <c r="D8" s="12" t="s">
        <v>161</v>
      </c>
      <c r="E8" s="7"/>
      <c r="F8" s="5"/>
      <c r="G8" s="5"/>
    </row>
    <row r="9" spans="1:16">
      <c r="A9" s="11">
        <v>1</v>
      </c>
      <c r="B9" s="12" t="str">
        <f>المدخلات!$F$5</f>
        <v>5:40–7:10 م</v>
      </c>
      <c r="C9" s="12">
        <v>3</v>
      </c>
      <c r="D9" s="12" t="s">
        <v>162</v>
      </c>
      <c r="E9" s="7"/>
      <c r="F9" s="5"/>
      <c r="G9" s="5"/>
    </row>
    <row r="10" spans="1:16">
      <c r="A10" s="11">
        <v>1</v>
      </c>
      <c r="B10" s="12" t="str">
        <f>المدخلات!$F$6</f>
        <v>7:20–8:50 م</v>
      </c>
      <c r="C10" s="12">
        <v>1</v>
      </c>
      <c r="D10" s="12" t="s">
        <v>90</v>
      </c>
      <c r="E10" s="7"/>
      <c r="F10" s="5"/>
      <c r="G10" s="5"/>
    </row>
    <row r="11" spans="1:16">
      <c r="A11" s="11">
        <v>1</v>
      </c>
      <c r="B11" s="12" t="str">
        <f>المدخلات!$F$6</f>
        <v>7:20–8:50 م</v>
      </c>
      <c r="C11" s="12">
        <v>2</v>
      </c>
      <c r="D11" s="12" t="s">
        <v>85</v>
      </c>
      <c r="E11" s="7"/>
      <c r="F11" s="5"/>
      <c r="G11" s="5"/>
    </row>
    <row r="12" spans="1:16">
      <c r="A12" s="11">
        <v>1</v>
      </c>
      <c r="B12" s="12" t="str">
        <f>المدخلات!$F$6</f>
        <v>7:20–8:50 م</v>
      </c>
      <c r="C12" s="12">
        <v>3</v>
      </c>
      <c r="D12" s="12" t="s">
        <v>74</v>
      </c>
      <c r="E12" s="7"/>
      <c r="F12" s="5"/>
      <c r="G12" s="5"/>
    </row>
    <row r="13" spans="1:16">
      <c r="A13" s="11">
        <v>2</v>
      </c>
      <c r="B13" s="12" t="str">
        <f>المدخلات!$F$4</f>
        <v>4:00–5:30 م</v>
      </c>
      <c r="C13" s="12">
        <v>1</v>
      </c>
      <c r="D13" s="12" t="s">
        <v>86</v>
      </c>
      <c r="E13" s="7"/>
      <c r="F13" s="5"/>
      <c r="G13" s="5"/>
    </row>
    <row r="14" spans="1:16">
      <c r="A14" s="11">
        <v>2</v>
      </c>
      <c r="B14" s="12" t="str">
        <f>المدخلات!$F$4</f>
        <v>4:00–5:30 م</v>
      </c>
      <c r="C14" s="12">
        <v>2</v>
      </c>
      <c r="D14" s="12" t="s">
        <v>75</v>
      </c>
      <c r="E14" s="7"/>
      <c r="F14" s="5"/>
      <c r="G14" s="5"/>
    </row>
    <row r="15" spans="1:16">
      <c r="A15" s="11">
        <v>2</v>
      </c>
      <c r="B15" s="12" t="str">
        <f>المدخلات!$F$4</f>
        <v>4:00–5:30 م</v>
      </c>
      <c r="C15" s="12">
        <v>3</v>
      </c>
      <c r="D15" s="12" t="s">
        <v>121</v>
      </c>
      <c r="E15" s="7"/>
      <c r="F15" s="5"/>
      <c r="G15" s="5"/>
    </row>
    <row r="16" spans="1:16">
      <c r="A16" s="11">
        <v>2</v>
      </c>
      <c r="B16" s="12" t="str">
        <f>المدخلات!$F$5</f>
        <v>5:40–7:10 م</v>
      </c>
      <c r="C16" s="12">
        <v>1</v>
      </c>
      <c r="D16" s="12" t="s">
        <v>64</v>
      </c>
      <c r="E16" s="7"/>
      <c r="F16" s="5"/>
      <c r="G16" s="5"/>
    </row>
    <row r="17" spans="1:7">
      <c r="A17" s="11">
        <v>2</v>
      </c>
      <c r="B17" s="12" t="str">
        <f>المدخلات!$F$5</f>
        <v>5:40–7:10 م</v>
      </c>
      <c r="C17" s="12">
        <v>2</v>
      </c>
      <c r="D17" s="12" t="s">
        <v>117</v>
      </c>
      <c r="E17" s="7"/>
      <c r="F17" s="5"/>
      <c r="G17" s="5"/>
    </row>
    <row r="18" spans="1:7">
      <c r="A18" s="11">
        <v>2</v>
      </c>
      <c r="B18" s="12" t="str">
        <f>المدخلات!$F$5</f>
        <v>5:40–7:10 م</v>
      </c>
      <c r="C18" s="12">
        <v>3</v>
      </c>
      <c r="D18" s="12" t="s">
        <v>176</v>
      </c>
      <c r="E18" s="7"/>
      <c r="F18" s="5"/>
      <c r="G18" s="5"/>
    </row>
    <row r="19" spans="1:7">
      <c r="A19" s="11">
        <v>2</v>
      </c>
      <c r="B19" s="12" t="str">
        <f>المدخلات!$F$6</f>
        <v>7:20–8:50 م</v>
      </c>
      <c r="C19" s="12">
        <v>1</v>
      </c>
      <c r="D19" s="12" t="s">
        <v>119</v>
      </c>
      <c r="E19" s="7"/>
      <c r="F19" s="5"/>
      <c r="G19" s="5"/>
    </row>
    <row r="20" spans="1:7">
      <c r="A20" s="11">
        <v>2</v>
      </c>
      <c r="B20" s="12" t="str">
        <f>المدخلات!$F$6</f>
        <v>7:20–8:50 م</v>
      </c>
      <c r="C20" s="12">
        <v>2</v>
      </c>
      <c r="D20" s="12" t="s">
        <v>120</v>
      </c>
      <c r="E20" s="7"/>
      <c r="F20" s="5"/>
      <c r="G20" s="5"/>
    </row>
    <row r="21" spans="1:7">
      <c r="A21" s="11">
        <v>2</v>
      </c>
      <c r="B21" s="12" t="str">
        <f>المدخلات!$F$6</f>
        <v>7:20–8:50 م</v>
      </c>
      <c r="C21" s="12">
        <v>3</v>
      </c>
      <c r="D21" s="12" t="s">
        <v>118</v>
      </c>
      <c r="E21" s="7"/>
      <c r="F21" s="5"/>
      <c r="G21" s="5"/>
    </row>
    <row r="22" spans="1:7">
      <c r="A22" s="11">
        <v>3</v>
      </c>
      <c r="B22" s="12" t="str">
        <f>المدخلات!$F$4</f>
        <v>4:00–5:30 م</v>
      </c>
      <c r="C22" s="12">
        <v>1</v>
      </c>
      <c r="D22" s="12" t="s">
        <v>124</v>
      </c>
      <c r="E22" s="7"/>
      <c r="F22" s="5"/>
      <c r="G22" s="5"/>
    </row>
    <row r="23" spans="1:7">
      <c r="A23" s="11">
        <v>3</v>
      </c>
      <c r="B23" s="12" t="str">
        <f>المدخلات!$F$4</f>
        <v>4:00–5:30 م</v>
      </c>
      <c r="C23" s="12">
        <v>2</v>
      </c>
      <c r="D23" s="12" t="s">
        <v>65</v>
      </c>
      <c r="E23" s="7"/>
      <c r="F23" s="5"/>
      <c r="G23" s="5"/>
    </row>
    <row r="24" spans="1:7">
      <c r="A24" s="11">
        <v>3</v>
      </c>
      <c r="B24" s="12" t="str">
        <f>المدخلات!$F$4</f>
        <v>4:00–5:30 م</v>
      </c>
      <c r="C24" s="12">
        <v>3</v>
      </c>
      <c r="D24" s="12" t="s">
        <v>56</v>
      </c>
      <c r="E24" s="7"/>
      <c r="F24" s="5"/>
      <c r="G24" s="5"/>
    </row>
    <row r="25" spans="1:7">
      <c r="A25" s="11">
        <v>3</v>
      </c>
      <c r="B25" s="12" t="str">
        <f>المدخلات!$F$5</f>
        <v>5:40–7:10 م</v>
      </c>
      <c r="C25" s="12">
        <v>1</v>
      </c>
      <c r="D25" s="12" t="s">
        <v>76</v>
      </c>
      <c r="E25" s="7"/>
      <c r="F25" s="5"/>
      <c r="G25" s="5"/>
    </row>
    <row r="26" spans="1:7">
      <c r="A26" s="11">
        <v>3</v>
      </c>
      <c r="B26" s="12" t="str">
        <f>المدخلات!$F$5</f>
        <v>5:40–7:10 م</v>
      </c>
      <c r="C26" s="12">
        <v>2</v>
      </c>
      <c r="D26" s="12" t="s">
        <v>125</v>
      </c>
      <c r="E26" s="7"/>
      <c r="F26" s="5"/>
      <c r="G26" s="5"/>
    </row>
    <row r="27" spans="1:7">
      <c r="A27" s="11">
        <v>3</v>
      </c>
      <c r="B27" s="12" t="str">
        <f>المدخلات!$F$5</f>
        <v>5:40–7:10 م</v>
      </c>
      <c r="C27" s="12">
        <v>3</v>
      </c>
      <c r="D27" s="12" t="s">
        <v>87</v>
      </c>
      <c r="E27" s="7"/>
      <c r="F27" s="5"/>
      <c r="G27" s="5"/>
    </row>
    <row r="28" spans="1:7">
      <c r="A28" s="11">
        <v>3</v>
      </c>
      <c r="B28" s="12" t="str">
        <f>المدخلات!$F$6</f>
        <v>7:20–8:50 م</v>
      </c>
      <c r="C28" s="12">
        <v>1</v>
      </c>
      <c r="D28" s="12" t="s">
        <v>177</v>
      </c>
      <c r="E28" s="7"/>
      <c r="F28" s="5"/>
      <c r="G28" s="5"/>
    </row>
    <row r="29" spans="1:7">
      <c r="A29" s="11">
        <v>3</v>
      </c>
      <c r="B29" s="12" t="str">
        <f>المدخلات!$F$6</f>
        <v>7:20–8:50 م</v>
      </c>
      <c r="C29" s="12">
        <v>2</v>
      </c>
      <c r="D29" s="12" t="s">
        <v>178</v>
      </c>
      <c r="E29" s="7"/>
      <c r="F29" s="5"/>
      <c r="G29" s="5"/>
    </row>
    <row r="30" spans="1:7">
      <c r="A30" s="11">
        <v>3</v>
      </c>
      <c r="B30" s="12" t="str">
        <f>المدخلات!$F$6</f>
        <v>7:20–8:50 م</v>
      </c>
      <c r="C30" s="12">
        <v>3</v>
      </c>
      <c r="D30" s="12" t="s">
        <v>123</v>
      </c>
      <c r="E30" s="7"/>
      <c r="F30" s="5"/>
      <c r="G30" s="5"/>
    </row>
    <row r="31" spans="1:7">
      <c r="A31" s="11">
        <v>4</v>
      </c>
      <c r="B31" s="12" t="str">
        <f>المدخلات!$F$4</f>
        <v>4:00–5:30 م</v>
      </c>
      <c r="C31" s="12">
        <v>1</v>
      </c>
      <c r="D31" s="12" t="s">
        <v>122</v>
      </c>
      <c r="E31" s="7"/>
      <c r="F31" s="5"/>
      <c r="G31" s="5"/>
    </row>
    <row r="32" spans="1:7">
      <c r="A32" s="11">
        <v>4</v>
      </c>
      <c r="B32" s="12" t="str">
        <f>المدخلات!$F$4</f>
        <v>4:00–5:30 م</v>
      </c>
      <c r="C32" s="12">
        <v>2</v>
      </c>
      <c r="D32" s="12" t="s">
        <v>66</v>
      </c>
      <c r="E32" s="7"/>
      <c r="F32" s="5"/>
      <c r="G32" s="5"/>
    </row>
    <row r="33" spans="1:7">
      <c r="A33" s="11">
        <v>4</v>
      </c>
      <c r="B33" s="12" t="str">
        <f>المدخلات!$F$4</f>
        <v>4:00–5:30 م</v>
      </c>
      <c r="C33" s="12">
        <v>3</v>
      </c>
      <c r="D33" s="12" t="s">
        <v>179</v>
      </c>
      <c r="E33" s="7"/>
      <c r="F33" s="5"/>
      <c r="G33" s="5"/>
    </row>
    <row r="34" spans="1:7">
      <c r="A34" s="11">
        <v>4</v>
      </c>
      <c r="B34" s="12" t="str">
        <f>المدخلات!$F$5</f>
        <v>5:40–7:10 م</v>
      </c>
      <c r="C34" s="12">
        <v>1</v>
      </c>
      <c r="D34" s="12" t="s">
        <v>88</v>
      </c>
      <c r="E34" s="7"/>
      <c r="F34" s="5"/>
      <c r="G34" s="5"/>
    </row>
    <row r="35" spans="1:7">
      <c r="A35" s="11">
        <v>4</v>
      </c>
      <c r="B35" s="12" t="str">
        <f>المدخلات!$F$5</f>
        <v>5:40–7:10 م</v>
      </c>
      <c r="C35" s="12">
        <v>2</v>
      </c>
      <c r="D35" s="12" t="s">
        <v>165</v>
      </c>
      <c r="E35" s="7"/>
      <c r="F35" s="5"/>
      <c r="G35" s="5"/>
    </row>
    <row r="36" spans="1:7">
      <c r="A36" s="11">
        <v>4</v>
      </c>
      <c r="B36" s="12" t="str">
        <f>المدخلات!$F$5</f>
        <v>5:40–7:10 م</v>
      </c>
      <c r="C36" s="12">
        <v>3</v>
      </c>
      <c r="D36" s="12" t="s">
        <v>77</v>
      </c>
      <c r="E36" s="7"/>
      <c r="F36" s="5"/>
      <c r="G36" s="5"/>
    </row>
    <row r="37" spans="1:7">
      <c r="A37" s="11">
        <v>4</v>
      </c>
      <c r="B37" s="12" t="str">
        <f>المدخلات!$F$6</f>
        <v>7:20–8:50 م</v>
      </c>
      <c r="C37" s="12">
        <v>1</v>
      </c>
      <c r="D37" s="12" t="s">
        <v>128</v>
      </c>
      <c r="E37" s="7"/>
      <c r="F37" s="5"/>
      <c r="G37" s="5"/>
    </row>
    <row r="38" spans="1:7">
      <c r="A38" s="11">
        <v>4</v>
      </c>
      <c r="B38" s="12" t="str">
        <f>المدخلات!$F$6</f>
        <v>7:20–8:50 م</v>
      </c>
      <c r="C38" s="12">
        <v>2</v>
      </c>
      <c r="D38" s="12" t="s">
        <v>57</v>
      </c>
      <c r="E38" s="7"/>
      <c r="F38" s="5"/>
      <c r="G38" s="5"/>
    </row>
    <row r="39" spans="1:7">
      <c r="A39" s="11">
        <v>4</v>
      </c>
      <c r="B39" s="12" t="str">
        <f>المدخلات!$F$6</f>
        <v>7:20–8:50 م</v>
      </c>
      <c r="C39" s="12">
        <v>3</v>
      </c>
      <c r="D39" s="12" t="s">
        <v>48</v>
      </c>
      <c r="E39" s="7"/>
      <c r="F39" s="5"/>
      <c r="G39" s="5"/>
    </row>
    <row r="40" spans="1:7">
      <c r="A40" s="11">
        <v>5</v>
      </c>
      <c r="B40" s="12" t="str">
        <f>المدخلات!$F$4</f>
        <v>4:00–5:30 م</v>
      </c>
      <c r="C40" s="12">
        <v>1</v>
      </c>
      <c r="D40" s="12" t="s">
        <v>58</v>
      </c>
      <c r="E40" s="7"/>
      <c r="F40" s="5"/>
      <c r="G40" s="5"/>
    </row>
    <row r="41" spans="1:7">
      <c r="A41" s="11">
        <v>5</v>
      </c>
      <c r="B41" s="12" t="str">
        <f>المدخلات!$F$4</f>
        <v>4:00–5:30 م</v>
      </c>
      <c r="C41" s="12">
        <v>2</v>
      </c>
      <c r="D41" s="12" t="s">
        <v>126</v>
      </c>
      <c r="E41" s="7"/>
      <c r="F41" s="5"/>
      <c r="G41" s="5"/>
    </row>
    <row r="42" spans="1:7">
      <c r="A42" s="11">
        <v>5</v>
      </c>
      <c r="B42" s="12" t="str">
        <f>المدخلات!$F$4</f>
        <v>4:00–5:30 م</v>
      </c>
      <c r="C42" s="12">
        <v>3</v>
      </c>
      <c r="D42" s="12" t="s">
        <v>68</v>
      </c>
      <c r="E42" s="7"/>
      <c r="F42" s="5"/>
      <c r="G42" s="5"/>
    </row>
    <row r="43" spans="1:7">
      <c r="A43" s="11">
        <v>5</v>
      </c>
      <c r="B43" s="12" t="str">
        <f>المدخلات!$F$5</f>
        <v>5:40–7:10 م</v>
      </c>
      <c r="C43" s="12">
        <v>1</v>
      </c>
      <c r="D43" s="12" t="s">
        <v>127</v>
      </c>
      <c r="E43" s="7"/>
      <c r="F43" s="5"/>
      <c r="G43" s="5"/>
    </row>
    <row r="44" spans="1:7">
      <c r="A44" s="11">
        <v>5</v>
      </c>
      <c r="B44" s="12" t="str">
        <f>المدخلات!$F$5</f>
        <v>5:40–7:10 م</v>
      </c>
      <c r="C44" s="12">
        <v>2</v>
      </c>
      <c r="D44" s="12" t="s">
        <v>180</v>
      </c>
      <c r="E44" s="7"/>
      <c r="F44" s="5"/>
      <c r="G44" s="5"/>
    </row>
    <row r="45" spans="1:7">
      <c r="A45" s="11">
        <v>5</v>
      </c>
      <c r="B45" s="12" t="str">
        <f>المدخلات!$F$5</f>
        <v>5:40–7:10 م</v>
      </c>
      <c r="C45" s="12">
        <v>3</v>
      </c>
      <c r="D45" s="12" t="s">
        <v>49</v>
      </c>
      <c r="E45" s="7"/>
      <c r="F45" s="5"/>
      <c r="G45" s="5"/>
    </row>
    <row r="46" spans="1:7">
      <c r="A46" s="11">
        <v>5</v>
      </c>
      <c r="B46" s="12" t="str">
        <f>المدخلات!$F$6</f>
        <v>7:20–8:50 م</v>
      </c>
      <c r="C46" s="12">
        <v>1</v>
      </c>
      <c r="D46" s="12" t="s">
        <v>42</v>
      </c>
      <c r="E46" s="7"/>
      <c r="F46" s="5"/>
      <c r="G46" s="5"/>
    </row>
    <row r="47" spans="1:7">
      <c r="A47" s="11">
        <v>5</v>
      </c>
      <c r="B47" s="12" t="str">
        <f>المدخلات!$F$6</f>
        <v>7:20–8:50 م</v>
      </c>
      <c r="C47" s="12">
        <v>2</v>
      </c>
      <c r="D47" s="12" t="s">
        <v>67</v>
      </c>
      <c r="E47" s="7"/>
      <c r="F47" s="5"/>
      <c r="G47" s="5"/>
    </row>
    <row r="48" spans="1:7">
      <c r="A48" s="11">
        <v>5</v>
      </c>
      <c r="B48" s="12" t="str">
        <f>المدخلات!$F$6</f>
        <v>7:20–8:50 م</v>
      </c>
      <c r="C48" s="12">
        <v>3</v>
      </c>
      <c r="D48" s="12" t="s">
        <v>166</v>
      </c>
      <c r="E48" s="7"/>
      <c r="F48" s="5"/>
      <c r="G48" s="5"/>
    </row>
    <row r="49" spans="1:7">
      <c r="A49" s="11">
        <v>6</v>
      </c>
      <c r="B49" s="12" t="str">
        <f>المدخلات!$F$4</f>
        <v>4:00–5:30 م</v>
      </c>
      <c r="C49" s="12">
        <v>1</v>
      </c>
      <c r="D49" s="12" t="s">
        <v>111</v>
      </c>
      <c r="E49" s="7"/>
      <c r="F49" s="5"/>
      <c r="G49" s="5"/>
    </row>
    <row r="50" spans="1:7">
      <c r="A50" s="11">
        <v>6</v>
      </c>
      <c r="B50" s="12" t="str">
        <f>المدخلات!$F$4</f>
        <v>4:00–5:30 م</v>
      </c>
      <c r="C50" s="12">
        <v>2</v>
      </c>
      <c r="D50" s="12" t="s">
        <v>29</v>
      </c>
      <c r="E50" s="7"/>
      <c r="F50" s="5"/>
      <c r="G50" s="5"/>
    </row>
    <row r="51" spans="1:7">
      <c r="A51" s="11">
        <v>6</v>
      </c>
      <c r="B51" s="12" t="str">
        <f>المدخلات!$F$4</f>
        <v>4:00–5:30 م</v>
      </c>
      <c r="C51" s="12">
        <v>3</v>
      </c>
      <c r="D51" s="12" t="s">
        <v>181</v>
      </c>
      <c r="E51" s="7"/>
      <c r="F51" s="5"/>
      <c r="G51" s="5"/>
    </row>
    <row r="52" spans="1:7">
      <c r="A52" s="11">
        <v>6</v>
      </c>
      <c r="B52" s="12" t="str">
        <f>المدخلات!$F$5</f>
        <v>5:40–7:10 م</v>
      </c>
      <c r="C52" s="12">
        <v>1</v>
      </c>
      <c r="D52" s="12" t="s">
        <v>50</v>
      </c>
      <c r="E52" s="7"/>
      <c r="F52" s="5"/>
      <c r="G52" s="5"/>
    </row>
    <row r="53" spans="1:7">
      <c r="A53" s="11">
        <v>6</v>
      </c>
      <c r="B53" s="12" t="str">
        <f>المدخلات!$F$5</f>
        <v>5:40–7:10 م</v>
      </c>
      <c r="C53" s="12">
        <v>2</v>
      </c>
      <c r="D53" s="12" t="s">
        <v>43</v>
      </c>
      <c r="E53" s="7"/>
      <c r="F53" s="5"/>
      <c r="G53" s="5"/>
    </row>
    <row r="54" spans="1:7">
      <c r="A54" s="11">
        <v>6</v>
      </c>
      <c r="B54" s="12" t="str">
        <f>المدخلات!$F$5</f>
        <v>5:40–7:10 م</v>
      </c>
      <c r="C54" s="12">
        <v>3</v>
      </c>
      <c r="D54" s="12" t="s">
        <v>51</v>
      </c>
      <c r="E54" s="7"/>
      <c r="F54" s="5"/>
      <c r="G54" s="5"/>
    </row>
    <row r="55" spans="1:7">
      <c r="A55" s="11">
        <v>6</v>
      </c>
      <c r="B55" s="12" t="str">
        <f>المدخلات!$F$6</f>
        <v>7:20–8:50 م</v>
      </c>
      <c r="C55" s="12">
        <v>1</v>
      </c>
      <c r="D55" s="12" t="s">
        <v>182</v>
      </c>
      <c r="E55" s="7"/>
      <c r="F55" s="5"/>
      <c r="G55" s="5"/>
    </row>
    <row r="56" spans="1:7">
      <c r="A56" s="11">
        <v>6</v>
      </c>
      <c r="B56" s="12" t="str">
        <f>المدخلات!$F$6</f>
        <v>7:20–8:50 م</v>
      </c>
      <c r="C56" s="12">
        <v>2</v>
      </c>
      <c r="D56" s="12" t="s">
        <v>129</v>
      </c>
      <c r="E56" s="7"/>
      <c r="F56" s="5"/>
      <c r="G56" s="5"/>
    </row>
    <row r="57" spans="1:7">
      <c r="A57" s="11">
        <v>6</v>
      </c>
      <c r="B57" s="12" t="str">
        <f>المدخلات!$F$6</f>
        <v>7:20–8:50 م</v>
      </c>
      <c r="C57" s="12">
        <v>3</v>
      </c>
      <c r="D57" s="12" t="s">
        <v>130</v>
      </c>
      <c r="E57" s="7"/>
      <c r="F57" s="5"/>
      <c r="G57" s="5"/>
    </row>
    <row r="58" spans="1:7">
      <c r="A58" s="11">
        <v>7</v>
      </c>
      <c r="B58" s="12" t="str">
        <f>المدخلات!$F$4</f>
        <v>4:00–5:30 م</v>
      </c>
      <c r="C58" s="12">
        <v>1</v>
      </c>
      <c r="D58" s="12" t="s">
        <v>106</v>
      </c>
      <c r="E58" s="7"/>
      <c r="F58" s="5"/>
      <c r="G58" s="5"/>
    </row>
    <row r="59" spans="1:7">
      <c r="A59" s="11">
        <v>7</v>
      </c>
      <c r="B59" s="12" t="str">
        <f>المدخلات!$F$4</f>
        <v>4:00–5:30 م</v>
      </c>
      <c r="C59" s="12">
        <v>2</v>
      </c>
      <c r="D59" s="12" t="s">
        <v>132</v>
      </c>
      <c r="E59" s="7"/>
      <c r="F59" s="5"/>
      <c r="G59" s="5"/>
    </row>
    <row r="60" spans="1:7">
      <c r="A60" s="11">
        <v>7</v>
      </c>
      <c r="B60" s="12" t="str">
        <f>المدخلات!$F$4</f>
        <v>4:00–5:30 م</v>
      </c>
      <c r="C60" s="12">
        <v>3</v>
      </c>
      <c r="D60" s="12" t="s">
        <v>31</v>
      </c>
      <c r="E60" s="7"/>
      <c r="F60" s="5"/>
      <c r="G60" s="5"/>
    </row>
    <row r="61" spans="1:7">
      <c r="A61" s="11">
        <v>7</v>
      </c>
      <c r="B61" s="12" t="str">
        <f>المدخلات!$F$5</f>
        <v>5:40–7:10 م</v>
      </c>
      <c r="C61" s="12">
        <v>1</v>
      </c>
      <c r="D61" s="12" t="s">
        <v>183</v>
      </c>
      <c r="E61" s="7"/>
      <c r="F61" s="5"/>
      <c r="G61" s="5"/>
    </row>
    <row r="62" spans="1:7">
      <c r="A62" s="11">
        <v>7</v>
      </c>
      <c r="B62" s="12" t="str">
        <f>المدخلات!$F$5</f>
        <v>5:40–7:10 م</v>
      </c>
      <c r="C62" s="12">
        <v>2</v>
      </c>
      <c r="D62" s="12" t="s">
        <v>38</v>
      </c>
      <c r="E62" s="7"/>
      <c r="F62" s="5"/>
      <c r="G62" s="5"/>
    </row>
    <row r="63" spans="1:7">
      <c r="A63" s="11">
        <v>7</v>
      </c>
      <c r="B63" s="12" t="str">
        <f>المدخلات!$F$5</f>
        <v>5:40–7:10 م</v>
      </c>
      <c r="C63" s="12">
        <v>3</v>
      </c>
      <c r="D63" s="12" t="s">
        <v>131</v>
      </c>
      <c r="E63" s="7"/>
      <c r="F63" s="5"/>
      <c r="G63" s="5"/>
    </row>
    <row r="64" spans="1:7">
      <c r="A64" s="11">
        <v>7</v>
      </c>
      <c r="B64" s="12" t="str">
        <f>المدخلات!$F$6</f>
        <v>7:20–8:50 م</v>
      </c>
      <c r="C64" s="12">
        <v>1</v>
      </c>
      <c r="D64" s="12" t="s">
        <v>32</v>
      </c>
      <c r="E64" s="7"/>
      <c r="F64" s="5"/>
      <c r="G64" s="5"/>
    </row>
    <row r="65" spans="1:7">
      <c r="A65" s="11">
        <v>7</v>
      </c>
      <c r="B65" s="12" t="str">
        <f>المدخلات!$F$6</f>
        <v>7:20–8:50 م</v>
      </c>
      <c r="C65" s="12">
        <v>2</v>
      </c>
      <c r="D65" s="12" t="s">
        <v>112</v>
      </c>
      <c r="E65" s="7"/>
      <c r="F65" s="5"/>
      <c r="G65" s="5"/>
    </row>
    <row r="66" spans="1:7">
      <c r="A66" s="11">
        <v>7</v>
      </c>
      <c r="B66" s="12" t="str">
        <f>المدخلات!$F$6</f>
        <v>7:20–8:50 م</v>
      </c>
      <c r="C66" s="12">
        <v>3</v>
      </c>
      <c r="D66" s="12" t="s">
        <v>184</v>
      </c>
      <c r="E66" s="7"/>
      <c r="F66" s="5"/>
      <c r="G66" s="5"/>
    </row>
    <row r="67" spans="1:7">
      <c r="A67" s="11">
        <v>8</v>
      </c>
      <c r="B67" s="12" t="str">
        <f>المدخلات!$F$4</f>
        <v>4:00–5:30 م</v>
      </c>
      <c r="C67" s="12">
        <v>1</v>
      </c>
      <c r="D67" s="12" t="s">
        <v>186</v>
      </c>
      <c r="E67" s="7"/>
      <c r="F67" s="5"/>
      <c r="G67" s="5"/>
    </row>
    <row r="68" spans="1:7">
      <c r="A68" s="11">
        <v>8</v>
      </c>
      <c r="B68" s="12" t="str">
        <f>المدخلات!$F$4</f>
        <v>4:00–5:30 م</v>
      </c>
      <c r="C68" s="12">
        <v>2</v>
      </c>
      <c r="D68" s="12" t="s">
        <v>100</v>
      </c>
      <c r="E68" s="7"/>
      <c r="F68" s="5"/>
      <c r="G68" s="5"/>
    </row>
    <row r="69" spans="1:7">
      <c r="A69" s="11">
        <v>8</v>
      </c>
      <c r="B69" s="12" t="str">
        <f>المدخلات!$F$4</f>
        <v>4:00–5:30 م</v>
      </c>
      <c r="C69" s="12">
        <v>3</v>
      </c>
      <c r="D69" s="12" t="s">
        <v>133</v>
      </c>
      <c r="E69" s="7"/>
      <c r="F69" s="5"/>
      <c r="G69" s="5"/>
    </row>
    <row r="70" spans="1:7">
      <c r="A70" s="11">
        <v>8</v>
      </c>
      <c r="B70" s="12" t="str">
        <f>المدخلات!$F$5</f>
        <v>5:40–7:10 م</v>
      </c>
      <c r="C70" s="12">
        <v>1</v>
      </c>
      <c r="D70" s="12" t="s">
        <v>134</v>
      </c>
      <c r="E70" s="7"/>
      <c r="F70" s="5"/>
      <c r="G70" s="5"/>
    </row>
    <row r="71" spans="1:7">
      <c r="A71" s="11">
        <v>8</v>
      </c>
      <c r="B71" s="12" t="str">
        <f>المدخلات!$F$5</f>
        <v>5:40–7:10 م</v>
      </c>
      <c r="C71" s="12">
        <v>2</v>
      </c>
      <c r="D71" s="12" t="s">
        <v>107</v>
      </c>
      <c r="E71" s="7"/>
      <c r="F71" s="5"/>
      <c r="G71" s="5"/>
    </row>
    <row r="72" spans="1:7">
      <c r="A72" s="11">
        <v>8</v>
      </c>
      <c r="B72" s="12" t="str">
        <f>المدخلات!$F$5</f>
        <v>5:40–7:10 م</v>
      </c>
      <c r="C72" s="12">
        <v>3</v>
      </c>
      <c r="D72" s="12" t="s">
        <v>113</v>
      </c>
      <c r="E72" s="7"/>
      <c r="F72" s="5"/>
      <c r="G72" s="5"/>
    </row>
    <row r="73" spans="1:7">
      <c r="A73" s="11">
        <v>8</v>
      </c>
      <c r="B73" s="12" t="str">
        <f>المدخلات!$F$6</f>
        <v>7:20–8:50 م</v>
      </c>
      <c r="C73" s="12">
        <v>1</v>
      </c>
      <c r="D73" s="12" t="s">
        <v>19</v>
      </c>
      <c r="E73" s="7"/>
      <c r="F73" s="5"/>
      <c r="G73" s="5"/>
    </row>
    <row r="74" spans="1:7">
      <c r="A74" s="11">
        <v>8</v>
      </c>
      <c r="B74" s="12" t="str">
        <f>المدخلات!$F$6</f>
        <v>7:20–8:50 م</v>
      </c>
      <c r="C74" s="12">
        <v>2</v>
      </c>
      <c r="D74" s="12" t="s">
        <v>185</v>
      </c>
      <c r="E74" s="7"/>
      <c r="F74" s="5"/>
      <c r="G74" s="5"/>
    </row>
    <row r="75" spans="1:7">
      <c r="A75" s="11">
        <v>8</v>
      </c>
      <c r="B75" s="12" t="str">
        <f>المدخلات!$F$6</f>
        <v>7:20–8:50 م</v>
      </c>
      <c r="C75" s="12">
        <v>3</v>
      </c>
      <c r="D75" s="12" t="s">
        <v>20</v>
      </c>
      <c r="E75" s="7"/>
      <c r="F75" s="5"/>
      <c r="G75" s="5"/>
    </row>
    <row r="76" spans="1:7">
      <c r="A76" s="11">
        <v>9</v>
      </c>
      <c r="B76" s="12" t="str">
        <f>المدخلات!$F$4</f>
        <v>4:00–5:30 م</v>
      </c>
      <c r="C76" s="12">
        <v>1</v>
      </c>
      <c r="D76" s="12" t="s">
        <v>135</v>
      </c>
      <c r="E76" s="7"/>
      <c r="F76" s="5"/>
      <c r="G76" s="5"/>
    </row>
    <row r="77" spans="1:7">
      <c r="A77" s="11">
        <v>9</v>
      </c>
      <c r="B77" s="12" t="str">
        <f>المدخلات!$F$4</f>
        <v>4:00–5:30 م</v>
      </c>
      <c r="C77" s="12">
        <v>2</v>
      </c>
      <c r="D77" s="12" t="s">
        <v>105</v>
      </c>
      <c r="E77" s="7"/>
      <c r="F77" s="5"/>
      <c r="G77" s="5"/>
    </row>
    <row r="78" spans="1:7">
      <c r="A78" s="11">
        <v>9</v>
      </c>
      <c r="B78" s="12" t="str">
        <f>المدخلات!$F$4</f>
        <v>4:00–5:30 م</v>
      </c>
      <c r="C78" s="12">
        <v>3</v>
      </c>
      <c r="D78" s="12" t="s">
        <v>188</v>
      </c>
      <c r="E78" s="7"/>
      <c r="F78" s="5"/>
      <c r="G78" s="5"/>
    </row>
    <row r="79" spans="1:7">
      <c r="A79" s="11">
        <v>9</v>
      </c>
      <c r="B79" s="12" t="str">
        <f>المدخلات!$F$5</f>
        <v>5:40–7:10 م</v>
      </c>
      <c r="C79" s="12">
        <v>1</v>
      </c>
      <c r="D79" s="12" t="s">
        <v>78</v>
      </c>
      <c r="E79" s="7"/>
      <c r="F79" s="5"/>
      <c r="G79" s="5"/>
    </row>
    <row r="80" spans="1:7">
      <c r="A80" s="11">
        <v>9</v>
      </c>
      <c r="B80" s="12" t="str">
        <f>المدخلات!$F$5</f>
        <v>5:40–7:10 م</v>
      </c>
      <c r="C80" s="12">
        <v>2</v>
      </c>
      <c r="D80" s="12" t="s">
        <v>23</v>
      </c>
      <c r="E80" s="7"/>
      <c r="F80" s="5"/>
      <c r="G80" s="5"/>
    </row>
    <row r="81" spans="1:7">
      <c r="A81" s="11">
        <v>9</v>
      </c>
      <c r="B81" s="12" t="str">
        <f>المدخلات!$F$5</f>
        <v>5:40–7:10 م</v>
      </c>
      <c r="C81" s="12">
        <v>3</v>
      </c>
      <c r="D81" s="12" t="s">
        <v>187</v>
      </c>
      <c r="E81" s="7"/>
      <c r="F81" s="5"/>
      <c r="G81" s="5"/>
    </row>
    <row r="82" spans="1:7">
      <c r="A82" s="11">
        <v>9</v>
      </c>
      <c r="B82" s="12" t="str">
        <f>المدخلات!$F$6</f>
        <v>7:20–8:50 م</v>
      </c>
      <c r="C82" s="12">
        <v>1</v>
      </c>
      <c r="D82" s="12" t="s">
        <v>101</v>
      </c>
      <c r="E82" s="7"/>
      <c r="F82" s="5"/>
      <c r="G82" s="5"/>
    </row>
    <row r="83" spans="1:7">
      <c r="A83" s="11">
        <v>9</v>
      </c>
      <c r="B83" s="12" t="str">
        <f>المدخلات!$F$6</f>
        <v>7:20–8:50 م</v>
      </c>
      <c r="C83" s="12">
        <v>2</v>
      </c>
      <c r="D83" s="12" t="s">
        <v>91</v>
      </c>
      <c r="E83" s="7"/>
      <c r="F83" s="5"/>
      <c r="G83" s="5"/>
    </row>
    <row r="84" spans="1:7">
      <c r="A84" s="11">
        <v>9</v>
      </c>
      <c r="B84" s="12" t="str">
        <f>المدخلات!$F$6</f>
        <v>7:20–8:50 م</v>
      </c>
      <c r="C84" s="12">
        <v>3</v>
      </c>
      <c r="D84" s="12" t="s">
        <v>136</v>
      </c>
      <c r="E84" s="7"/>
      <c r="F84" s="5"/>
      <c r="G84" s="5"/>
    </row>
    <row r="85" spans="1:7">
      <c r="A85" s="11">
        <v>10</v>
      </c>
      <c r="B85" s="12" t="str">
        <f>المدخلات!$F$4</f>
        <v>4:00–5:30 م</v>
      </c>
      <c r="C85" s="12">
        <v>1</v>
      </c>
      <c r="D85" s="12" t="s">
        <v>139</v>
      </c>
      <c r="E85" s="7"/>
      <c r="F85" s="5"/>
      <c r="G85" s="5"/>
    </row>
    <row r="86" spans="1:7">
      <c r="A86" s="11">
        <v>10</v>
      </c>
      <c r="B86" s="12" t="str">
        <f>المدخلات!$F$4</f>
        <v>4:00–5:30 م</v>
      </c>
      <c r="C86" s="12">
        <v>2</v>
      </c>
      <c r="D86" s="12" t="s">
        <v>189</v>
      </c>
      <c r="E86" s="7"/>
      <c r="F86" s="5"/>
      <c r="G86" s="5"/>
    </row>
    <row r="87" spans="1:7">
      <c r="A87" s="11">
        <v>10</v>
      </c>
      <c r="B87" s="12" t="str">
        <f>المدخلات!$F$4</f>
        <v>4:00–5:30 م</v>
      </c>
      <c r="C87" s="12">
        <v>3</v>
      </c>
      <c r="D87" s="12" t="s">
        <v>79</v>
      </c>
      <c r="E87" s="7"/>
      <c r="F87" s="5"/>
      <c r="G87" s="5"/>
    </row>
    <row r="88" spans="1:7">
      <c r="A88" s="11">
        <v>10</v>
      </c>
      <c r="B88" s="12" t="str">
        <f>المدخلات!$F$5</f>
        <v>5:40–7:10 م</v>
      </c>
      <c r="C88" s="12">
        <v>1</v>
      </c>
      <c r="D88" s="12" t="s">
        <v>190</v>
      </c>
      <c r="E88" s="7"/>
      <c r="F88" s="5"/>
      <c r="G88" s="5"/>
    </row>
    <row r="89" spans="1:7">
      <c r="A89" s="11">
        <v>10</v>
      </c>
      <c r="B89" s="12" t="str">
        <f>المدخلات!$F$5</f>
        <v>5:40–7:10 م</v>
      </c>
      <c r="C89" s="12">
        <v>2</v>
      </c>
      <c r="D89" s="12" t="s">
        <v>99</v>
      </c>
      <c r="E89" s="7"/>
      <c r="F89" s="5"/>
      <c r="G89" s="5"/>
    </row>
    <row r="90" spans="1:7">
      <c r="A90" s="11">
        <v>10</v>
      </c>
      <c r="B90" s="12" t="str">
        <f>المدخلات!$F$5</f>
        <v>5:40–7:10 م</v>
      </c>
      <c r="C90" s="12">
        <v>3</v>
      </c>
      <c r="D90" s="12" t="s">
        <v>92</v>
      </c>
      <c r="E90" s="7"/>
      <c r="F90" s="5"/>
      <c r="G90" s="5"/>
    </row>
    <row r="91" spans="1:7">
      <c r="A91" s="11">
        <v>10</v>
      </c>
      <c r="B91" s="12" t="str">
        <f>المدخلات!$F$6</f>
        <v>7:20–8:50 م</v>
      </c>
      <c r="C91" s="12">
        <v>1</v>
      </c>
      <c r="D91" s="12" t="s">
        <v>69</v>
      </c>
      <c r="E91" s="7"/>
      <c r="F91" s="5"/>
      <c r="G91" s="5"/>
    </row>
    <row r="92" spans="1:7">
      <c r="A92" s="11">
        <v>10</v>
      </c>
      <c r="B92" s="12" t="str">
        <f>المدخلات!$F$6</f>
        <v>7:20–8:50 م</v>
      </c>
      <c r="C92" s="12">
        <v>2</v>
      </c>
      <c r="D92" s="12" t="s">
        <v>138</v>
      </c>
      <c r="E92" s="7"/>
      <c r="F92" s="5"/>
      <c r="G92" s="5"/>
    </row>
    <row r="93" spans="1:7">
      <c r="A93" s="11">
        <v>10</v>
      </c>
      <c r="B93" s="12" t="str">
        <f>المدخلات!$F$6</f>
        <v>7:20–8:50 م</v>
      </c>
      <c r="C93" s="12">
        <v>3</v>
      </c>
      <c r="D93" s="12" t="s">
        <v>137</v>
      </c>
      <c r="E93" s="7"/>
      <c r="F93" s="5"/>
      <c r="G93" s="5"/>
    </row>
    <row r="94" spans="1:7">
      <c r="A94" s="11">
        <v>11</v>
      </c>
      <c r="B94" s="12" t="str">
        <f>المدخلات!$F$4</f>
        <v>4:00–5:30 م</v>
      </c>
      <c r="C94" s="12">
        <v>1</v>
      </c>
      <c r="D94" s="12" t="s">
        <v>70</v>
      </c>
      <c r="E94" s="7"/>
      <c r="F94" s="5"/>
      <c r="G94" s="5"/>
    </row>
    <row r="95" spans="1:7">
      <c r="A95" s="11">
        <v>11</v>
      </c>
      <c r="B95" s="12" t="str">
        <f>المدخلات!$F$4</f>
        <v>4:00–5:30 م</v>
      </c>
      <c r="C95" s="12">
        <v>2</v>
      </c>
      <c r="D95" s="12" t="s">
        <v>59</v>
      </c>
      <c r="E95" s="7"/>
      <c r="F95" s="5"/>
      <c r="G95" s="5"/>
    </row>
    <row r="96" spans="1:7">
      <c r="A96" s="11">
        <v>11</v>
      </c>
      <c r="B96" s="12" t="str">
        <f>المدخلات!$F$4</f>
        <v>4:00–5:30 م</v>
      </c>
      <c r="C96" s="12">
        <v>3</v>
      </c>
      <c r="D96" s="12" t="s">
        <v>191</v>
      </c>
      <c r="E96" s="7"/>
      <c r="F96" s="5"/>
      <c r="G96" s="5"/>
    </row>
    <row r="97" spans="1:7">
      <c r="A97" s="11">
        <v>11</v>
      </c>
      <c r="B97" s="12" t="str">
        <f>المدخلات!$F$5</f>
        <v>5:40–7:10 م</v>
      </c>
      <c r="C97" s="12">
        <v>1</v>
      </c>
      <c r="D97" s="12" t="s">
        <v>141</v>
      </c>
      <c r="E97" s="7"/>
      <c r="F97" s="5"/>
      <c r="G97" s="5"/>
    </row>
    <row r="98" spans="1:7">
      <c r="A98" s="11">
        <v>11</v>
      </c>
      <c r="B98" s="12" t="str">
        <f>المدخلات!$F$5</f>
        <v>5:40–7:10 م</v>
      </c>
      <c r="C98" s="12">
        <v>2</v>
      </c>
      <c r="D98" s="12" t="s">
        <v>140</v>
      </c>
      <c r="E98" s="7"/>
      <c r="F98" s="5"/>
      <c r="G98" s="5"/>
    </row>
    <row r="99" spans="1:7">
      <c r="A99" s="11">
        <v>11</v>
      </c>
      <c r="B99" s="12" t="str">
        <f>المدخلات!$F$5</f>
        <v>5:40–7:10 م</v>
      </c>
      <c r="C99" s="12">
        <v>3</v>
      </c>
      <c r="D99" s="12" t="s">
        <v>142</v>
      </c>
      <c r="E99" s="7"/>
      <c r="F99" s="5"/>
      <c r="G99" s="5"/>
    </row>
    <row r="100" spans="1:7">
      <c r="A100" s="11">
        <v>11</v>
      </c>
      <c r="B100" s="12" t="str">
        <f>المدخلات!$F$6</f>
        <v>7:20–8:50 م</v>
      </c>
      <c r="C100" s="12">
        <v>1</v>
      </c>
      <c r="D100" s="12" t="s">
        <v>80</v>
      </c>
      <c r="E100" s="7"/>
      <c r="F100" s="5"/>
      <c r="G100" s="5"/>
    </row>
    <row r="101" spans="1:7">
      <c r="A101" s="11">
        <v>11</v>
      </c>
      <c r="B101" s="12" t="str">
        <f>المدخلات!$F$6</f>
        <v>7:20–8:50 م</v>
      </c>
      <c r="C101" s="12">
        <v>2</v>
      </c>
      <c r="D101" s="12" t="s">
        <v>144</v>
      </c>
      <c r="E101" s="7"/>
      <c r="F101" s="5"/>
      <c r="G101" s="5"/>
    </row>
    <row r="102" spans="1:7">
      <c r="A102" s="11">
        <v>11</v>
      </c>
      <c r="B102" s="12" t="str">
        <f>المدخلات!$F$6</f>
        <v>7:20–8:50 م</v>
      </c>
      <c r="C102" s="12">
        <v>3</v>
      </c>
      <c r="D102" s="12" t="s">
        <v>143</v>
      </c>
      <c r="E102" s="7"/>
      <c r="F102" s="5"/>
      <c r="G102" s="5"/>
    </row>
    <row r="103" spans="1:7">
      <c r="A103" s="11">
        <v>12</v>
      </c>
      <c r="B103" s="12" t="str">
        <f>المدخلات!$F$4</f>
        <v>4:00–5:30 م</v>
      </c>
      <c r="C103" s="12">
        <v>1</v>
      </c>
      <c r="D103" s="12" t="s">
        <v>148</v>
      </c>
      <c r="E103" s="7"/>
      <c r="F103" s="5"/>
      <c r="G103" s="5"/>
    </row>
    <row r="104" spans="1:7">
      <c r="A104" s="11">
        <v>12</v>
      </c>
      <c r="B104" s="12" t="str">
        <f>المدخلات!$F$4</f>
        <v>4:00–5:30 م</v>
      </c>
      <c r="C104" s="12">
        <v>2</v>
      </c>
      <c r="D104" s="12" t="s">
        <v>146</v>
      </c>
      <c r="E104" s="7"/>
      <c r="F104" s="5"/>
      <c r="G104" s="5"/>
    </row>
    <row r="105" spans="1:7">
      <c r="A105" s="11">
        <v>12</v>
      </c>
      <c r="B105" s="12" t="str">
        <f>المدخلات!$F$4</f>
        <v>4:00–5:30 م</v>
      </c>
      <c r="C105" s="12">
        <v>3</v>
      </c>
      <c r="D105" s="12" t="s">
        <v>147</v>
      </c>
      <c r="E105" s="7"/>
      <c r="F105" s="5"/>
      <c r="G105" s="5"/>
    </row>
    <row r="106" spans="1:7">
      <c r="A106" s="11">
        <v>12</v>
      </c>
      <c r="B106" s="12" t="str">
        <f>المدخلات!$F$5</f>
        <v>5:40–7:10 م</v>
      </c>
      <c r="C106" s="12">
        <v>1</v>
      </c>
      <c r="D106" s="12" t="s">
        <v>71</v>
      </c>
      <c r="E106" s="7"/>
      <c r="F106" s="5"/>
      <c r="G106" s="5"/>
    </row>
    <row r="107" spans="1:7">
      <c r="A107" s="11">
        <v>12</v>
      </c>
      <c r="B107" s="12" t="str">
        <f>المدخلات!$F$5</f>
        <v>5:40–7:10 م</v>
      </c>
      <c r="C107" s="12">
        <v>2</v>
      </c>
      <c r="D107" s="12" t="s">
        <v>192</v>
      </c>
      <c r="E107" s="7"/>
      <c r="F107" s="5"/>
      <c r="G107" s="5"/>
    </row>
    <row r="108" spans="1:7">
      <c r="A108" s="11">
        <v>12</v>
      </c>
      <c r="B108" s="12" t="str">
        <f>المدخلات!$F$5</f>
        <v>5:40–7:10 م</v>
      </c>
      <c r="C108" s="12">
        <v>3</v>
      </c>
      <c r="D108" s="12" t="s">
        <v>60</v>
      </c>
      <c r="E108" s="7"/>
      <c r="F108" s="5"/>
      <c r="G108" s="5"/>
    </row>
    <row r="109" spans="1:7">
      <c r="A109" s="11">
        <v>12</v>
      </c>
      <c r="B109" s="12" t="str">
        <f>المدخلات!$F$6</f>
        <v>7:20–8:50 م</v>
      </c>
      <c r="C109" s="12">
        <v>1</v>
      </c>
      <c r="D109" s="12" t="s">
        <v>145</v>
      </c>
      <c r="E109" s="7"/>
      <c r="F109" s="5"/>
      <c r="G109" s="5"/>
    </row>
    <row r="110" spans="1:7">
      <c r="A110" s="11">
        <v>12</v>
      </c>
      <c r="B110" s="12" t="str">
        <f>المدخلات!$F$6</f>
        <v>7:20–8:50 م</v>
      </c>
      <c r="C110" s="12">
        <v>2</v>
      </c>
      <c r="D110" s="12" t="s">
        <v>52</v>
      </c>
      <c r="E110" s="7"/>
      <c r="F110" s="5"/>
      <c r="G110" s="5"/>
    </row>
    <row r="111" spans="1:7">
      <c r="A111" s="11">
        <v>12</v>
      </c>
      <c r="B111" s="12" t="str">
        <f>المدخلات!$F$6</f>
        <v>7:20–8:50 م</v>
      </c>
      <c r="C111" s="12">
        <v>3</v>
      </c>
      <c r="D111" s="12" t="s">
        <v>81</v>
      </c>
      <c r="E111" s="7"/>
      <c r="F111" s="5"/>
      <c r="G111" s="5"/>
    </row>
    <row r="112" spans="1:7">
      <c r="A112" s="11">
        <v>13</v>
      </c>
      <c r="B112" s="12" t="str">
        <f>المدخلات!$F$4</f>
        <v>4:00–5:30 م</v>
      </c>
      <c r="C112" s="12">
        <v>1</v>
      </c>
      <c r="D112" s="12" t="s">
        <v>149</v>
      </c>
      <c r="E112" s="7"/>
      <c r="F112" s="5"/>
      <c r="G112" s="5"/>
    </row>
    <row r="113" spans="1:7">
      <c r="A113" s="11">
        <v>13</v>
      </c>
      <c r="B113" s="12" t="str">
        <f>المدخلات!$F$4</f>
        <v>4:00–5:30 م</v>
      </c>
      <c r="C113" s="12">
        <v>2</v>
      </c>
      <c r="D113" s="12" t="s">
        <v>72</v>
      </c>
      <c r="E113" s="7"/>
      <c r="F113" s="5"/>
      <c r="G113" s="5"/>
    </row>
    <row r="114" spans="1:7">
      <c r="A114" s="11">
        <v>13</v>
      </c>
      <c r="B114" s="12" t="str">
        <f>المدخلات!$F$4</f>
        <v>4:00–5:30 م</v>
      </c>
      <c r="C114" s="12">
        <v>3</v>
      </c>
      <c r="D114" s="12" t="s">
        <v>53</v>
      </c>
      <c r="E114" s="7"/>
      <c r="F114" s="5"/>
      <c r="G114" s="5"/>
    </row>
    <row r="115" spans="1:7">
      <c r="A115" s="11">
        <v>13</v>
      </c>
      <c r="B115" s="12" t="str">
        <f>المدخلات!$F$5</f>
        <v>5:40–7:10 م</v>
      </c>
      <c r="C115" s="12">
        <v>1</v>
      </c>
      <c r="D115" s="12" t="s">
        <v>167</v>
      </c>
      <c r="E115" s="7"/>
      <c r="F115" s="5"/>
      <c r="G115" s="5"/>
    </row>
    <row r="116" spans="1:7">
      <c r="A116" s="11">
        <v>13</v>
      </c>
      <c r="B116" s="12" t="str">
        <f>المدخلات!$F$5</f>
        <v>5:40–7:10 م</v>
      </c>
      <c r="C116" s="12">
        <v>2</v>
      </c>
      <c r="D116" s="12" t="s">
        <v>82</v>
      </c>
      <c r="E116" s="7"/>
      <c r="F116" s="5"/>
      <c r="G116" s="5"/>
    </row>
    <row r="117" spans="1:7">
      <c r="A117" s="11">
        <v>13</v>
      </c>
      <c r="B117" s="12" t="str">
        <f>المدخلات!$F$5</f>
        <v>5:40–7:10 م</v>
      </c>
      <c r="C117" s="12">
        <v>3</v>
      </c>
      <c r="D117" s="12" t="s">
        <v>44</v>
      </c>
      <c r="E117" s="7"/>
      <c r="F117" s="5"/>
      <c r="G117" s="5"/>
    </row>
    <row r="118" spans="1:7">
      <c r="A118" s="11">
        <v>13</v>
      </c>
      <c r="B118" s="12" t="str">
        <f>المدخلات!$F$6</f>
        <v>7:20–8:50 م</v>
      </c>
      <c r="C118" s="12">
        <v>1</v>
      </c>
      <c r="D118" s="12" t="s">
        <v>61</v>
      </c>
      <c r="E118" s="7"/>
      <c r="F118" s="5"/>
      <c r="G118" s="5"/>
    </row>
    <row r="119" spans="1:7">
      <c r="A119" s="11">
        <v>13</v>
      </c>
      <c r="B119" s="12" t="str">
        <f>المدخلات!$F$6</f>
        <v>7:20–8:50 م</v>
      </c>
      <c r="C119" s="12">
        <v>2</v>
      </c>
      <c r="D119" s="12" t="s">
        <v>150</v>
      </c>
      <c r="E119" s="7"/>
      <c r="F119" s="5"/>
      <c r="G119" s="5"/>
    </row>
    <row r="120" spans="1:7">
      <c r="A120" s="11">
        <v>13</v>
      </c>
      <c r="B120" s="12" t="str">
        <f>المدخلات!$F$6</f>
        <v>7:20–8:50 م</v>
      </c>
      <c r="C120" s="12">
        <v>3</v>
      </c>
      <c r="D120" s="12" t="s">
        <v>193</v>
      </c>
      <c r="E120" s="7"/>
      <c r="F120" s="5"/>
      <c r="G120" s="5"/>
    </row>
    <row r="121" spans="1:7">
      <c r="A121" s="11">
        <v>14</v>
      </c>
      <c r="B121" s="12" t="str">
        <f>المدخلات!$F$4</f>
        <v>4:00–5:30 م</v>
      </c>
      <c r="C121" s="12">
        <v>1</v>
      </c>
      <c r="D121" s="12" t="s">
        <v>39</v>
      </c>
      <c r="E121" s="7"/>
      <c r="F121" s="5"/>
      <c r="G121" s="5"/>
    </row>
    <row r="122" spans="1:7">
      <c r="A122" s="11">
        <v>14</v>
      </c>
      <c r="B122" s="12" t="str">
        <f>المدخلات!$F$4</f>
        <v>4:00–5:30 م</v>
      </c>
      <c r="C122" s="12">
        <v>2</v>
      </c>
      <c r="D122" s="12" t="s">
        <v>45</v>
      </c>
      <c r="E122" s="7"/>
      <c r="F122" s="5"/>
      <c r="G122" s="5"/>
    </row>
    <row r="123" spans="1:7">
      <c r="A123" s="11">
        <v>14</v>
      </c>
      <c r="B123" s="12" t="str">
        <f>المدخلات!$F$4</f>
        <v>4:00–5:30 م</v>
      </c>
      <c r="C123" s="12">
        <v>3</v>
      </c>
      <c r="D123" s="12" t="s">
        <v>83</v>
      </c>
      <c r="E123" s="7"/>
      <c r="F123" s="5"/>
      <c r="G123" s="5"/>
    </row>
    <row r="124" spans="1:7">
      <c r="A124" s="11">
        <v>14</v>
      </c>
      <c r="B124" s="12" t="str">
        <f>المدخلات!$F$5</f>
        <v>5:40–7:10 م</v>
      </c>
      <c r="C124" s="12">
        <v>1</v>
      </c>
      <c r="D124" s="12" t="s">
        <v>62</v>
      </c>
      <c r="E124" s="7"/>
      <c r="F124" s="5"/>
      <c r="G124" s="5"/>
    </row>
    <row r="125" spans="1:7">
      <c r="A125" s="11">
        <v>14</v>
      </c>
      <c r="B125" s="12" t="str">
        <f>المدخلات!$F$5</f>
        <v>5:40–7:10 م</v>
      </c>
      <c r="C125" s="12">
        <v>2</v>
      </c>
      <c r="D125" s="12" t="s">
        <v>54</v>
      </c>
      <c r="E125" s="7"/>
      <c r="F125" s="5"/>
      <c r="G125" s="5"/>
    </row>
    <row r="126" spans="1:7">
      <c r="A126" s="11">
        <v>14</v>
      </c>
      <c r="B126" s="12" t="str">
        <f>المدخلات!$F$5</f>
        <v>5:40–7:10 م</v>
      </c>
      <c r="C126" s="12">
        <v>3</v>
      </c>
      <c r="D126" s="12" t="s">
        <v>151</v>
      </c>
      <c r="E126" s="7"/>
      <c r="F126" s="5"/>
      <c r="G126" s="5"/>
    </row>
    <row r="127" spans="1:7">
      <c r="A127" s="11">
        <v>14</v>
      </c>
      <c r="B127" s="12" t="str">
        <f>المدخلات!$F$6</f>
        <v>7:20–8:50 م</v>
      </c>
      <c r="C127" s="12">
        <v>1</v>
      </c>
      <c r="D127" s="12" t="s">
        <v>168</v>
      </c>
      <c r="E127" s="7"/>
      <c r="F127" s="5"/>
      <c r="G127" s="5"/>
    </row>
    <row r="128" spans="1:7">
      <c r="A128" s="11">
        <v>14</v>
      </c>
      <c r="B128" s="12" t="str">
        <f>المدخلات!$F$6</f>
        <v>7:20–8:50 م</v>
      </c>
      <c r="C128" s="12">
        <v>2</v>
      </c>
      <c r="D128" s="12" t="s">
        <v>194</v>
      </c>
      <c r="E128" s="7"/>
      <c r="F128" s="5"/>
      <c r="G128" s="5"/>
    </row>
    <row r="129" spans="1:7">
      <c r="A129" s="11">
        <v>14</v>
      </c>
      <c r="B129" s="12" t="str">
        <f>المدخلات!$F$6</f>
        <v>7:20–8:50 م</v>
      </c>
      <c r="C129" s="12">
        <v>3</v>
      </c>
      <c r="D129" s="12" t="s">
        <v>73</v>
      </c>
      <c r="E129" s="7"/>
      <c r="F129" s="5"/>
      <c r="G129" s="5"/>
    </row>
    <row r="130" spans="1:7">
      <c r="A130" s="11">
        <v>15</v>
      </c>
      <c r="B130" s="12" t="str">
        <f>المدخلات!$F$4</f>
        <v>4:00–5:30 م</v>
      </c>
      <c r="C130" s="12">
        <v>1</v>
      </c>
      <c r="D130" s="12" t="s">
        <v>114</v>
      </c>
      <c r="E130" s="7"/>
      <c r="F130" s="5"/>
      <c r="G130" s="5"/>
    </row>
    <row r="131" spans="1:7">
      <c r="A131" s="11">
        <v>15</v>
      </c>
      <c r="B131" s="12" t="str">
        <f>المدخلات!$F$4</f>
        <v>4:00–5:30 م</v>
      </c>
      <c r="C131" s="12">
        <v>2</v>
      </c>
      <c r="D131" s="12" t="s">
        <v>164</v>
      </c>
      <c r="E131" s="7"/>
      <c r="F131" s="5"/>
      <c r="G131" s="5"/>
    </row>
    <row r="132" spans="1:7">
      <c r="A132" s="11">
        <v>15</v>
      </c>
      <c r="B132" s="12" t="str">
        <f>المدخلات!$F$4</f>
        <v>4:00–5:30 م</v>
      </c>
      <c r="C132" s="12">
        <v>3</v>
      </c>
      <c r="D132" s="12" t="s">
        <v>152</v>
      </c>
      <c r="E132" s="7"/>
      <c r="F132" s="5"/>
      <c r="G132" s="5"/>
    </row>
    <row r="133" spans="1:7">
      <c r="A133" s="11">
        <v>15</v>
      </c>
      <c r="B133" s="12" t="str">
        <f>المدخلات!$F$5</f>
        <v>5:40–7:10 م</v>
      </c>
      <c r="C133" s="12">
        <v>1</v>
      </c>
      <c r="D133" s="12" t="s">
        <v>55</v>
      </c>
      <c r="E133" s="7"/>
      <c r="F133" s="5"/>
      <c r="G133" s="5"/>
    </row>
    <row r="134" spans="1:7">
      <c r="A134" s="11">
        <v>15</v>
      </c>
      <c r="B134" s="12" t="str">
        <f>المدخلات!$F$5</f>
        <v>5:40–7:10 م</v>
      </c>
      <c r="C134" s="12">
        <v>2</v>
      </c>
      <c r="D134" s="12" t="s">
        <v>195</v>
      </c>
      <c r="E134" s="7"/>
      <c r="F134" s="5"/>
      <c r="G134" s="5"/>
    </row>
    <row r="135" spans="1:7">
      <c r="A135" s="11">
        <v>15</v>
      </c>
      <c r="B135" s="12" t="str">
        <f>المدخلات!$F$5</f>
        <v>5:40–7:10 م</v>
      </c>
      <c r="C135" s="12">
        <v>3</v>
      </c>
      <c r="D135" s="12" t="s">
        <v>18</v>
      </c>
      <c r="E135" s="7"/>
      <c r="F135" s="5"/>
      <c r="G135" s="5"/>
    </row>
    <row r="136" spans="1:7">
      <c r="A136" s="11">
        <v>15</v>
      </c>
      <c r="B136" s="12" t="str">
        <f>المدخلات!$F$6</f>
        <v>7:20–8:50 م</v>
      </c>
      <c r="C136" s="12">
        <v>1</v>
      </c>
      <c r="D136" s="12" t="s">
        <v>46</v>
      </c>
      <c r="E136" s="7"/>
      <c r="F136" s="5"/>
      <c r="G136" s="5"/>
    </row>
    <row r="137" spans="1:7">
      <c r="A137" s="11">
        <v>15</v>
      </c>
      <c r="B137" s="12" t="str">
        <f>المدخلات!$F$6</f>
        <v>7:20–8:50 م</v>
      </c>
      <c r="C137" s="12">
        <v>2</v>
      </c>
      <c r="D137" s="12" t="s">
        <v>63</v>
      </c>
      <c r="E137" s="7"/>
      <c r="F137" s="5"/>
      <c r="G137" s="5"/>
    </row>
    <row r="138" spans="1:7">
      <c r="A138" s="11">
        <v>15</v>
      </c>
      <c r="B138" s="12" t="str">
        <f>المدخلات!$F$6</f>
        <v>7:20–8:50 م</v>
      </c>
      <c r="C138" s="12">
        <v>3</v>
      </c>
      <c r="D138" s="12" t="s">
        <v>40</v>
      </c>
      <c r="E138" s="7"/>
      <c r="F138" s="5"/>
      <c r="G138" s="5"/>
    </row>
    <row r="139" spans="1:7">
      <c r="A139" s="11">
        <v>16</v>
      </c>
      <c r="B139" s="12" t="str">
        <f>المدخلات!$F$4</f>
        <v>4:00–5:30 م</v>
      </c>
      <c r="C139" s="12">
        <v>1</v>
      </c>
      <c r="D139" s="12" t="s">
        <v>196</v>
      </c>
      <c r="E139" s="7"/>
      <c r="F139" s="5"/>
      <c r="G139" s="5"/>
    </row>
    <row r="140" spans="1:7">
      <c r="A140" s="11">
        <v>16</v>
      </c>
      <c r="B140" s="12" t="str">
        <f>المدخلات!$F$4</f>
        <v>4:00–5:30 م</v>
      </c>
      <c r="C140" s="12">
        <v>2</v>
      </c>
      <c r="D140" s="12" t="s">
        <v>41</v>
      </c>
      <c r="E140" s="7"/>
      <c r="F140" s="5"/>
      <c r="G140" s="5"/>
    </row>
    <row r="141" spans="1:7">
      <c r="A141" s="11">
        <v>16</v>
      </c>
      <c r="B141" s="12" t="str">
        <f>المدخلات!$F$4</f>
        <v>4:00–5:30 م</v>
      </c>
      <c r="C141" s="12">
        <v>3</v>
      </c>
      <c r="D141" s="12" t="s">
        <v>22</v>
      </c>
      <c r="E141" s="7"/>
      <c r="F141" s="5"/>
      <c r="G141" s="5"/>
    </row>
    <row r="142" spans="1:7">
      <c r="A142" s="11">
        <v>16</v>
      </c>
      <c r="B142" s="12" t="str">
        <f>المدخلات!$F$5</f>
        <v>5:40–7:10 م</v>
      </c>
      <c r="C142" s="12">
        <v>1</v>
      </c>
      <c r="D142" s="12" t="s">
        <v>47</v>
      </c>
      <c r="E142" s="7"/>
      <c r="F142" s="5"/>
      <c r="G142" s="5"/>
    </row>
    <row r="143" spans="1:7">
      <c r="A143" s="11">
        <v>16</v>
      </c>
      <c r="B143" s="12" t="str">
        <f>المدخلات!$F$5</f>
        <v>5:40–7:10 م</v>
      </c>
      <c r="C143" s="12">
        <v>2</v>
      </c>
      <c r="D143" s="12" t="s">
        <v>115</v>
      </c>
      <c r="E143" s="7"/>
      <c r="F143" s="5"/>
      <c r="G143" s="5"/>
    </row>
    <row r="144" spans="1:7">
      <c r="A144" s="11">
        <v>16</v>
      </c>
      <c r="B144" s="12" t="str">
        <f>المدخلات!$F$5</f>
        <v>5:40–7:10 م</v>
      </c>
      <c r="C144" s="12">
        <v>3</v>
      </c>
      <c r="D144" s="12" t="s">
        <v>108</v>
      </c>
      <c r="E144" s="7"/>
      <c r="F144" s="5"/>
      <c r="G144" s="5"/>
    </row>
    <row r="145" spans="1:7">
      <c r="A145" s="11">
        <v>16</v>
      </c>
      <c r="B145" s="12" t="str">
        <f>المدخلات!$F$6</f>
        <v>7:20–8:50 م</v>
      </c>
      <c r="C145" s="12">
        <v>1</v>
      </c>
      <c r="D145" s="12" t="s">
        <v>153</v>
      </c>
      <c r="E145" s="7"/>
      <c r="F145" s="5"/>
      <c r="G145" s="5"/>
    </row>
    <row r="146" spans="1:7">
      <c r="A146" s="11">
        <v>16</v>
      </c>
      <c r="B146" s="12" t="str">
        <f>المدخلات!$F$6</f>
        <v>7:20–8:50 م</v>
      </c>
      <c r="C146" s="12">
        <v>2</v>
      </c>
      <c r="D146" s="12" t="s">
        <v>21</v>
      </c>
      <c r="E146" s="7"/>
      <c r="F146" s="5"/>
      <c r="G146" s="5"/>
    </row>
    <row r="147" spans="1:7">
      <c r="A147" s="11">
        <v>16</v>
      </c>
      <c r="B147" s="12" t="str">
        <f>المدخلات!$F$6</f>
        <v>7:20–8:50 م</v>
      </c>
      <c r="C147" s="12">
        <v>3</v>
      </c>
      <c r="D147" s="12" t="s">
        <v>197</v>
      </c>
      <c r="E147" s="7"/>
      <c r="F147" s="5"/>
      <c r="G147" s="5"/>
    </row>
    <row r="148" spans="1:7">
      <c r="A148" s="11">
        <v>17</v>
      </c>
      <c r="B148" s="12" t="str">
        <f>المدخلات!$F$4</f>
        <v>4:00–5:30 م</v>
      </c>
      <c r="C148" s="12">
        <v>1</v>
      </c>
      <c r="D148" s="12" t="s">
        <v>26</v>
      </c>
      <c r="E148" s="7"/>
      <c r="F148" s="5"/>
      <c r="G148" s="5"/>
    </row>
    <row r="149" spans="1:7">
      <c r="A149" s="11">
        <v>17</v>
      </c>
      <c r="B149" s="12" t="str">
        <f>المدخلات!$F$4</f>
        <v>4:00–5:30 م</v>
      </c>
      <c r="C149" s="12">
        <v>2</v>
      </c>
      <c r="D149" s="12" t="s">
        <v>198</v>
      </c>
      <c r="E149" s="7"/>
      <c r="F149" s="5"/>
      <c r="G149" s="5"/>
    </row>
    <row r="150" spans="1:7">
      <c r="A150" s="11">
        <v>17</v>
      </c>
      <c r="B150" s="12" t="str">
        <f>المدخلات!$F$4</f>
        <v>4:00–5:30 م</v>
      </c>
      <c r="C150" s="12">
        <v>3</v>
      </c>
      <c r="D150" s="12" t="s">
        <v>154</v>
      </c>
      <c r="E150" s="7"/>
      <c r="F150" s="5"/>
      <c r="G150" s="5"/>
    </row>
    <row r="151" spans="1:7">
      <c r="A151" s="11">
        <v>17</v>
      </c>
      <c r="B151" s="12" t="str">
        <f>المدخلات!$F$5</f>
        <v>5:40–7:10 م</v>
      </c>
      <c r="C151" s="12">
        <v>1</v>
      </c>
      <c r="D151" s="12" t="s">
        <v>24</v>
      </c>
      <c r="E151" s="7"/>
      <c r="F151" s="5"/>
      <c r="G151" s="5"/>
    </row>
    <row r="152" spans="1:7">
      <c r="A152" s="11">
        <v>17</v>
      </c>
      <c r="B152" s="12" t="str">
        <f>المدخلات!$F$5</f>
        <v>5:40–7:10 م</v>
      </c>
      <c r="C152" s="12">
        <v>2</v>
      </c>
      <c r="D152" s="12" t="s">
        <v>116</v>
      </c>
      <c r="E152" s="7"/>
      <c r="F152" s="5"/>
      <c r="G152" s="5"/>
    </row>
    <row r="153" spans="1:7">
      <c r="A153" s="11">
        <v>17</v>
      </c>
      <c r="B153" s="12" t="str">
        <f>المدخلات!$F$5</f>
        <v>5:40–7:10 م</v>
      </c>
      <c r="C153" s="12">
        <v>3</v>
      </c>
      <c r="D153" s="12" t="s">
        <v>25</v>
      </c>
      <c r="E153" s="7"/>
      <c r="F153" s="5"/>
      <c r="G153" s="5"/>
    </row>
    <row r="154" spans="1:7">
      <c r="A154" s="11">
        <v>17</v>
      </c>
      <c r="B154" s="12" t="str">
        <f>المدخلات!$F$6</f>
        <v>7:20–8:50 م</v>
      </c>
      <c r="C154" s="12">
        <v>1</v>
      </c>
      <c r="D154" s="12" t="s">
        <v>199</v>
      </c>
      <c r="E154" s="7"/>
      <c r="F154" s="5"/>
      <c r="G154" s="5"/>
    </row>
    <row r="155" spans="1:7">
      <c r="A155" s="11">
        <v>17</v>
      </c>
      <c r="B155" s="12" t="str">
        <f>المدخلات!$F$6</f>
        <v>7:20–8:50 م</v>
      </c>
      <c r="C155" s="12">
        <v>2</v>
      </c>
      <c r="D155" s="12" t="s">
        <v>109</v>
      </c>
      <c r="E155" s="7"/>
      <c r="F155" s="5"/>
      <c r="G155" s="5"/>
    </row>
    <row r="156" spans="1:7">
      <c r="A156" s="11">
        <v>17</v>
      </c>
      <c r="B156" s="12" t="str">
        <f>المدخلات!$F$6</f>
        <v>7:20–8:50 م</v>
      </c>
      <c r="C156" s="12">
        <v>3</v>
      </c>
      <c r="D156" s="12" t="s">
        <v>102</v>
      </c>
      <c r="E156" s="7"/>
      <c r="F156" s="5"/>
      <c r="G156" s="5"/>
    </row>
    <row r="157" spans="1:7">
      <c r="A157" s="11">
        <v>18</v>
      </c>
      <c r="B157" s="12" t="str">
        <f>المدخلات!$F$4</f>
        <v>4:00–5:30 م</v>
      </c>
      <c r="C157" s="12">
        <v>1</v>
      </c>
      <c r="D157" s="12" t="s">
        <v>103</v>
      </c>
      <c r="E157" s="7"/>
      <c r="F157" s="5"/>
      <c r="G157" s="5"/>
    </row>
    <row r="158" spans="1:7">
      <c r="A158" s="11">
        <v>18</v>
      </c>
      <c r="B158" s="12" t="str">
        <f>المدخلات!$F$4</f>
        <v>4:00–5:30 م</v>
      </c>
      <c r="C158" s="12">
        <v>2</v>
      </c>
      <c r="D158" s="12" t="s">
        <v>110</v>
      </c>
      <c r="E158" s="7"/>
      <c r="F158" s="5"/>
      <c r="G158" s="5"/>
    </row>
    <row r="159" spans="1:7">
      <c r="A159" s="11">
        <v>18</v>
      </c>
      <c r="B159" s="12" t="str">
        <f>المدخلات!$F$4</f>
        <v>4:00–5:30 م</v>
      </c>
      <c r="C159" s="12">
        <v>3</v>
      </c>
      <c r="D159" s="12" t="s">
        <v>93</v>
      </c>
      <c r="E159" s="7"/>
      <c r="F159" s="5"/>
      <c r="G159" s="5"/>
    </row>
    <row r="160" spans="1:7">
      <c r="A160" s="11">
        <v>18</v>
      </c>
      <c r="B160" s="12" t="str">
        <f>المدخلات!$F$5</f>
        <v>5:40–7:10 م</v>
      </c>
      <c r="C160" s="12">
        <v>1</v>
      </c>
      <c r="D160" s="12" t="s">
        <v>201</v>
      </c>
      <c r="E160" s="7"/>
      <c r="F160" s="5"/>
      <c r="G160" s="5"/>
    </row>
    <row r="161" spans="1:7">
      <c r="A161" s="11">
        <v>18</v>
      </c>
      <c r="B161" s="12" t="str">
        <f>المدخلات!$F$5</f>
        <v>5:40–7:10 م</v>
      </c>
      <c r="C161" s="12">
        <v>2</v>
      </c>
      <c r="D161" s="12" t="s">
        <v>104</v>
      </c>
      <c r="E161" s="7"/>
      <c r="F161" s="5"/>
      <c r="G161" s="5"/>
    </row>
    <row r="162" spans="1:7">
      <c r="A162" s="11">
        <v>18</v>
      </c>
      <c r="B162" s="12" t="str">
        <f>المدخلات!$F$5</f>
        <v>5:40–7:10 م</v>
      </c>
      <c r="C162" s="12">
        <v>3</v>
      </c>
      <c r="D162" s="12" t="s">
        <v>200</v>
      </c>
      <c r="E162" s="7"/>
      <c r="F162" s="5"/>
      <c r="G162" s="5"/>
    </row>
    <row r="163" spans="1:7">
      <c r="A163" s="11">
        <v>18</v>
      </c>
      <c r="B163" s="12" t="str">
        <f>المدخلات!$F$6</f>
        <v>7:20–8:50 م</v>
      </c>
      <c r="C163" s="12">
        <v>1</v>
      </c>
      <c r="D163" s="12" t="s">
        <v>27</v>
      </c>
      <c r="E163" s="7"/>
      <c r="F163" s="5"/>
      <c r="G163" s="5"/>
    </row>
    <row r="164" spans="1:7">
      <c r="A164" s="11">
        <v>18</v>
      </c>
      <c r="B164" s="12" t="str">
        <f>المدخلات!$F$6</f>
        <v>7:20–8:50 م</v>
      </c>
      <c r="C164" s="12">
        <v>2</v>
      </c>
      <c r="D164" s="12" t="s">
        <v>155</v>
      </c>
      <c r="E164" s="7"/>
      <c r="F164" s="5"/>
      <c r="G164" s="5"/>
    </row>
    <row r="165" spans="1:7">
      <c r="A165" s="11">
        <v>18</v>
      </c>
      <c r="B165" s="12" t="str">
        <f>المدخلات!$F$6</f>
        <v>7:20–8:50 م</v>
      </c>
      <c r="C165" s="12">
        <v>3</v>
      </c>
      <c r="D165" s="12" t="s">
        <v>28</v>
      </c>
      <c r="E165" s="7"/>
      <c r="F165" s="5"/>
      <c r="G165" s="5"/>
    </row>
    <row r="166" spans="1:7">
      <c r="A166" s="11">
        <v>19</v>
      </c>
      <c r="B166" s="12" t="str">
        <f>المدخلات!$F$4</f>
        <v>4:00–5:30 م</v>
      </c>
      <c r="C166" s="12">
        <v>1</v>
      </c>
      <c r="D166" s="12" t="s">
        <v>158</v>
      </c>
      <c r="E166" s="7"/>
      <c r="F166" s="5"/>
      <c r="G166" s="5"/>
    </row>
    <row r="167" spans="1:7">
      <c r="A167" s="11">
        <v>19</v>
      </c>
      <c r="B167" s="12" t="str">
        <f>المدخلات!$F$4</f>
        <v>4:00–5:30 م</v>
      </c>
      <c r="C167" s="12">
        <v>2</v>
      </c>
      <c r="D167" s="12" t="s">
        <v>30</v>
      </c>
      <c r="E167" s="7"/>
      <c r="F167" s="5"/>
      <c r="G167" s="5"/>
    </row>
    <row r="168" spans="1:7">
      <c r="A168" s="11">
        <v>19</v>
      </c>
      <c r="B168" s="12" t="str">
        <f>المدخلات!$F$4</f>
        <v>4:00–5:30 م</v>
      </c>
      <c r="C168" s="12">
        <v>3</v>
      </c>
      <c r="D168" s="12" t="s">
        <v>203</v>
      </c>
      <c r="E168" s="7"/>
      <c r="F168" s="5"/>
      <c r="G168" s="5"/>
    </row>
    <row r="169" spans="1:7">
      <c r="A169" s="11">
        <v>19</v>
      </c>
      <c r="B169" s="12" t="str">
        <f>المدخلات!$F$5</f>
        <v>5:40–7:10 م</v>
      </c>
      <c r="C169" s="12">
        <v>1</v>
      </c>
      <c r="D169" s="12" t="s">
        <v>84</v>
      </c>
      <c r="E169" s="7"/>
      <c r="F169" s="5"/>
      <c r="G169" s="5"/>
    </row>
    <row r="170" spans="1:7">
      <c r="A170" s="11">
        <v>19</v>
      </c>
      <c r="B170" s="12" t="str">
        <f>المدخلات!$F$5</f>
        <v>5:40–7:10 م</v>
      </c>
      <c r="C170" s="12">
        <v>2</v>
      </c>
      <c r="D170" s="12" t="s">
        <v>156</v>
      </c>
      <c r="E170" s="7"/>
      <c r="F170" s="5"/>
      <c r="G170" s="5"/>
    </row>
    <row r="171" spans="1:7">
      <c r="A171" s="11">
        <v>19</v>
      </c>
      <c r="B171" s="12" t="str">
        <f>المدخلات!$F$5</f>
        <v>5:40–7:10 م</v>
      </c>
      <c r="C171" s="12">
        <v>3</v>
      </c>
      <c r="D171" s="12" t="s">
        <v>94</v>
      </c>
      <c r="E171" s="7"/>
      <c r="F171" s="5"/>
      <c r="G171" s="5"/>
    </row>
    <row r="172" spans="1:7">
      <c r="A172" s="11">
        <v>19</v>
      </c>
      <c r="B172" s="12" t="str">
        <f>المدخلات!$F$6</f>
        <v>7:20–8:50 م</v>
      </c>
      <c r="C172" s="12">
        <v>1</v>
      </c>
      <c r="D172" s="12" t="s">
        <v>157</v>
      </c>
      <c r="E172" s="7"/>
      <c r="F172" s="5"/>
      <c r="G172" s="5"/>
    </row>
    <row r="173" spans="1:7">
      <c r="A173" s="11">
        <v>19</v>
      </c>
      <c r="B173" s="12" t="str">
        <f>المدخلات!$F$6</f>
        <v>7:20–8:50 م</v>
      </c>
      <c r="C173" s="12">
        <v>2</v>
      </c>
      <c r="D173" s="12" t="s">
        <v>202</v>
      </c>
      <c r="E173" s="7"/>
      <c r="F173" s="5"/>
      <c r="G173" s="5"/>
    </row>
    <row r="174" spans="1:7">
      <c r="A174" s="11">
        <v>19</v>
      </c>
      <c r="B174" s="12" t="str">
        <f>المدخلات!$F$6</f>
        <v>7:20–8:50 م</v>
      </c>
      <c r="C174" s="12">
        <v>3</v>
      </c>
      <c r="D174" s="12" t="s">
        <v>98</v>
      </c>
      <c r="E174" s="7"/>
      <c r="F174" s="5"/>
      <c r="G174" s="5"/>
    </row>
    <row r="175" spans="1:7">
      <c r="A175" s="5"/>
      <c r="B175" s="5"/>
      <c r="C175" s="5"/>
      <c r="D175" s="5"/>
      <c r="E175" s="5"/>
      <c r="F175" s="5"/>
      <c r="G175" s="5"/>
    </row>
    <row r="176" spans="1:7">
      <c r="A176" s="5"/>
      <c r="B176" s="5"/>
      <c r="C176" s="5"/>
      <c r="D176" s="5"/>
      <c r="E176" s="5"/>
      <c r="F176" s="5"/>
      <c r="G176" s="5"/>
    </row>
    <row r="177" spans="1:20" ht="15.5">
      <c r="A177" s="52" t="s">
        <v>363</v>
      </c>
      <c r="B177" s="52"/>
      <c r="C177" s="52"/>
      <c r="D177" s="52"/>
      <c r="E177" s="52"/>
      <c r="F177" s="52"/>
      <c r="G177" s="52"/>
      <c r="H177" s="52"/>
      <c r="I177" s="52"/>
      <c r="J177" s="52"/>
      <c r="K177" s="52"/>
      <c r="L177" s="52"/>
      <c r="M177" s="52"/>
      <c r="N177" s="52"/>
      <c r="O177" s="52"/>
      <c r="P177" s="52"/>
      <c r="Q177" s="52"/>
      <c r="R177" s="52"/>
      <c r="S177" s="52"/>
      <c r="T177" s="52"/>
    </row>
    <row r="178" spans="1:20">
      <c r="A178" s="9" t="s">
        <v>362</v>
      </c>
      <c r="B178" s="9">
        <v>1</v>
      </c>
      <c r="C178" s="9">
        <v>2</v>
      </c>
      <c r="D178" s="9">
        <v>3</v>
      </c>
      <c r="E178" s="9">
        <v>4</v>
      </c>
      <c r="F178" s="9">
        <v>5</v>
      </c>
      <c r="G178" s="9">
        <v>6</v>
      </c>
      <c r="H178" s="9">
        <v>7</v>
      </c>
      <c r="I178" s="9">
        <v>8</v>
      </c>
      <c r="J178" s="9">
        <v>9</v>
      </c>
      <c r="K178" s="9">
        <v>10</v>
      </c>
      <c r="L178" s="9">
        <v>11</v>
      </c>
      <c r="M178" s="9">
        <v>12</v>
      </c>
      <c r="N178" s="9">
        <v>13</v>
      </c>
      <c r="O178" s="9">
        <v>14</v>
      </c>
      <c r="P178" s="9">
        <v>15</v>
      </c>
      <c r="Q178" s="9">
        <v>16</v>
      </c>
      <c r="R178" s="9">
        <v>17</v>
      </c>
      <c r="S178" s="9">
        <v>18</v>
      </c>
      <c r="T178" s="9">
        <v>19</v>
      </c>
    </row>
    <row r="179" spans="1:20">
      <c r="A179" s="9">
        <v>1</v>
      </c>
      <c r="B179" s="12" t="str">
        <f t="shared" ref="B179:K188" si="0">IF($A179=B$178,"",COUNTIF($D$4:$D$174,$A179&amp;" ضد "&amp;B$178)+COUNTIF($D$4:$D$174,B$178&amp;" ضد "&amp;$A179))</f>
        <v/>
      </c>
      <c r="C179" s="12">
        <f t="shared" si="0"/>
        <v>1</v>
      </c>
      <c r="D179" s="12">
        <f t="shared" si="0"/>
        <v>1</v>
      </c>
      <c r="E179" s="12">
        <f t="shared" si="0"/>
        <v>1</v>
      </c>
      <c r="F179" s="12">
        <f t="shared" si="0"/>
        <v>1</v>
      </c>
      <c r="G179" s="12">
        <f t="shared" si="0"/>
        <v>1</v>
      </c>
      <c r="H179" s="12">
        <f t="shared" si="0"/>
        <v>1</v>
      </c>
      <c r="I179" s="12">
        <f t="shared" si="0"/>
        <v>1</v>
      </c>
      <c r="J179" s="12">
        <f t="shared" si="0"/>
        <v>1</v>
      </c>
      <c r="K179" s="12">
        <f t="shared" si="0"/>
        <v>1</v>
      </c>
      <c r="L179" s="12">
        <f t="shared" ref="L179:T188" si="1">IF($A179=L$178,"",COUNTIF($D$4:$D$174,$A179&amp;" ضد "&amp;L$178)+COUNTIF($D$4:$D$174,L$178&amp;" ضد "&amp;$A179))</f>
        <v>1</v>
      </c>
      <c r="M179" s="12">
        <f t="shared" si="1"/>
        <v>1</v>
      </c>
      <c r="N179" s="12">
        <f t="shared" si="1"/>
        <v>1</v>
      </c>
      <c r="O179" s="12">
        <f t="shared" si="1"/>
        <v>1</v>
      </c>
      <c r="P179" s="12">
        <f t="shared" si="1"/>
        <v>1</v>
      </c>
      <c r="Q179" s="12">
        <f t="shared" si="1"/>
        <v>1</v>
      </c>
      <c r="R179" s="12">
        <f t="shared" si="1"/>
        <v>1</v>
      </c>
      <c r="S179" s="12">
        <f t="shared" si="1"/>
        <v>1</v>
      </c>
      <c r="T179" s="12">
        <f t="shared" si="1"/>
        <v>1</v>
      </c>
    </row>
    <row r="180" spans="1:20">
      <c r="A180" s="9">
        <v>2</v>
      </c>
      <c r="B180" s="12">
        <f t="shared" si="0"/>
        <v>1</v>
      </c>
      <c r="C180" s="12" t="str">
        <f t="shared" si="0"/>
        <v/>
      </c>
      <c r="D180" s="12">
        <f t="shared" si="0"/>
        <v>1</v>
      </c>
      <c r="E180" s="12">
        <f t="shared" si="0"/>
        <v>1</v>
      </c>
      <c r="F180" s="12">
        <f t="shared" si="0"/>
        <v>1</v>
      </c>
      <c r="G180" s="12">
        <f t="shared" si="0"/>
        <v>1</v>
      </c>
      <c r="H180" s="12">
        <f t="shared" si="0"/>
        <v>1</v>
      </c>
      <c r="I180" s="12">
        <f t="shared" si="0"/>
        <v>1</v>
      </c>
      <c r="J180" s="12">
        <f t="shared" si="0"/>
        <v>1</v>
      </c>
      <c r="K180" s="12">
        <f t="shared" si="0"/>
        <v>1</v>
      </c>
      <c r="L180" s="12">
        <f t="shared" si="1"/>
        <v>1</v>
      </c>
      <c r="M180" s="12">
        <f t="shared" si="1"/>
        <v>1</v>
      </c>
      <c r="N180" s="12">
        <f t="shared" si="1"/>
        <v>1</v>
      </c>
      <c r="O180" s="12">
        <f t="shared" si="1"/>
        <v>1</v>
      </c>
      <c r="P180" s="12">
        <f t="shared" si="1"/>
        <v>1</v>
      </c>
      <c r="Q180" s="12">
        <f t="shared" si="1"/>
        <v>1</v>
      </c>
      <c r="R180" s="12">
        <f t="shared" si="1"/>
        <v>1</v>
      </c>
      <c r="S180" s="12">
        <f t="shared" si="1"/>
        <v>1</v>
      </c>
      <c r="T180" s="12">
        <f t="shared" si="1"/>
        <v>1</v>
      </c>
    </row>
    <row r="181" spans="1:20">
      <c r="A181" s="9">
        <v>3</v>
      </c>
      <c r="B181" s="12">
        <f t="shared" si="0"/>
        <v>1</v>
      </c>
      <c r="C181" s="12">
        <f t="shared" si="0"/>
        <v>1</v>
      </c>
      <c r="D181" s="12" t="str">
        <f t="shared" si="0"/>
        <v/>
      </c>
      <c r="E181" s="12">
        <f t="shared" si="0"/>
        <v>1</v>
      </c>
      <c r="F181" s="12">
        <f t="shared" si="0"/>
        <v>1</v>
      </c>
      <c r="G181" s="12">
        <f t="shared" si="0"/>
        <v>1</v>
      </c>
      <c r="H181" s="12">
        <f t="shared" si="0"/>
        <v>1</v>
      </c>
      <c r="I181" s="12">
        <f t="shared" si="0"/>
        <v>1</v>
      </c>
      <c r="J181" s="12">
        <f t="shared" si="0"/>
        <v>1</v>
      </c>
      <c r="K181" s="12">
        <f t="shared" si="0"/>
        <v>1</v>
      </c>
      <c r="L181" s="12">
        <f t="shared" si="1"/>
        <v>1</v>
      </c>
      <c r="M181" s="12">
        <f t="shared" si="1"/>
        <v>1</v>
      </c>
      <c r="N181" s="12">
        <f t="shared" si="1"/>
        <v>1</v>
      </c>
      <c r="O181" s="12">
        <f t="shared" si="1"/>
        <v>1</v>
      </c>
      <c r="P181" s="12">
        <f t="shared" si="1"/>
        <v>1</v>
      </c>
      <c r="Q181" s="12">
        <f t="shared" si="1"/>
        <v>1</v>
      </c>
      <c r="R181" s="12">
        <f t="shared" si="1"/>
        <v>1</v>
      </c>
      <c r="S181" s="12">
        <f t="shared" si="1"/>
        <v>1</v>
      </c>
      <c r="T181" s="12">
        <f t="shared" si="1"/>
        <v>1</v>
      </c>
    </row>
    <row r="182" spans="1:20">
      <c r="A182" s="9">
        <v>4</v>
      </c>
      <c r="B182" s="12">
        <f t="shared" si="0"/>
        <v>1</v>
      </c>
      <c r="C182" s="12">
        <f t="shared" si="0"/>
        <v>1</v>
      </c>
      <c r="D182" s="12">
        <f t="shared" si="0"/>
        <v>1</v>
      </c>
      <c r="E182" s="12" t="str">
        <f t="shared" si="0"/>
        <v/>
      </c>
      <c r="F182" s="12">
        <f t="shared" si="0"/>
        <v>1</v>
      </c>
      <c r="G182" s="12">
        <f t="shared" si="0"/>
        <v>1</v>
      </c>
      <c r="H182" s="12">
        <f t="shared" si="0"/>
        <v>1</v>
      </c>
      <c r="I182" s="12">
        <f t="shared" si="0"/>
        <v>1</v>
      </c>
      <c r="J182" s="12">
        <f t="shared" si="0"/>
        <v>1</v>
      </c>
      <c r="K182" s="12">
        <f t="shared" si="0"/>
        <v>1</v>
      </c>
      <c r="L182" s="12">
        <f t="shared" si="1"/>
        <v>1</v>
      </c>
      <c r="M182" s="12">
        <f t="shared" si="1"/>
        <v>1</v>
      </c>
      <c r="N182" s="12">
        <f t="shared" si="1"/>
        <v>1</v>
      </c>
      <c r="O182" s="12">
        <f t="shared" si="1"/>
        <v>1</v>
      </c>
      <c r="P182" s="12">
        <f t="shared" si="1"/>
        <v>1</v>
      </c>
      <c r="Q182" s="12">
        <f t="shared" si="1"/>
        <v>1</v>
      </c>
      <c r="R182" s="12">
        <f t="shared" si="1"/>
        <v>1</v>
      </c>
      <c r="S182" s="12">
        <f t="shared" si="1"/>
        <v>1</v>
      </c>
      <c r="T182" s="12">
        <f t="shared" si="1"/>
        <v>1</v>
      </c>
    </row>
    <row r="183" spans="1:20">
      <c r="A183" s="9">
        <v>5</v>
      </c>
      <c r="B183" s="12">
        <f t="shared" si="0"/>
        <v>1</v>
      </c>
      <c r="C183" s="12">
        <f t="shared" si="0"/>
        <v>1</v>
      </c>
      <c r="D183" s="12">
        <f t="shared" si="0"/>
        <v>1</v>
      </c>
      <c r="E183" s="12">
        <f t="shared" si="0"/>
        <v>1</v>
      </c>
      <c r="F183" s="12" t="str">
        <f t="shared" si="0"/>
        <v/>
      </c>
      <c r="G183" s="12">
        <f t="shared" si="0"/>
        <v>1</v>
      </c>
      <c r="H183" s="12">
        <f t="shared" si="0"/>
        <v>1</v>
      </c>
      <c r="I183" s="12">
        <f t="shared" si="0"/>
        <v>1</v>
      </c>
      <c r="J183" s="12">
        <f t="shared" si="0"/>
        <v>1</v>
      </c>
      <c r="K183" s="12">
        <f t="shared" si="0"/>
        <v>1</v>
      </c>
      <c r="L183" s="12">
        <f t="shared" si="1"/>
        <v>1</v>
      </c>
      <c r="M183" s="12">
        <f t="shared" si="1"/>
        <v>1</v>
      </c>
      <c r="N183" s="12">
        <f t="shared" si="1"/>
        <v>1</v>
      </c>
      <c r="O183" s="12">
        <f t="shared" si="1"/>
        <v>1</v>
      </c>
      <c r="P183" s="12">
        <f t="shared" si="1"/>
        <v>1</v>
      </c>
      <c r="Q183" s="12">
        <f t="shared" si="1"/>
        <v>1</v>
      </c>
      <c r="R183" s="12">
        <f t="shared" si="1"/>
        <v>1</v>
      </c>
      <c r="S183" s="12">
        <f t="shared" si="1"/>
        <v>1</v>
      </c>
      <c r="T183" s="12">
        <f t="shared" si="1"/>
        <v>1</v>
      </c>
    </row>
    <row r="184" spans="1:20">
      <c r="A184" s="9">
        <v>6</v>
      </c>
      <c r="B184" s="12">
        <f t="shared" si="0"/>
        <v>1</v>
      </c>
      <c r="C184" s="12">
        <f t="shared" si="0"/>
        <v>1</v>
      </c>
      <c r="D184" s="12">
        <f t="shared" si="0"/>
        <v>1</v>
      </c>
      <c r="E184" s="12">
        <f t="shared" si="0"/>
        <v>1</v>
      </c>
      <c r="F184" s="12">
        <f t="shared" si="0"/>
        <v>1</v>
      </c>
      <c r="G184" s="12" t="str">
        <f t="shared" si="0"/>
        <v/>
      </c>
      <c r="H184" s="12">
        <f t="shared" si="0"/>
        <v>1</v>
      </c>
      <c r="I184" s="12">
        <f t="shared" si="0"/>
        <v>1</v>
      </c>
      <c r="J184" s="12">
        <f t="shared" si="0"/>
        <v>1</v>
      </c>
      <c r="K184" s="12">
        <f t="shared" si="0"/>
        <v>1</v>
      </c>
      <c r="L184" s="12">
        <f t="shared" si="1"/>
        <v>1</v>
      </c>
      <c r="M184" s="12">
        <f t="shared" si="1"/>
        <v>1</v>
      </c>
      <c r="N184" s="12">
        <f t="shared" si="1"/>
        <v>1</v>
      </c>
      <c r="O184" s="12">
        <f t="shared" si="1"/>
        <v>1</v>
      </c>
      <c r="P184" s="12">
        <f t="shared" si="1"/>
        <v>1</v>
      </c>
      <c r="Q184" s="12">
        <f t="shared" si="1"/>
        <v>1</v>
      </c>
      <c r="R184" s="12">
        <f t="shared" si="1"/>
        <v>1</v>
      </c>
      <c r="S184" s="12">
        <f t="shared" si="1"/>
        <v>1</v>
      </c>
      <c r="T184" s="12">
        <f t="shared" si="1"/>
        <v>1</v>
      </c>
    </row>
    <row r="185" spans="1:20">
      <c r="A185" s="9">
        <v>7</v>
      </c>
      <c r="B185" s="12">
        <f t="shared" si="0"/>
        <v>1</v>
      </c>
      <c r="C185" s="12">
        <f t="shared" si="0"/>
        <v>1</v>
      </c>
      <c r="D185" s="12">
        <f t="shared" si="0"/>
        <v>1</v>
      </c>
      <c r="E185" s="12">
        <f t="shared" si="0"/>
        <v>1</v>
      </c>
      <c r="F185" s="12">
        <f t="shared" si="0"/>
        <v>1</v>
      </c>
      <c r="G185" s="12">
        <f t="shared" si="0"/>
        <v>1</v>
      </c>
      <c r="H185" s="12" t="str">
        <f t="shared" si="0"/>
        <v/>
      </c>
      <c r="I185" s="12">
        <f t="shared" si="0"/>
        <v>1</v>
      </c>
      <c r="J185" s="12">
        <f t="shared" si="0"/>
        <v>1</v>
      </c>
      <c r="K185" s="12">
        <f t="shared" si="0"/>
        <v>1</v>
      </c>
      <c r="L185" s="12">
        <f t="shared" si="1"/>
        <v>1</v>
      </c>
      <c r="M185" s="12">
        <f t="shared" si="1"/>
        <v>1</v>
      </c>
      <c r="N185" s="12">
        <f t="shared" si="1"/>
        <v>1</v>
      </c>
      <c r="O185" s="12">
        <f t="shared" si="1"/>
        <v>1</v>
      </c>
      <c r="P185" s="12">
        <f t="shared" si="1"/>
        <v>1</v>
      </c>
      <c r="Q185" s="12">
        <f t="shared" si="1"/>
        <v>1</v>
      </c>
      <c r="R185" s="12">
        <f t="shared" si="1"/>
        <v>1</v>
      </c>
      <c r="S185" s="12">
        <f t="shared" si="1"/>
        <v>1</v>
      </c>
      <c r="T185" s="12">
        <f t="shared" si="1"/>
        <v>1</v>
      </c>
    </row>
    <row r="186" spans="1:20">
      <c r="A186" s="9">
        <v>8</v>
      </c>
      <c r="B186" s="12">
        <f t="shared" si="0"/>
        <v>1</v>
      </c>
      <c r="C186" s="12">
        <f t="shared" si="0"/>
        <v>1</v>
      </c>
      <c r="D186" s="12">
        <f t="shared" si="0"/>
        <v>1</v>
      </c>
      <c r="E186" s="12">
        <f t="shared" si="0"/>
        <v>1</v>
      </c>
      <c r="F186" s="12">
        <f t="shared" si="0"/>
        <v>1</v>
      </c>
      <c r="G186" s="12">
        <f t="shared" si="0"/>
        <v>1</v>
      </c>
      <c r="H186" s="12">
        <f t="shared" si="0"/>
        <v>1</v>
      </c>
      <c r="I186" s="12" t="str">
        <f t="shared" si="0"/>
        <v/>
      </c>
      <c r="J186" s="12">
        <f t="shared" si="0"/>
        <v>1</v>
      </c>
      <c r="K186" s="12">
        <f t="shared" si="0"/>
        <v>1</v>
      </c>
      <c r="L186" s="12">
        <f t="shared" si="1"/>
        <v>1</v>
      </c>
      <c r="M186" s="12">
        <f t="shared" si="1"/>
        <v>1</v>
      </c>
      <c r="N186" s="12">
        <f t="shared" si="1"/>
        <v>1</v>
      </c>
      <c r="O186" s="12">
        <f t="shared" si="1"/>
        <v>1</v>
      </c>
      <c r="P186" s="12">
        <f t="shared" si="1"/>
        <v>1</v>
      </c>
      <c r="Q186" s="12">
        <f t="shared" si="1"/>
        <v>1</v>
      </c>
      <c r="R186" s="12">
        <f t="shared" si="1"/>
        <v>1</v>
      </c>
      <c r="S186" s="12">
        <f t="shared" si="1"/>
        <v>1</v>
      </c>
      <c r="T186" s="12">
        <f t="shared" si="1"/>
        <v>1</v>
      </c>
    </row>
    <row r="187" spans="1:20">
      <c r="A187" s="9">
        <v>9</v>
      </c>
      <c r="B187" s="12">
        <f t="shared" si="0"/>
        <v>1</v>
      </c>
      <c r="C187" s="12">
        <f t="shared" si="0"/>
        <v>1</v>
      </c>
      <c r="D187" s="12">
        <f t="shared" si="0"/>
        <v>1</v>
      </c>
      <c r="E187" s="12">
        <f t="shared" si="0"/>
        <v>1</v>
      </c>
      <c r="F187" s="12">
        <f t="shared" si="0"/>
        <v>1</v>
      </c>
      <c r="G187" s="12">
        <f t="shared" si="0"/>
        <v>1</v>
      </c>
      <c r="H187" s="12">
        <f t="shared" si="0"/>
        <v>1</v>
      </c>
      <c r="I187" s="12">
        <f t="shared" si="0"/>
        <v>1</v>
      </c>
      <c r="J187" s="12" t="str">
        <f t="shared" si="0"/>
        <v/>
      </c>
      <c r="K187" s="12">
        <f t="shared" si="0"/>
        <v>1</v>
      </c>
      <c r="L187" s="12">
        <f t="shared" si="1"/>
        <v>1</v>
      </c>
      <c r="M187" s="12">
        <f t="shared" si="1"/>
        <v>1</v>
      </c>
      <c r="N187" s="12">
        <f t="shared" si="1"/>
        <v>1</v>
      </c>
      <c r="O187" s="12">
        <f t="shared" si="1"/>
        <v>1</v>
      </c>
      <c r="P187" s="12">
        <f t="shared" si="1"/>
        <v>1</v>
      </c>
      <c r="Q187" s="12">
        <f t="shared" si="1"/>
        <v>1</v>
      </c>
      <c r="R187" s="12">
        <f t="shared" si="1"/>
        <v>1</v>
      </c>
      <c r="S187" s="12">
        <f t="shared" si="1"/>
        <v>1</v>
      </c>
      <c r="T187" s="12">
        <f t="shared" si="1"/>
        <v>1</v>
      </c>
    </row>
    <row r="188" spans="1:20">
      <c r="A188" s="9">
        <v>10</v>
      </c>
      <c r="B188" s="12">
        <f t="shared" si="0"/>
        <v>1</v>
      </c>
      <c r="C188" s="12">
        <f t="shared" si="0"/>
        <v>1</v>
      </c>
      <c r="D188" s="12">
        <f t="shared" si="0"/>
        <v>1</v>
      </c>
      <c r="E188" s="12">
        <f t="shared" si="0"/>
        <v>1</v>
      </c>
      <c r="F188" s="12">
        <f t="shared" si="0"/>
        <v>1</v>
      </c>
      <c r="G188" s="12">
        <f t="shared" si="0"/>
        <v>1</v>
      </c>
      <c r="H188" s="12">
        <f t="shared" si="0"/>
        <v>1</v>
      </c>
      <c r="I188" s="12">
        <f t="shared" si="0"/>
        <v>1</v>
      </c>
      <c r="J188" s="12">
        <f t="shared" si="0"/>
        <v>1</v>
      </c>
      <c r="K188" s="12" t="str">
        <f t="shared" si="0"/>
        <v/>
      </c>
      <c r="L188" s="12">
        <f t="shared" si="1"/>
        <v>1</v>
      </c>
      <c r="M188" s="12">
        <f t="shared" si="1"/>
        <v>1</v>
      </c>
      <c r="N188" s="12">
        <f t="shared" si="1"/>
        <v>1</v>
      </c>
      <c r="O188" s="12">
        <f t="shared" si="1"/>
        <v>1</v>
      </c>
      <c r="P188" s="12">
        <f t="shared" si="1"/>
        <v>1</v>
      </c>
      <c r="Q188" s="12">
        <f t="shared" si="1"/>
        <v>1</v>
      </c>
      <c r="R188" s="12">
        <f t="shared" si="1"/>
        <v>1</v>
      </c>
      <c r="S188" s="12">
        <f t="shared" si="1"/>
        <v>1</v>
      </c>
      <c r="T188" s="12">
        <f t="shared" si="1"/>
        <v>1</v>
      </c>
    </row>
    <row r="189" spans="1:20">
      <c r="A189" s="9">
        <v>11</v>
      </c>
      <c r="B189" s="12">
        <f t="shared" ref="B189:K197" si="2">IF($A189=B$178,"",COUNTIF($D$4:$D$174,$A189&amp;" ضد "&amp;B$178)+COUNTIF($D$4:$D$174,B$178&amp;" ضد "&amp;$A189))</f>
        <v>1</v>
      </c>
      <c r="C189" s="12">
        <f t="shared" si="2"/>
        <v>1</v>
      </c>
      <c r="D189" s="12">
        <f t="shared" si="2"/>
        <v>1</v>
      </c>
      <c r="E189" s="12">
        <f t="shared" si="2"/>
        <v>1</v>
      </c>
      <c r="F189" s="12">
        <f t="shared" si="2"/>
        <v>1</v>
      </c>
      <c r="G189" s="12">
        <f t="shared" si="2"/>
        <v>1</v>
      </c>
      <c r="H189" s="12">
        <f t="shared" si="2"/>
        <v>1</v>
      </c>
      <c r="I189" s="12">
        <f t="shared" si="2"/>
        <v>1</v>
      </c>
      <c r="J189" s="12">
        <f t="shared" si="2"/>
        <v>1</v>
      </c>
      <c r="K189" s="12">
        <f t="shared" si="2"/>
        <v>1</v>
      </c>
      <c r="L189" s="12" t="str">
        <f t="shared" ref="L189:T197" si="3">IF($A189=L$178,"",COUNTIF($D$4:$D$174,$A189&amp;" ضد "&amp;L$178)+COUNTIF($D$4:$D$174,L$178&amp;" ضد "&amp;$A189))</f>
        <v/>
      </c>
      <c r="M189" s="12">
        <f t="shared" si="3"/>
        <v>1</v>
      </c>
      <c r="N189" s="12">
        <f t="shared" si="3"/>
        <v>1</v>
      </c>
      <c r="O189" s="12">
        <f t="shared" si="3"/>
        <v>1</v>
      </c>
      <c r="P189" s="12">
        <f t="shared" si="3"/>
        <v>1</v>
      </c>
      <c r="Q189" s="12">
        <f t="shared" si="3"/>
        <v>1</v>
      </c>
      <c r="R189" s="12">
        <f t="shared" si="3"/>
        <v>1</v>
      </c>
      <c r="S189" s="12">
        <f t="shared" si="3"/>
        <v>1</v>
      </c>
      <c r="T189" s="12">
        <f t="shared" si="3"/>
        <v>1</v>
      </c>
    </row>
    <row r="190" spans="1:20">
      <c r="A190" s="9">
        <v>12</v>
      </c>
      <c r="B190" s="12">
        <f t="shared" si="2"/>
        <v>1</v>
      </c>
      <c r="C190" s="12">
        <f t="shared" si="2"/>
        <v>1</v>
      </c>
      <c r="D190" s="12">
        <f t="shared" si="2"/>
        <v>1</v>
      </c>
      <c r="E190" s="12">
        <f t="shared" si="2"/>
        <v>1</v>
      </c>
      <c r="F190" s="12">
        <f t="shared" si="2"/>
        <v>1</v>
      </c>
      <c r="G190" s="12">
        <f t="shared" si="2"/>
        <v>1</v>
      </c>
      <c r="H190" s="12">
        <f t="shared" si="2"/>
        <v>1</v>
      </c>
      <c r="I190" s="12">
        <f t="shared" si="2"/>
        <v>1</v>
      </c>
      <c r="J190" s="12">
        <f t="shared" si="2"/>
        <v>1</v>
      </c>
      <c r="K190" s="12">
        <f t="shared" si="2"/>
        <v>1</v>
      </c>
      <c r="L190" s="12">
        <f t="shared" si="3"/>
        <v>1</v>
      </c>
      <c r="M190" s="12" t="str">
        <f t="shared" si="3"/>
        <v/>
      </c>
      <c r="N190" s="12">
        <f t="shared" si="3"/>
        <v>1</v>
      </c>
      <c r="O190" s="12">
        <f t="shared" si="3"/>
        <v>1</v>
      </c>
      <c r="P190" s="12">
        <f t="shared" si="3"/>
        <v>1</v>
      </c>
      <c r="Q190" s="12">
        <f t="shared" si="3"/>
        <v>1</v>
      </c>
      <c r="R190" s="12">
        <f t="shared" si="3"/>
        <v>1</v>
      </c>
      <c r="S190" s="12">
        <f t="shared" si="3"/>
        <v>1</v>
      </c>
      <c r="T190" s="12">
        <f t="shared" si="3"/>
        <v>1</v>
      </c>
    </row>
    <row r="191" spans="1:20">
      <c r="A191" s="9">
        <v>13</v>
      </c>
      <c r="B191" s="12">
        <f t="shared" si="2"/>
        <v>1</v>
      </c>
      <c r="C191" s="12">
        <f t="shared" si="2"/>
        <v>1</v>
      </c>
      <c r="D191" s="12">
        <f t="shared" si="2"/>
        <v>1</v>
      </c>
      <c r="E191" s="12">
        <f t="shared" si="2"/>
        <v>1</v>
      </c>
      <c r="F191" s="12">
        <f t="shared" si="2"/>
        <v>1</v>
      </c>
      <c r="G191" s="12">
        <f t="shared" si="2"/>
        <v>1</v>
      </c>
      <c r="H191" s="12">
        <f t="shared" si="2"/>
        <v>1</v>
      </c>
      <c r="I191" s="12">
        <f t="shared" si="2"/>
        <v>1</v>
      </c>
      <c r="J191" s="12">
        <f t="shared" si="2"/>
        <v>1</v>
      </c>
      <c r="K191" s="12">
        <f t="shared" si="2"/>
        <v>1</v>
      </c>
      <c r="L191" s="12">
        <f t="shared" si="3"/>
        <v>1</v>
      </c>
      <c r="M191" s="12">
        <f t="shared" si="3"/>
        <v>1</v>
      </c>
      <c r="N191" s="12" t="str">
        <f t="shared" si="3"/>
        <v/>
      </c>
      <c r="O191" s="12">
        <f t="shared" si="3"/>
        <v>1</v>
      </c>
      <c r="P191" s="12">
        <f t="shared" si="3"/>
        <v>1</v>
      </c>
      <c r="Q191" s="12">
        <f t="shared" si="3"/>
        <v>1</v>
      </c>
      <c r="R191" s="12">
        <f t="shared" si="3"/>
        <v>1</v>
      </c>
      <c r="S191" s="12">
        <f t="shared" si="3"/>
        <v>1</v>
      </c>
      <c r="T191" s="12">
        <f t="shared" si="3"/>
        <v>1</v>
      </c>
    </row>
    <row r="192" spans="1:20">
      <c r="A192" s="9">
        <v>14</v>
      </c>
      <c r="B192" s="12">
        <f t="shared" si="2"/>
        <v>1</v>
      </c>
      <c r="C192" s="12">
        <f t="shared" si="2"/>
        <v>1</v>
      </c>
      <c r="D192" s="12">
        <f t="shared" si="2"/>
        <v>1</v>
      </c>
      <c r="E192" s="12">
        <f t="shared" si="2"/>
        <v>1</v>
      </c>
      <c r="F192" s="12">
        <f t="shared" si="2"/>
        <v>1</v>
      </c>
      <c r="G192" s="12">
        <f t="shared" si="2"/>
        <v>1</v>
      </c>
      <c r="H192" s="12">
        <f t="shared" si="2"/>
        <v>1</v>
      </c>
      <c r="I192" s="12">
        <f t="shared" si="2"/>
        <v>1</v>
      </c>
      <c r="J192" s="12">
        <f t="shared" si="2"/>
        <v>1</v>
      </c>
      <c r="K192" s="12">
        <f t="shared" si="2"/>
        <v>1</v>
      </c>
      <c r="L192" s="12">
        <f t="shared" si="3"/>
        <v>1</v>
      </c>
      <c r="M192" s="12">
        <f t="shared" si="3"/>
        <v>1</v>
      </c>
      <c r="N192" s="12">
        <f t="shared" si="3"/>
        <v>1</v>
      </c>
      <c r="O192" s="12" t="str">
        <f t="shared" si="3"/>
        <v/>
      </c>
      <c r="P192" s="12">
        <f t="shared" si="3"/>
        <v>1</v>
      </c>
      <c r="Q192" s="12">
        <f t="shared" si="3"/>
        <v>1</v>
      </c>
      <c r="R192" s="12">
        <f t="shared" si="3"/>
        <v>1</v>
      </c>
      <c r="S192" s="12">
        <f t="shared" si="3"/>
        <v>1</v>
      </c>
      <c r="T192" s="12">
        <f t="shared" si="3"/>
        <v>1</v>
      </c>
    </row>
    <row r="193" spans="1:20">
      <c r="A193" s="9">
        <v>15</v>
      </c>
      <c r="B193" s="12">
        <f t="shared" si="2"/>
        <v>1</v>
      </c>
      <c r="C193" s="12">
        <f t="shared" si="2"/>
        <v>1</v>
      </c>
      <c r="D193" s="12">
        <f t="shared" si="2"/>
        <v>1</v>
      </c>
      <c r="E193" s="12">
        <f t="shared" si="2"/>
        <v>1</v>
      </c>
      <c r="F193" s="12">
        <f t="shared" si="2"/>
        <v>1</v>
      </c>
      <c r="G193" s="12">
        <f t="shared" si="2"/>
        <v>1</v>
      </c>
      <c r="H193" s="12">
        <f t="shared" si="2"/>
        <v>1</v>
      </c>
      <c r="I193" s="12">
        <f t="shared" si="2"/>
        <v>1</v>
      </c>
      <c r="J193" s="12">
        <f t="shared" si="2"/>
        <v>1</v>
      </c>
      <c r="K193" s="12">
        <f t="shared" si="2"/>
        <v>1</v>
      </c>
      <c r="L193" s="12">
        <f t="shared" si="3"/>
        <v>1</v>
      </c>
      <c r="M193" s="12">
        <f t="shared" si="3"/>
        <v>1</v>
      </c>
      <c r="N193" s="12">
        <f t="shared" si="3"/>
        <v>1</v>
      </c>
      <c r="O193" s="12">
        <f t="shared" si="3"/>
        <v>1</v>
      </c>
      <c r="P193" s="12" t="str">
        <f t="shared" si="3"/>
        <v/>
      </c>
      <c r="Q193" s="12">
        <f t="shared" si="3"/>
        <v>1</v>
      </c>
      <c r="R193" s="12">
        <f t="shared" si="3"/>
        <v>1</v>
      </c>
      <c r="S193" s="12">
        <f t="shared" si="3"/>
        <v>1</v>
      </c>
      <c r="T193" s="12">
        <f t="shared" si="3"/>
        <v>1</v>
      </c>
    </row>
    <row r="194" spans="1:20">
      <c r="A194" s="9">
        <v>16</v>
      </c>
      <c r="B194" s="12">
        <f t="shared" si="2"/>
        <v>1</v>
      </c>
      <c r="C194" s="12">
        <f t="shared" si="2"/>
        <v>1</v>
      </c>
      <c r="D194" s="12">
        <f t="shared" si="2"/>
        <v>1</v>
      </c>
      <c r="E194" s="12">
        <f t="shared" si="2"/>
        <v>1</v>
      </c>
      <c r="F194" s="12">
        <f t="shared" si="2"/>
        <v>1</v>
      </c>
      <c r="G194" s="12">
        <f t="shared" si="2"/>
        <v>1</v>
      </c>
      <c r="H194" s="12">
        <f t="shared" si="2"/>
        <v>1</v>
      </c>
      <c r="I194" s="12">
        <f t="shared" si="2"/>
        <v>1</v>
      </c>
      <c r="J194" s="12">
        <f t="shared" si="2"/>
        <v>1</v>
      </c>
      <c r="K194" s="12">
        <f t="shared" si="2"/>
        <v>1</v>
      </c>
      <c r="L194" s="12">
        <f t="shared" si="3"/>
        <v>1</v>
      </c>
      <c r="M194" s="12">
        <f t="shared" si="3"/>
        <v>1</v>
      </c>
      <c r="N194" s="12">
        <f t="shared" si="3"/>
        <v>1</v>
      </c>
      <c r="O194" s="12">
        <f t="shared" si="3"/>
        <v>1</v>
      </c>
      <c r="P194" s="12">
        <f t="shared" si="3"/>
        <v>1</v>
      </c>
      <c r="Q194" s="12" t="str">
        <f t="shared" si="3"/>
        <v/>
      </c>
      <c r="R194" s="12">
        <f t="shared" si="3"/>
        <v>1</v>
      </c>
      <c r="S194" s="12">
        <f t="shared" si="3"/>
        <v>1</v>
      </c>
      <c r="T194" s="12">
        <f t="shared" si="3"/>
        <v>1</v>
      </c>
    </row>
    <row r="195" spans="1:20">
      <c r="A195" s="9">
        <v>17</v>
      </c>
      <c r="B195" s="12">
        <f t="shared" si="2"/>
        <v>1</v>
      </c>
      <c r="C195" s="12">
        <f t="shared" si="2"/>
        <v>1</v>
      </c>
      <c r="D195" s="12">
        <f t="shared" si="2"/>
        <v>1</v>
      </c>
      <c r="E195" s="12">
        <f t="shared" si="2"/>
        <v>1</v>
      </c>
      <c r="F195" s="12">
        <f t="shared" si="2"/>
        <v>1</v>
      </c>
      <c r="G195" s="12">
        <f t="shared" si="2"/>
        <v>1</v>
      </c>
      <c r="H195" s="12">
        <f t="shared" si="2"/>
        <v>1</v>
      </c>
      <c r="I195" s="12">
        <f t="shared" si="2"/>
        <v>1</v>
      </c>
      <c r="J195" s="12">
        <f t="shared" si="2"/>
        <v>1</v>
      </c>
      <c r="K195" s="12">
        <f t="shared" si="2"/>
        <v>1</v>
      </c>
      <c r="L195" s="12">
        <f t="shared" si="3"/>
        <v>1</v>
      </c>
      <c r="M195" s="12">
        <f t="shared" si="3"/>
        <v>1</v>
      </c>
      <c r="N195" s="12">
        <f t="shared" si="3"/>
        <v>1</v>
      </c>
      <c r="O195" s="12">
        <f t="shared" si="3"/>
        <v>1</v>
      </c>
      <c r="P195" s="12">
        <f t="shared" si="3"/>
        <v>1</v>
      </c>
      <c r="Q195" s="12">
        <f t="shared" si="3"/>
        <v>1</v>
      </c>
      <c r="R195" s="12" t="str">
        <f t="shared" si="3"/>
        <v/>
      </c>
      <c r="S195" s="12">
        <f t="shared" si="3"/>
        <v>1</v>
      </c>
      <c r="T195" s="12">
        <f t="shared" si="3"/>
        <v>1</v>
      </c>
    </row>
    <row r="196" spans="1:20">
      <c r="A196" s="9">
        <v>18</v>
      </c>
      <c r="B196" s="12">
        <f t="shared" si="2"/>
        <v>1</v>
      </c>
      <c r="C196" s="12">
        <f t="shared" si="2"/>
        <v>1</v>
      </c>
      <c r="D196" s="12">
        <f t="shared" si="2"/>
        <v>1</v>
      </c>
      <c r="E196" s="12">
        <f t="shared" si="2"/>
        <v>1</v>
      </c>
      <c r="F196" s="12">
        <f t="shared" si="2"/>
        <v>1</v>
      </c>
      <c r="G196" s="12">
        <f t="shared" si="2"/>
        <v>1</v>
      </c>
      <c r="H196" s="12">
        <f t="shared" si="2"/>
        <v>1</v>
      </c>
      <c r="I196" s="12">
        <f t="shared" si="2"/>
        <v>1</v>
      </c>
      <c r="J196" s="12">
        <f t="shared" si="2"/>
        <v>1</v>
      </c>
      <c r="K196" s="12">
        <f t="shared" si="2"/>
        <v>1</v>
      </c>
      <c r="L196" s="12">
        <f t="shared" si="3"/>
        <v>1</v>
      </c>
      <c r="M196" s="12">
        <f t="shared" si="3"/>
        <v>1</v>
      </c>
      <c r="N196" s="12">
        <f t="shared" si="3"/>
        <v>1</v>
      </c>
      <c r="O196" s="12">
        <f t="shared" si="3"/>
        <v>1</v>
      </c>
      <c r="P196" s="12">
        <f t="shared" si="3"/>
        <v>1</v>
      </c>
      <c r="Q196" s="12">
        <f t="shared" si="3"/>
        <v>1</v>
      </c>
      <c r="R196" s="12">
        <f t="shared" si="3"/>
        <v>1</v>
      </c>
      <c r="S196" s="12" t="str">
        <f t="shared" si="3"/>
        <v/>
      </c>
      <c r="T196" s="12">
        <f t="shared" si="3"/>
        <v>1</v>
      </c>
    </row>
    <row r="197" spans="1:20">
      <c r="A197" s="9">
        <v>19</v>
      </c>
      <c r="B197" s="12">
        <f t="shared" si="2"/>
        <v>1</v>
      </c>
      <c r="C197" s="12">
        <f t="shared" si="2"/>
        <v>1</v>
      </c>
      <c r="D197" s="12">
        <f t="shared" si="2"/>
        <v>1</v>
      </c>
      <c r="E197" s="12">
        <f t="shared" si="2"/>
        <v>1</v>
      </c>
      <c r="F197" s="12">
        <f t="shared" si="2"/>
        <v>1</v>
      </c>
      <c r="G197" s="12">
        <f t="shared" si="2"/>
        <v>1</v>
      </c>
      <c r="H197" s="12">
        <f t="shared" si="2"/>
        <v>1</v>
      </c>
      <c r="I197" s="12">
        <f t="shared" si="2"/>
        <v>1</v>
      </c>
      <c r="J197" s="12">
        <f t="shared" si="2"/>
        <v>1</v>
      </c>
      <c r="K197" s="12">
        <f t="shared" si="2"/>
        <v>1</v>
      </c>
      <c r="L197" s="12">
        <f t="shared" si="3"/>
        <v>1</v>
      </c>
      <c r="M197" s="12">
        <f t="shared" si="3"/>
        <v>1</v>
      </c>
      <c r="N197" s="12">
        <f t="shared" si="3"/>
        <v>1</v>
      </c>
      <c r="O197" s="12">
        <f t="shared" si="3"/>
        <v>1</v>
      </c>
      <c r="P197" s="12">
        <f t="shared" si="3"/>
        <v>1</v>
      </c>
      <c r="Q197" s="12">
        <f t="shared" si="3"/>
        <v>1</v>
      </c>
      <c r="R197" s="12">
        <f t="shared" si="3"/>
        <v>1</v>
      </c>
      <c r="S197" s="12">
        <f t="shared" si="3"/>
        <v>1</v>
      </c>
      <c r="T197" s="12" t="str">
        <f t="shared" si="3"/>
        <v/>
      </c>
    </row>
    <row r="198" spans="1:20">
      <c r="A198" s="14" t="s">
        <v>361</v>
      </c>
      <c r="B198" s="14">
        <f>_xlfn.MINIFS(B179:T197,B179:T197,"&gt;0")</f>
        <v>1</v>
      </c>
      <c r="C198" s="5"/>
      <c r="D198" s="5"/>
      <c r="E198" s="5"/>
      <c r="F198" s="5"/>
      <c r="G198" s="5"/>
    </row>
    <row r="199" spans="1:20">
      <c r="A199" s="14" t="s">
        <v>360</v>
      </c>
      <c r="B199" s="14">
        <f>MAX(B179:T197)</f>
        <v>1</v>
      </c>
      <c r="C199" s="5"/>
      <c r="D199" s="5"/>
      <c r="E199" s="5"/>
      <c r="F199" s="5"/>
      <c r="G199" s="5"/>
    </row>
    <row r="200" spans="1:20">
      <c r="A200" s="5"/>
      <c r="B200" s="5"/>
      <c r="C200" s="5"/>
      <c r="D200" s="5"/>
      <c r="E200" s="5"/>
      <c r="F200" s="5"/>
      <c r="G200" s="5"/>
    </row>
    <row r="201" spans="1:20">
      <c r="A201" s="5"/>
      <c r="B201" s="5"/>
      <c r="C201" s="5"/>
      <c r="D201" s="5"/>
      <c r="E201" s="5"/>
      <c r="F201" s="5"/>
      <c r="G201" s="5"/>
    </row>
    <row r="202" spans="1:20">
      <c r="A202" s="5"/>
      <c r="B202" s="5"/>
      <c r="C202" s="5"/>
      <c r="D202" s="5"/>
      <c r="E202" s="5"/>
      <c r="F202" s="5"/>
      <c r="G202" s="5"/>
    </row>
    <row r="203" spans="1:20">
      <c r="A203" s="5"/>
      <c r="B203" s="5"/>
      <c r="C203" s="5"/>
      <c r="D203" s="5"/>
      <c r="E203" s="5"/>
      <c r="F203" s="5"/>
      <c r="G203" s="5"/>
    </row>
    <row r="204" spans="1:20">
      <c r="A204" s="5"/>
      <c r="B204" s="5"/>
      <c r="C204" s="5"/>
      <c r="D204" s="5"/>
      <c r="E204" s="5"/>
      <c r="F204" s="5"/>
      <c r="G204" s="5"/>
    </row>
    <row r="205" spans="1:20">
      <c r="A205" s="5"/>
      <c r="B205" s="5"/>
      <c r="C205" s="5"/>
      <c r="D205" s="5"/>
      <c r="E205" s="5"/>
      <c r="F205" s="5"/>
      <c r="G205" s="5"/>
    </row>
    <row r="206" spans="1:20">
      <c r="A206" s="5"/>
      <c r="B206" s="5"/>
      <c r="C206" s="5"/>
      <c r="D206" s="5"/>
      <c r="E206" s="5"/>
      <c r="F206" s="5"/>
      <c r="G206" s="5"/>
    </row>
    <row r="207" spans="1:20">
      <c r="A207" s="5"/>
      <c r="B207" s="5"/>
      <c r="C207" s="5"/>
      <c r="D207" s="5"/>
      <c r="E207" s="5"/>
      <c r="F207" s="5"/>
      <c r="G207" s="5"/>
    </row>
    <row r="208" spans="1:20">
      <c r="A208" s="5"/>
      <c r="B208" s="5"/>
      <c r="C208" s="5"/>
      <c r="D208" s="5"/>
      <c r="E208" s="5"/>
      <c r="F208" s="5"/>
      <c r="G208" s="5"/>
    </row>
    <row r="209" s="5" customFormat="1"/>
    <row r="210" s="5" customFormat="1"/>
    <row r="211" s="5" customFormat="1"/>
    <row r="212" s="5" customFormat="1"/>
    <row r="213" s="5" customFormat="1"/>
    <row r="214" s="5" customFormat="1"/>
    <row r="215" s="5" customFormat="1"/>
    <row r="216" s="5" customFormat="1"/>
    <row r="217" s="5" customFormat="1"/>
    <row r="218" s="5" customFormat="1"/>
    <row r="219" s="5" customFormat="1"/>
    <row r="220" s="5" customFormat="1"/>
    <row r="221" s="5" customFormat="1"/>
    <row r="222" s="5" customFormat="1"/>
    <row r="223" s="5" customFormat="1"/>
    <row r="224" s="5" customFormat="1"/>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177:T17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7A05-C019-4921-8EED-0BB97CBEA16D}">
  <dimension ref="A1:U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8.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445</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9" t="s">
        <v>16</v>
      </c>
      <c r="E3" s="7"/>
      <c r="F3" s="5"/>
      <c r="G3" s="5"/>
    </row>
    <row r="4" spans="1:16">
      <c r="A4" s="11">
        <v>1</v>
      </c>
      <c r="B4" s="12" t="str">
        <f>المدخلات!$F$4</f>
        <v>4:00–5:30 م</v>
      </c>
      <c r="C4" s="12">
        <v>1</v>
      </c>
      <c r="D4" s="12" t="s">
        <v>204</v>
      </c>
      <c r="E4" s="7"/>
      <c r="F4" s="5"/>
      <c r="G4" s="5"/>
    </row>
    <row r="5" spans="1:16">
      <c r="A5" s="11">
        <v>1</v>
      </c>
      <c r="B5" s="12" t="str">
        <f>المدخلات!$F$4</f>
        <v>4:00–5:30 م</v>
      </c>
      <c r="C5" s="12">
        <v>2</v>
      </c>
      <c r="D5" s="12" t="s">
        <v>174</v>
      </c>
      <c r="E5" s="7"/>
      <c r="F5" s="5"/>
      <c r="G5" s="5"/>
    </row>
    <row r="6" spans="1:16">
      <c r="A6" s="11">
        <v>1</v>
      </c>
      <c r="B6" s="12" t="str">
        <f>المدخلات!$F$4</f>
        <v>4:00–5:30 م</v>
      </c>
      <c r="C6" s="12">
        <v>3</v>
      </c>
      <c r="D6" s="12" t="s">
        <v>175</v>
      </c>
      <c r="E6" s="7"/>
      <c r="F6" s="5"/>
      <c r="G6" s="5"/>
    </row>
    <row r="7" spans="1:16">
      <c r="A7" s="11">
        <v>1</v>
      </c>
      <c r="B7" s="12" t="str">
        <f>المدخلات!$F$4</f>
        <v>4:00–5:30 م</v>
      </c>
      <c r="C7" s="12">
        <v>4</v>
      </c>
      <c r="D7" s="12" t="s">
        <v>159</v>
      </c>
      <c r="E7" s="7"/>
      <c r="F7" s="5"/>
      <c r="G7" s="5"/>
    </row>
    <row r="8" spans="1:16">
      <c r="A8" s="11">
        <v>1</v>
      </c>
      <c r="B8" s="12" t="str">
        <f>المدخلات!$F$5</f>
        <v>5:40–7:10 م</v>
      </c>
      <c r="C8" s="12">
        <v>1</v>
      </c>
      <c r="D8" s="12" t="s">
        <v>160</v>
      </c>
      <c r="E8" s="7"/>
      <c r="F8" s="5"/>
      <c r="G8" s="5"/>
    </row>
    <row r="9" spans="1:16">
      <c r="A9" s="11">
        <v>1</v>
      </c>
      <c r="B9" s="12" t="str">
        <f>المدخلات!$F$5</f>
        <v>5:40–7:10 م</v>
      </c>
      <c r="C9" s="12">
        <v>2</v>
      </c>
      <c r="D9" s="12" t="s">
        <v>161</v>
      </c>
      <c r="E9" s="7"/>
      <c r="F9" s="5"/>
      <c r="G9" s="5"/>
    </row>
    <row r="10" spans="1:16">
      <c r="A10" s="11">
        <v>1</v>
      </c>
      <c r="B10" s="12" t="str">
        <f>المدخلات!$F$5</f>
        <v>5:40–7:10 م</v>
      </c>
      <c r="C10" s="12">
        <v>3</v>
      </c>
      <c r="D10" s="12" t="s">
        <v>162</v>
      </c>
      <c r="E10" s="7"/>
      <c r="F10" s="5"/>
      <c r="G10" s="5"/>
    </row>
    <row r="11" spans="1:16">
      <c r="A11" s="11">
        <v>1</v>
      </c>
      <c r="B11" s="12" t="str">
        <f>المدخلات!$F$5</f>
        <v>5:40–7:10 م</v>
      </c>
      <c r="C11" s="12">
        <v>4</v>
      </c>
      <c r="D11" s="12" t="s">
        <v>90</v>
      </c>
      <c r="E11" s="7"/>
      <c r="F11" s="5"/>
      <c r="G11" s="5"/>
    </row>
    <row r="12" spans="1:16">
      <c r="A12" s="11">
        <v>1</v>
      </c>
      <c r="B12" s="12" t="str">
        <f>المدخلات!$F$6</f>
        <v>7:20–8:50 م</v>
      </c>
      <c r="C12" s="12">
        <v>1</v>
      </c>
      <c r="D12" s="12" t="s">
        <v>85</v>
      </c>
      <c r="E12" s="7"/>
      <c r="F12" s="5"/>
      <c r="G12" s="5"/>
    </row>
    <row r="13" spans="1:16">
      <c r="A13" s="11">
        <v>1</v>
      </c>
      <c r="B13" s="12" t="str">
        <f>المدخلات!$F$6</f>
        <v>7:20–8:50 م</v>
      </c>
      <c r="C13" s="12">
        <v>2</v>
      </c>
      <c r="D13" s="12" t="s">
        <v>74</v>
      </c>
      <c r="E13" s="7"/>
      <c r="F13" s="5"/>
      <c r="G13" s="5"/>
    </row>
    <row r="14" spans="1:16">
      <c r="A14" s="11">
        <v>2</v>
      </c>
      <c r="B14" s="12" t="str">
        <f>المدخلات!$F$4</f>
        <v>4:00–5:30 م</v>
      </c>
      <c r="C14" s="12">
        <v>1</v>
      </c>
      <c r="D14" s="12" t="s">
        <v>121</v>
      </c>
      <c r="E14" s="7"/>
      <c r="F14" s="5"/>
      <c r="G14" s="5"/>
    </row>
    <row r="15" spans="1:16">
      <c r="A15" s="11">
        <v>2</v>
      </c>
      <c r="B15" s="12" t="str">
        <f>المدخلات!$F$4</f>
        <v>4:00–5:30 م</v>
      </c>
      <c r="C15" s="12">
        <v>2</v>
      </c>
      <c r="D15" s="12" t="s">
        <v>120</v>
      </c>
      <c r="E15" s="7"/>
      <c r="F15" s="5"/>
      <c r="G15" s="5"/>
    </row>
    <row r="16" spans="1:16">
      <c r="A16" s="11">
        <v>2</v>
      </c>
      <c r="B16" s="12" t="str">
        <f>المدخلات!$F$4</f>
        <v>4:00–5:30 م</v>
      </c>
      <c r="C16" s="12">
        <v>3</v>
      </c>
      <c r="D16" s="12" t="s">
        <v>75</v>
      </c>
      <c r="E16" s="7"/>
      <c r="F16" s="5"/>
      <c r="G16" s="5"/>
    </row>
    <row r="17" spans="1:7">
      <c r="A17" s="11">
        <v>2</v>
      </c>
      <c r="B17" s="12" t="str">
        <f>المدخلات!$F$4</f>
        <v>4:00–5:30 م</v>
      </c>
      <c r="C17" s="12">
        <v>4</v>
      </c>
      <c r="D17" s="12" t="s">
        <v>86</v>
      </c>
      <c r="E17" s="7"/>
      <c r="F17" s="5"/>
      <c r="G17" s="5"/>
    </row>
    <row r="18" spans="1:7">
      <c r="A18" s="11">
        <v>2</v>
      </c>
      <c r="B18" s="12" t="str">
        <f>المدخلات!$F$5</f>
        <v>5:40–7:10 م</v>
      </c>
      <c r="C18" s="12">
        <v>1</v>
      </c>
      <c r="D18" s="12" t="s">
        <v>117</v>
      </c>
      <c r="E18" s="7"/>
      <c r="F18" s="5"/>
      <c r="G18" s="5"/>
    </row>
    <row r="19" spans="1:7">
      <c r="A19" s="11">
        <v>2</v>
      </c>
      <c r="B19" s="12" t="str">
        <f>المدخلات!$F$5</f>
        <v>5:40–7:10 م</v>
      </c>
      <c r="C19" s="12">
        <v>2</v>
      </c>
      <c r="D19" s="12" t="s">
        <v>205</v>
      </c>
      <c r="E19" s="7"/>
      <c r="F19" s="5"/>
      <c r="G19" s="5"/>
    </row>
    <row r="20" spans="1:7">
      <c r="A20" s="11">
        <v>2</v>
      </c>
      <c r="B20" s="12" t="str">
        <f>المدخلات!$F$5</f>
        <v>5:40–7:10 م</v>
      </c>
      <c r="C20" s="12">
        <v>3</v>
      </c>
      <c r="D20" s="12" t="s">
        <v>176</v>
      </c>
      <c r="E20" s="7"/>
      <c r="F20" s="5"/>
      <c r="G20" s="5"/>
    </row>
    <row r="21" spans="1:7">
      <c r="A21" s="11">
        <v>2</v>
      </c>
      <c r="B21" s="12" t="str">
        <f>المدخلات!$F$5</f>
        <v>5:40–7:10 م</v>
      </c>
      <c r="C21" s="12">
        <v>4</v>
      </c>
      <c r="D21" s="12" t="s">
        <v>64</v>
      </c>
      <c r="E21" s="7"/>
      <c r="F21" s="5"/>
      <c r="G21" s="5"/>
    </row>
    <row r="22" spans="1:7">
      <c r="A22" s="11">
        <v>2</v>
      </c>
      <c r="B22" s="12" t="str">
        <f>المدخلات!$F$6</f>
        <v>7:20–8:50 م</v>
      </c>
      <c r="C22" s="12">
        <v>1</v>
      </c>
      <c r="D22" s="12" t="s">
        <v>119</v>
      </c>
      <c r="E22" s="7"/>
      <c r="F22" s="5"/>
      <c r="G22" s="5"/>
    </row>
    <row r="23" spans="1:7">
      <c r="A23" s="11">
        <v>2</v>
      </c>
      <c r="B23" s="12" t="str">
        <f>المدخلات!$F$6</f>
        <v>7:20–8:50 م</v>
      </c>
      <c r="C23" s="12">
        <v>2</v>
      </c>
      <c r="D23" s="12" t="s">
        <v>118</v>
      </c>
      <c r="E23" s="7"/>
      <c r="F23" s="5"/>
      <c r="G23" s="5"/>
    </row>
    <row r="24" spans="1:7">
      <c r="A24" s="11">
        <v>3</v>
      </c>
      <c r="B24" s="12" t="str">
        <f>المدخلات!$F$4</f>
        <v>4:00–5:30 م</v>
      </c>
      <c r="C24" s="12">
        <v>1</v>
      </c>
      <c r="D24" s="12" t="s">
        <v>65</v>
      </c>
      <c r="E24" s="7"/>
      <c r="F24" s="5"/>
      <c r="G24" s="5"/>
    </row>
    <row r="25" spans="1:7">
      <c r="A25" s="11">
        <v>3</v>
      </c>
      <c r="B25" s="12" t="str">
        <f>المدخلات!$F$4</f>
        <v>4:00–5:30 م</v>
      </c>
      <c r="C25" s="12">
        <v>2</v>
      </c>
      <c r="D25" s="12" t="s">
        <v>56</v>
      </c>
      <c r="E25" s="7"/>
      <c r="F25" s="5"/>
      <c r="G25" s="5"/>
    </row>
    <row r="26" spans="1:7">
      <c r="A26" s="11">
        <v>3</v>
      </c>
      <c r="B26" s="12" t="str">
        <f>المدخلات!$F$4</f>
        <v>4:00–5:30 م</v>
      </c>
      <c r="C26" s="12">
        <v>3</v>
      </c>
      <c r="D26" s="12" t="s">
        <v>206</v>
      </c>
      <c r="E26" s="7"/>
      <c r="F26" s="5"/>
      <c r="G26" s="5"/>
    </row>
    <row r="27" spans="1:7">
      <c r="A27" s="11">
        <v>3</v>
      </c>
      <c r="B27" s="12" t="str">
        <f>المدخلات!$F$4</f>
        <v>4:00–5:30 م</v>
      </c>
      <c r="C27" s="12">
        <v>4</v>
      </c>
      <c r="D27" s="12" t="s">
        <v>123</v>
      </c>
      <c r="E27" s="7"/>
      <c r="F27" s="5"/>
      <c r="G27" s="5"/>
    </row>
    <row r="28" spans="1:7">
      <c r="A28" s="11">
        <v>3</v>
      </c>
      <c r="B28" s="12" t="str">
        <f>المدخلات!$F$5</f>
        <v>5:40–7:10 م</v>
      </c>
      <c r="C28" s="12">
        <v>1</v>
      </c>
      <c r="D28" s="12" t="s">
        <v>124</v>
      </c>
      <c r="E28" s="7"/>
      <c r="F28" s="5"/>
      <c r="G28" s="5"/>
    </row>
    <row r="29" spans="1:7">
      <c r="A29" s="11">
        <v>3</v>
      </c>
      <c r="B29" s="12" t="str">
        <f>المدخلات!$F$5</f>
        <v>5:40–7:10 م</v>
      </c>
      <c r="C29" s="12">
        <v>2</v>
      </c>
      <c r="D29" s="12" t="s">
        <v>125</v>
      </c>
      <c r="E29" s="7"/>
      <c r="F29" s="5"/>
      <c r="G29" s="5"/>
    </row>
    <row r="30" spans="1:7">
      <c r="A30" s="11">
        <v>3</v>
      </c>
      <c r="B30" s="12" t="str">
        <f>المدخلات!$F$5</f>
        <v>5:40–7:10 م</v>
      </c>
      <c r="C30" s="12">
        <v>3</v>
      </c>
      <c r="D30" s="12" t="s">
        <v>87</v>
      </c>
      <c r="E30" s="7"/>
      <c r="F30" s="5"/>
      <c r="G30" s="5"/>
    </row>
    <row r="31" spans="1:7">
      <c r="A31" s="11">
        <v>3</v>
      </c>
      <c r="B31" s="12" t="str">
        <f>المدخلات!$F$5</f>
        <v>5:40–7:10 م</v>
      </c>
      <c r="C31" s="12">
        <v>4</v>
      </c>
      <c r="D31" s="12" t="s">
        <v>76</v>
      </c>
      <c r="E31" s="7"/>
      <c r="F31" s="5"/>
      <c r="G31" s="5"/>
    </row>
    <row r="32" spans="1:7">
      <c r="A32" s="11">
        <v>3</v>
      </c>
      <c r="B32" s="12" t="str">
        <f>المدخلات!$F$6</f>
        <v>7:20–8:50 م</v>
      </c>
      <c r="C32" s="12">
        <v>1</v>
      </c>
      <c r="D32" s="12" t="s">
        <v>177</v>
      </c>
      <c r="E32" s="7"/>
      <c r="F32" s="5"/>
      <c r="G32" s="5"/>
    </row>
    <row r="33" spans="1:7">
      <c r="A33" s="11">
        <v>3</v>
      </c>
      <c r="B33" s="12" t="str">
        <f>المدخلات!$F$6</f>
        <v>7:20–8:50 م</v>
      </c>
      <c r="C33" s="12">
        <v>2</v>
      </c>
      <c r="D33" s="12" t="s">
        <v>178</v>
      </c>
      <c r="E33" s="7"/>
      <c r="F33" s="5"/>
      <c r="G33" s="5"/>
    </row>
    <row r="34" spans="1:7">
      <c r="A34" s="11">
        <v>4</v>
      </c>
      <c r="B34" s="12" t="str">
        <f>المدخلات!$F$4</f>
        <v>4:00–5:30 م</v>
      </c>
      <c r="C34" s="12">
        <v>1</v>
      </c>
      <c r="D34" s="12" t="s">
        <v>179</v>
      </c>
      <c r="E34" s="7"/>
      <c r="F34" s="5"/>
      <c r="G34" s="5"/>
    </row>
    <row r="35" spans="1:7">
      <c r="A35" s="11">
        <v>4</v>
      </c>
      <c r="B35" s="12" t="str">
        <f>المدخلات!$F$4</f>
        <v>4:00–5:30 م</v>
      </c>
      <c r="C35" s="12">
        <v>2</v>
      </c>
      <c r="D35" s="12" t="s">
        <v>88</v>
      </c>
      <c r="E35" s="7"/>
      <c r="F35" s="5"/>
      <c r="G35" s="5"/>
    </row>
    <row r="36" spans="1:7">
      <c r="A36" s="11">
        <v>4</v>
      </c>
      <c r="B36" s="12" t="str">
        <f>المدخلات!$F$4</f>
        <v>4:00–5:30 م</v>
      </c>
      <c r="C36" s="12">
        <v>3</v>
      </c>
      <c r="D36" s="12" t="s">
        <v>57</v>
      </c>
      <c r="E36" s="7"/>
      <c r="F36" s="5"/>
      <c r="G36" s="5"/>
    </row>
    <row r="37" spans="1:7">
      <c r="A37" s="11">
        <v>4</v>
      </c>
      <c r="B37" s="12" t="str">
        <f>المدخلات!$F$4</f>
        <v>4:00–5:30 م</v>
      </c>
      <c r="C37" s="12">
        <v>4</v>
      </c>
      <c r="D37" s="12" t="s">
        <v>66</v>
      </c>
      <c r="E37" s="7"/>
      <c r="F37" s="5"/>
      <c r="G37" s="5"/>
    </row>
    <row r="38" spans="1:7">
      <c r="A38" s="11">
        <v>4</v>
      </c>
      <c r="B38" s="12" t="str">
        <f>المدخلات!$F$5</f>
        <v>5:40–7:10 م</v>
      </c>
      <c r="C38" s="12">
        <v>1</v>
      </c>
      <c r="D38" s="12" t="s">
        <v>48</v>
      </c>
      <c r="E38" s="7"/>
      <c r="F38" s="5"/>
      <c r="G38" s="5"/>
    </row>
    <row r="39" spans="1:7">
      <c r="A39" s="11">
        <v>4</v>
      </c>
      <c r="B39" s="12" t="str">
        <f>المدخلات!$F$5</f>
        <v>5:40–7:10 م</v>
      </c>
      <c r="C39" s="12">
        <v>2</v>
      </c>
      <c r="D39" s="12" t="s">
        <v>122</v>
      </c>
      <c r="E39" s="7"/>
      <c r="F39" s="5"/>
      <c r="G39" s="5"/>
    </row>
    <row r="40" spans="1:7">
      <c r="A40" s="11">
        <v>4</v>
      </c>
      <c r="B40" s="12" t="str">
        <f>المدخلات!$F$5</f>
        <v>5:40–7:10 م</v>
      </c>
      <c r="C40" s="12">
        <v>3</v>
      </c>
      <c r="D40" s="12" t="s">
        <v>77</v>
      </c>
      <c r="E40" s="7"/>
      <c r="F40" s="5"/>
      <c r="G40" s="5"/>
    </row>
    <row r="41" spans="1:7">
      <c r="A41" s="11">
        <v>4</v>
      </c>
      <c r="B41" s="12" t="str">
        <f>المدخلات!$F$5</f>
        <v>5:40–7:10 م</v>
      </c>
      <c r="C41" s="12">
        <v>4</v>
      </c>
      <c r="D41" s="12" t="s">
        <v>165</v>
      </c>
      <c r="E41" s="7"/>
      <c r="F41" s="5"/>
      <c r="G41" s="5"/>
    </row>
    <row r="42" spans="1:7">
      <c r="A42" s="11">
        <v>4</v>
      </c>
      <c r="B42" s="12" t="str">
        <f>المدخلات!$F$6</f>
        <v>7:20–8:50 م</v>
      </c>
      <c r="C42" s="12">
        <v>1</v>
      </c>
      <c r="D42" s="12" t="s">
        <v>207</v>
      </c>
      <c r="E42" s="7"/>
      <c r="F42" s="5"/>
      <c r="G42" s="5"/>
    </row>
    <row r="43" spans="1:7">
      <c r="A43" s="11">
        <v>4</v>
      </c>
      <c r="B43" s="12" t="str">
        <f>المدخلات!$F$6</f>
        <v>7:20–8:50 م</v>
      </c>
      <c r="C43" s="12">
        <v>2</v>
      </c>
      <c r="D43" s="12" t="s">
        <v>128</v>
      </c>
      <c r="E43" s="7"/>
      <c r="F43" s="5"/>
      <c r="G43" s="5"/>
    </row>
    <row r="44" spans="1:7">
      <c r="A44" s="11">
        <v>5</v>
      </c>
      <c r="B44" s="12" t="str">
        <f>المدخلات!$F$4</f>
        <v>4:00–5:30 م</v>
      </c>
      <c r="C44" s="12">
        <v>1</v>
      </c>
      <c r="D44" s="12" t="s">
        <v>180</v>
      </c>
      <c r="E44" s="7"/>
      <c r="F44" s="5"/>
      <c r="G44" s="5"/>
    </row>
    <row r="45" spans="1:7">
      <c r="A45" s="11">
        <v>5</v>
      </c>
      <c r="B45" s="12" t="str">
        <f>المدخلات!$F$4</f>
        <v>4:00–5:30 م</v>
      </c>
      <c r="C45" s="12">
        <v>2</v>
      </c>
      <c r="D45" s="12" t="s">
        <v>166</v>
      </c>
      <c r="E45" s="7"/>
      <c r="F45" s="5"/>
      <c r="G45" s="5"/>
    </row>
    <row r="46" spans="1:7">
      <c r="A46" s="11">
        <v>5</v>
      </c>
      <c r="B46" s="12" t="str">
        <f>المدخلات!$F$4</f>
        <v>4:00–5:30 م</v>
      </c>
      <c r="C46" s="12">
        <v>3</v>
      </c>
      <c r="D46" s="12" t="s">
        <v>127</v>
      </c>
      <c r="E46" s="7"/>
      <c r="F46" s="5"/>
      <c r="G46" s="5"/>
    </row>
    <row r="47" spans="1:7">
      <c r="A47" s="11">
        <v>5</v>
      </c>
      <c r="B47" s="12" t="str">
        <f>المدخلات!$F$4</f>
        <v>4:00–5:30 م</v>
      </c>
      <c r="C47" s="12">
        <v>4</v>
      </c>
      <c r="D47" s="12" t="s">
        <v>126</v>
      </c>
      <c r="E47" s="7"/>
      <c r="F47" s="5"/>
      <c r="G47" s="5"/>
    </row>
    <row r="48" spans="1:7">
      <c r="A48" s="11">
        <v>5</v>
      </c>
      <c r="B48" s="12" t="str">
        <f>المدخلات!$F$5</f>
        <v>5:40–7:10 م</v>
      </c>
      <c r="C48" s="12">
        <v>1</v>
      </c>
      <c r="D48" s="12" t="s">
        <v>68</v>
      </c>
      <c r="E48" s="7"/>
      <c r="F48" s="5"/>
      <c r="G48" s="5"/>
    </row>
    <row r="49" spans="1:7">
      <c r="A49" s="11">
        <v>5</v>
      </c>
      <c r="B49" s="12" t="str">
        <f>المدخلات!$F$5</f>
        <v>5:40–7:10 م</v>
      </c>
      <c r="C49" s="12">
        <v>2</v>
      </c>
      <c r="D49" s="12" t="s">
        <v>58</v>
      </c>
      <c r="E49" s="7"/>
      <c r="F49" s="5"/>
      <c r="G49" s="5"/>
    </row>
    <row r="50" spans="1:7">
      <c r="A50" s="11">
        <v>5</v>
      </c>
      <c r="B50" s="12" t="str">
        <f>المدخلات!$F$5</f>
        <v>5:40–7:10 م</v>
      </c>
      <c r="C50" s="12">
        <v>3</v>
      </c>
      <c r="D50" s="12" t="s">
        <v>67</v>
      </c>
      <c r="E50" s="7"/>
      <c r="F50" s="5"/>
      <c r="G50" s="5"/>
    </row>
    <row r="51" spans="1:7">
      <c r="A51" s="11">
        <v>5</v>
      </c>
      <c r="B51" s="12" t="str">
        <f>المدخلات!$F$5</f>
        <v>5:40–7:10 م</v>
      </c>
      <c r="C51" s="12">
        <v>4</v>
      </c>
      <c r="D51" s="12" t="s">
        <v>208</v>
      </c>
      <c r="E51" s="7"/>
      <c r="F51" s="5"/>
      <c r="G51" s="5"/>
    </row>
    <row r="52" spans="1:7">
      <c r="A52" s="11">
        <v>5</v>
      </c>
      <c r="B52" s="12" t="str">
        <f>المدخلات!$F$6</f>
        <v>7:20–8:50 م</v>
      </c>
      <c r="C52" s="12">
        <v>1</v>
      </c>
      <c r="D52" s="12" t="s">
        <v>49</v>
      </c>
      <c r="E52" s="7"/>
      <c r="F52" s="5"/>
      <c r="G52" s="5"/>
    </row>
    <row r="53" spans="1:7">
      <c r="A53" s="11">
        <v>5</v>
      </c>
      <c r="B53" s="12" t="str">
        <f>المدخلات!$F$6</f>
        <v>7:20–8:50 م</v>
      </c>
      <c r="C53" s="12">
        <v>2</v>
      </c>
      <c r="D53" s="12" t="s">
        <v>42</v>
      </c>
      <c r="E53" s="7"/>
      <c r="F53" s="5"/>
      <c r="G53" s="5"/>
    </row>
    <row r="54" spans="1:7">
      <c r="A54" s="11">
        <v>6</v>
      </c>
      <c r="B54" s="12" t="str">
        <f>المدخلات!$F$4</f>
        <v>4:00–5:30 م</v>
      </c>
      <c r="C54" s="12">
        <v>1</v>
      </c>
      <c r="D54" s="12" t="s">
        <v>111</v>
      </c>
      <c r="E54" s="7"/>
      <c r="F54" s="5"/>
      <c r="G54" s="5"/>
    </row>
    <row r="55" spans="1:7">
      <c r="A55" s="11">
        <v>6</v>
      </c>
      <c r="B55" s="12" t="str">
        <f>المدخلات!$F$4</f>
        <v>4:00–5:30 م</v>
      </c>
      <c r="C55" s="12">
        <v>2</v>
      </c>
      <c r="D55" s="12" t="s">
        <v>43</v>
      </c>
      <c r="E55" s="7"/>
      <c r="F55" s="5"/>
      <c r="G55" s="5"/>
    </row>
    <row r="56" spans="1:7">
      <c r="A56" s="11">
        <v>6</v>
      </c>
      <c r="B56" s="12" t="str">
        <f>المدخلات!$F$4</f>
        <v>4:00–5:30 م</v>
      </c>
      <c r="C56" s="12">
        <v>3</v>
      </c>
      <c r="D56" s="12" t="s">
        <v>130</v>
      </c>
      <c r="E56" s="7"/>
      <c r="F56" s="5"/>
      <c r="G56" s="5"/>
    </row>
    <row r="57" spans="1:7">
      <c r="A57" s="11">
        <v>6</v>
      </c>
      <c r="B57" s="12" t="str">
        <f>المدخلات!$F$4</f>
        <v>4:00–5:30 م</v>
      </c>
      <c r="C57" s="12">
        <v>4</v>
      </c>
      <c r="D57" s="12" t="s">
        <v>182</v>
      </c>
      <c r="E57" s="7"/>
      <c r="F57" s="5"/>
      <c r="G57" s="5"/>
    </row>
    <row r="58" spans="1:7">
      <c r="A58" s="11">
        <v>6</v>
      </c>
      <c r="B58" s="12" t="str">
        <f>المدخلات!$F$5</f>
        <v>5:40–7:10 م</v>
      </c>
      <c r="C58" s="12">
        <v>1</v>
      </c>
      <c r="D58" s="12" t="s">
        <v>29</v>
      </c>
      <c r="E58" s="7"/>
      <c r="F58" s="5"/>
      <c r="G58" s="5"/>
    </row>
    <row r="59" spans="1:7">
      <c r="A59" s="11">
        <v>6</v>
      </c>
      <c r="B59" s="12" t="str">
        <f>المدخلات!$F$5</f>
        <v>5:40–7:10 م</v>
      </c>
      <c r="C59" s="12">
        <v>2</v>
      </c>
      <c r="D59" s="12" t="s">
        <v>129</v>
      </c>
      <c r="E59" s="7"/>
      <c r="F59" s="5"/>
      <c r="G59" s="5"/>
    </row>
    <row r="60" spans="1:7">
      <c r="A60" s="11">
        <v>6</v>
      </c>
      <c r="B60" s="12" t="str">
        <f>المدخلات!$F$5</f>
        <v>5:40–7:10 م</v>
      </c>
      <c r="C60" s="12">
        <v>3</v>
      </c>
      <c r="D60" s="12" t="s">
        <v>51</v>
      </c>
      <c r="E60" s="7"/>
      <c r="F60" s="5"/>
      <c r="G60" s="5"/>
    </row>
    <row r="61" spans="1:7">
      <c r="A61" s="11">
        <v>6</v>
      </c>
      <c r="B61" s="12" t="str">
        <f>المدخلات!$F$5</f>
        <v>5:40–7:10 م</v>
      </c>
      <c r="C61" s="12">
        <v>4</v>
      </c>
      <c r="D61" s="12" t="s">
        <v>50</v>
      </c>
      <c r="E61" s="7"/>
      <c r="F61" s="5"/>
      <c r="G61" s="5"/>
    </row>
    <row r="62" spans="1:7">
      <c r="A62" s="11">
        <v>6</v>
      </c>
      <c r="B62" s="12" t="str">
        <f>المدخلات!$F$6</f>
        <v>7:20–8:50 م</v>
      </c>
      <c r="C62" s="12">
        <v>1</v>
      </c>
      <c r="D62" s="12" t="s">
        <v>181</v>
      </c>
      <c r="E62" s="7"/>
      <c r="F62" s="5"/>
      <c r="G62" s="5"/>
    </row>
    <row r="63" spans="1:7">
      <c r="A63" s="11">
        <v>6</v>
      </c>
      <c r="B63" s="12" t="str">
        <f>المدخلات!$F$6</f>
        <v>7:20–8:50 م</v>
      </c>
      <c r="C63" s="12">
        <v>2</v>
      </c>
      <c r="D63" s="12" t="s">
        <v>209</v>
      </c>
      <c r="E63" s="7"/>
      <c r="F63" s="5"/>
      <c r="G63" s="5"/>
    </row>
    <row r="64" spans="1:7">
      <c r="A64" s="11">
        <v>7</v>
      </c>
      <c r="B64" s="12" t="str">
        <f>المدخلات!$F$4</f>
        <v>4:00–5:30 م</v>
      </c>
      <c r="C64" s="12">
        <v>1</v>
      </c>
      <c r="D64" s="12" t="s">
        <v>31</v>
      </c>
      <c r="E64" s="7"/>
      <c r="F64" s="5"/>
      <c r="G64" s="5"/>
    </row>
    <row r="65" spans="1:7">
      <c r="A65" s="11">
        <v>7</v>
      </c>
      <c r="B65" s="12" t="str">
        <f>المدخلات!$F$4</f>
        <v>4:00–5:30 م</v>
      </c>
      <c r="C65" s="12">
        <v>2</v>
      </c>
      <c r="D65" s="12" t="s">
        <v>210</v>
      </c>
      <c r="E65" s="7"/>
      <c r="F65" s="5"/>
      <c r="G65" s="5"/>
    </row>
    <row r="66" spans="1:7">
      <c r="A66" s="11">
        <v>7</v>
      </c>
      <c r="B66" s="12" t="str">
        <f>المدخلات!$F$4</f>
        <v>4:00–5:30 م</v>
      </c>
      <c r="C66" s="12">
        <v>3</v>
      </c>
      <c r="D66" s="12" t="s">
        <v>32</v>
      </c>
      <c r="E66" s="7"/>
      <c r="F66" s="5"/>
      <c r="G66" s="5"/>
    </row>
    <row r="67" spans="1:7">
      <c r="A67" s="11">
        <v>7</v>
      </c>
      <c r="B67" s="12" t="str">
        <f>المدخلات!$F$4</f>
        <v>4:00–5:30 م</v>
      </c>
      <c r="C67" s="12">
        <v>4</v>
      </c>
      <c r="D67" s="12" t="s">
        <v>131</v>
      </c>
      <c r="E67" s="7"/>
      <c r="F67" s="5"/>
      <c r="G67" s="5"/>
    </row>
    <row r="68" spans="1:7">
      <c r="A68" s="11">
        <v>7</v>
      </c>
      <c r="B68" s="12" t="str">
        <f>المدخلات!$F$5</f>
        <v>5:40–7:10 م</v>
      </c>
      <c r="C68" s="12">
        <v>1</v>
      </c>
      <c r="D68" s="12" t="s">
        <v>183</v>
      </c>
      <c r="E68" s="7"/>
      <c r="F68" s="5"/>
      <c r="G68" s="5"/>
    </row>
    <row r="69" spans="1:7">
      <c r="A69" s="11">
        <v>7</v>
      </c>
      <c r="B69" s="12" t="str">
        <f>المدخلات!$F$5</f>
        <v>5:40–7:10 م</v>
      </c>
      <c r="C69" s="12">
        <v>2</v>
      </c>
      <c r="D69" s="12" t="s">
        <v>112</v>
      </c>
      <c r="E69" s="7"/>
      <c r="F69" s="5"/>
      <c r="G69" s="5"/>
    </row>
    <row r="70" spans="1:7">
      <c r="A70" s="11">
        <v>7</v>
      </c>
      <c r="B70" s="12" t="str">
        <f>المدخلات!$F$5</f>
        <v>5:40–7:10 م</v>
      </c>
      <c r="C70" s="12">
        <v>3</v>
      </c>
      <c r="D70" s="12" t="s">
        <v>106</v>
      </c>
      <c r="E70" s="7"/>
      <c r="F70" s="5"/>
      <c r="G70" s="5"/>
    </row>
    <row r="71" spans="1:7">
      <c r="A71" s="11">
        <v>7</v>
      </c>
      <c r="B71" s="12" t="str">
        <f>المدخلات!$F$5</f>
        <v>5:40–7:10 م</v>
      </c>
      <c r="C71" s="12">
        <v>4</v>
      </c>
      <c r="D71" s="12" t="s">
        <v>184</v>
      </c>
      <c r="E71" s="7"/>
      <c r="F71" s="5"/>
      <c r="G71" s="5"/>
    </row>
    <row r="72" spans="1:7">
      <c r="A72" s="11">
        <v>7</v>
      </c>
      <c r="B72" s="12" t="str">
        <f>المدخلات!$F$6</f>
        <v>7:20–8:50 م</v>
      </c>
      <c r="C72" s="12">
        <v>1</v>
      </c>
      <c r="D72" s="12" t="s">
        <v>132</v>
      </c>
      <c r="E72" s="7"/>
      <c r="F72" s="5"/>
      <c r="G72" s="5"/>
    </row>
    <row r="73" spans="1:7">
      <c r="A73" s="11">
        <v>7</v>
      </c>
      <c r="B73" s="12" t="str">
        <f>المدخلات!$F$6</f>
        <v>7:20–8:50 م</v>
      </c>
      <c r="C73" s="12">
        <v>2</v>
      </c>
      <c r="D73" s="12" t="s">
        <v>38</v>
      </c>
      <c r="E73" s="7"/>
      <c r="F73" s="5"/>
      <c r="G73" s="5"/>
    </row>
    <row r="74" spans="1:7">
      <c r="A74" s="11">
        <v>8</v>
      </c>
      <c r="B74" s="12" t="str">
        <f>المدخلات!$F$4</f>
        <v>4:00–5:30 م</v>
      </c>
      <c r="C74" s="12">
        <v>1</v>
      </c>
      <c r="D74" s="12" t="s">
        <v>134</v>
      </c>
      <c r="E74" s="7"/>
      <c r="F74" s="5"/>
      <c r="G74" s="5"/>
    </row>
    <row r="75" spans="1:7">
      <c r="A75" s="11">
        <v>8</v>
      </c>
      <c r="B75" s="12" t="str">
        <f>المدخلات!$F$4</f>
        <v>4:00–5:30 م</v>
      </c>
      <c r="C75" s="12">
        <v>2</v>
      </c>
      <c r="D75" s="12" t="s">
        <v>185</v>
      </c>
      <c r="E75" s="7"/>
      <c r="F75" s="5"/>
      <c r="G75" s="5"/>
    </row>
    <row r="76" spans="1:7">
      <c r="A76" s="11">
        <v>8</v>
      </c>
      <c r="B76" s="12" t="str">
        <f>المدخلات!$F$4</f>
        <v>4:00–5:30 م</v>
      </c>
      <c r="C76" s="12">
        <v>3</v>
      </c>
      <c r="D76" s="12" t="s">
        <v>113</v>
      </c>
      <c r="E76" s="7"/>
      <c r="F76" s="5"/>
      <c r="G76" s="5"/>
    </row>
    <row r="77" spans="1:7">
      <c r="A77" s="11">
        <v>8</v>
      </c>
      <c r="B77" s="12" t="str">
        <f>المدخلات!$F$4</f>
        <v>4:00–5:30 م</v>
      </c>
      <c r="C77" s="12">
        <v>4</v>
      </c>
      <c r="D77" s="12" t="s">
        <v>19</v>
      </c>
      <c r="E77" s="7"/>
      <c r="F77" s="5"/>
      <c r="G77" s="5"/>
    </row>
    <row r="78" spans="1:7">
      <c r="A78" s="11">
        <v>8</v>
      </c>
      <c r="B78" s="12" t="str">
        <f>المدخلات!$F$5</f>
        <v>5:40–7:10 م</v>
      </c>
      <c r="C78" s="12">
        <v>1</v>
      </c>
      <c r="D78" s="12" t="s">
        <v>186</v>
      </c>
      <c r="E78" s="7"/>
      <c r="F78" s="5"/>
      <c r="G78" s="5"/>
    </row>
    <row r="79" spans="1:7">
      <c r="A79" s="11">
        <v>8</v>
      </c>
      <c r="B79" s="12" t="str">
        <f>المدخلات!$F$5</f>
        <v>5:40–7:10 م</v>
      </c>
      <c r="C79" s="12">
        <v>2</v>
      </c>
      <c r="D79" s="12" t="s">
        <v>107</v>
      </c>
      <c r="E79" s="7"/>
      <c r="F79" s="5"/>
      <c r="G79" s="5"/>
    </row>
    <row r="80" spans="1:7">
      <c r="A80" s="11">
        <v>8</v>
      </c>
      <c r="B80" s="12" t="str">
        <f>المدخلات!$F$5</f>
        <v>5:40–7:10 م</v>
      </c>
      <c r="C80" s="12">
        <v>3</v>
      </c>
      <c r="D80" s="12" t="s">
        <v>100</v>
      </c>
      <c r="E80" s="7"/>
      <c r="F80" s="5"/>
      <c r="G80" s="5"/>
    </row>
    <row r="81" spans="1:7">
      <c r="A81" s="11">
        <v>8</v>
      </c>
      <c r="B81" s="12" t="str">
        <f>المدخلات!$F$5</f>
        <v>5:40–7:10 م</v>
      </c>
      <c r="C81" s="12">
        <v>4</v>
      </c>
      <c r="D81" s="12" t="s">
        <v>211</v>
      </c>
      <c r="E81" s="7"/>
      <c r="F81" s="5"/>
      <c r="G81" s="5"/>
    </row>
    <row r="82" spans="1:7">
      <c r="A82" s="11">
        <v>8</v>
      </c>
      <c r="B82" s="12" t="str">
        <f>المدخلات!$F$6</f>
        <v>7:20–8:50 م</v>
      </c>
      <c r="C82" s="12">
        <v>1</v>
      </c>
      <c r="D82" s="12" t="s">
        <v>20</v>
      </c>
      <c r="E82" s="7"/>
      <c r="F82" s="5"/>
      <c r="G82" s="5"/>
    </row>
    <row r="83" spans="1:7">
      <c r="A83" s="11">
        <v>8</v>
      </c>
      <c r="B83" s="12" t="str">
        <f>المدخلات!$F$6</f>
        <v>7:20–8:50 م</v>
      </c>
      <c r="C83" s="12">
        <v>2</v>
      </c>
      <c r="D83" s="12" t="s">
        <v>133</v>
      </c>
      <c r="E83" s="7"/>
      <c r="F83" s="5"/>
      <c r="G83" s="5"/>
    </row>
    <row r="84" spans="1:7">
      <c r="A84" s="11">
        <v>9</v>
      </c>
      <c r="B84" s="12" t="str">
        <f>المدخلات!$F$4</f>
        <v>4:00–5:30 م</v>
      </c>
      <c r="C84" s="12">
        <v>1</v>
      </c>
      <c r="D84" s="12" t="s">
        <v>78</v>
      </c>
      <c r="E84" s="7"/>
      <c r="F84" s="5"/>
      <c r="G84" s="5"/>
    </row>
    <row r="85" spans="1:7">
      <c r="A85" s="11">
        <v>9</v>
      </c>
      <c r="B85" s="12" t="str">
        <f>المدخلات!$F$4</f>
        <v>4:00–5:30 م</v>
      </c>
      <c r="C85" s="12">
        <v>2</v>
      </c>
      <c r="D85" s="12" t="s">
        <v>23</v>
      </c>
      <c r="E85" s="7"/>
      <c r="F85" s="5"/>
      <c r="G85" s="5"/>
    </row>
    <row r="86" spans="1:7">
      <c r="A86" s="11">
        <v>9</v>
      </c>
      <c r="B86" s="12" t="str">
        <f>المدخلات!$F$4</f>
        <v>4:00–5:30 م</v>
      </c>
      <c r="C86" s="12">
        <v>3</v>
      </c>
      <c r="D86" s="12" t="s">
        <v>187</v>
      </c>
      <c r="E86" s="7"/>
      <c r="F86" s="5"/>
      <c r="G86" s="5"/>
    </row>
    <row r="87" spans="1:7">
      <c r="A87" s="11">
        <v>9</v>
      </c>
      <c r="B87" s="12" t="str">
        <f>المدخلات!$F$4</f>
        <v>4:00–5:30 م</v>
      </c>
      <c r="C87" s="12">
        <v>4</v>
      </c>
      <c r="D87" s="12" t="s">
        <v>91</v>
      </c>
      <c r="E87" s="7"/>
      <c r="F87" s="5"/>
      <c r="G87" s="5"/>
    </row>
    <row r="88" spans="1:7">
      <c r="A88" s="11">
        <v>9</v>
      </c>
      <c r="B88" s="12" t="str">
        <f>المدخلات!$F$5</f>
        <v>5:40–7:10 م</v>
      </c>
      <c r="C88" s="12">
        <v>1</v>
      </c>
      <c r="D88" s="12" t="s">
        <v>212</v>
      </c>
      <c r="E88" s="7"/>
      <c r="F88" s="5"/>
      <c r="G88" s="5"/>
    </row>
    <row r="89" spans="1:7">
      <c r="A89" s="11">
        <v>9</v>
      </c>
      <c r="B89" s="12" t="str">
        <f>المدخلات!$F$5</f>
        <v>5:40–7:10 م</v>
      </c>
      <c r="C89" s="12">
        <v>2</v>
      </c>
      <c r="D89" s="12" t="s">
        <v>101</v>
      </c>
      <c r="E89" s="7"/>
      <c r="F89" s="5"/>
      <c r="G89" s="5"/>
    </row>
    <row r="90" spans="1:7">
      <c r="A90" s="11">
        <v>9</v>
      </c>
      <c r="B90" s="12" t="str">
        <f>المدخلات!$F$5</f>
        <v>5:40–7:10 م</v>
      </c>
      <c r="C90" s="12">
        <v>3</v>
      </c>
      <c r="D90" s="12" t="s">
        <v>135</v>
      </c>
      <c r="E90" s="7"/>
      <c r="F90" s="5"/>
      <c r="G90" s="5"/>
    </row>
    <row r="91" spans="1:7">
      <c r="A91" s="11">
        <v>9</v>
      </c>
      <c r="B91" s="12" t="str">
        <f>المدخلات!$F$5</f>
        <v>5:40–7:10 م</v>
      </c>
      <c r="C91" s="12">
        <v>4</v>
      </c>
      <c r="D91" s="12" t="s">
        <v>136</v>
      </c>
      <c r="E91" s="7"/>
      <c r="F91" s="5"/>
      <c r="G91" s="5"/>
    </row>
    <row r="92" spans="1:7">
      <c r="A92" s="11">
        <v>9</v>
      </c>
      <c r="B92" s="12" t="str">
        <f>المدخلات!$F$6</f>
        <v>7:20–8:50 م</v>
      </c>
      <c r="C92" s="12">
        <v>1</v>
      </c>
      <c r="D92" s="12" t="s">
        <v>105</v>
      </c>
      <c r="E92" s="7"/>
      <c r="F92" s="5"/>
      <c r="G92" s="5"/>
    </row>
    <row r="93" spans="1:7">
      <c r="A93" s="11">
        <v>9</v>
      </c>
      <c r="B93" s="12" t="str">
        <f>المدخلات!$F$6</f>
        <v>7:20–8:50 م</v>
      </c>
      <c r="C93" s="12">
        <v>2</v>
      </c>
      <c r="D93" s="12" t="s">
        <v>188</v>
      </c>
      <c r="E93" s="7"/>
      <c r="F93" s="5"/>
      <c r="G93" s="5"/>
    </row>
    <row r="94" spans="1:7">
      <c r="A94" s="11">
        <v>10</v>
      </c>
      <c r="B94" s="12" t="str">
        <f>المدخلات!$F$4</f>
        <v>4:00–5:30 م</v>
      </c>
      <c r="C94" s="12">
        <v>1</v>
      </c>
      <c r="D94" s="12" t="s">
        <v>79</v>
      </c>
      <c r="E94" s="7"/>
      <c r="F94" s="5"/>
      <c r="G94" s="5"/>
    </row>
    <row r="95" spans="1:7">
      <c r="A95" s="11">
        <v>10</v>
      </c>
      <c r="B95" s="12" t="str">
        <f>المدخلات!$F$4</f>
        <v>4:00–5:30 م</v>
      </c>
      <c r="C95" s="12">
        <v>2</v>
      </c>
      <c r="D95" s="12" t="s">
        <v>92</v>
      </c>
      <c r="E95" s="7"/>
      <c r="F95" s="5"/>
      <c r="G95" s="5"/>
    </row>
    <row r="96" spans="1:7">
      <c r="A96" s="11">
        <v>10</v>
      </c>
      <c r="B96" s="12" t="str">
        <f>المدخلات!$F$4</f>
        <v>4:00–5:30 م</v>
      </c>
      <c r="C96" s="12">
        <v>3</v>
      </c>
      <c r="D96" s="12" t="s">
        <v>137</v>
      </c>
      <c r="E96" s="7"/>
      <c r="F96" s="5"/>
      <c r="G96" s="5"/>
    </row>
    <row r="97" spans="1:7">
      <c r="A97" s="11">
        <v>10</v>
      </c>
      <c r="B97" s="12" t="str">
        <f>المدخلات!$F$4</f>
        <v>4:00–5:30 م</v>
      </c>
      <c r="C97" s="12">
        <v>4</v>
      </c>
      <c r="D97" s="12" t="s">
        <v>189</v>
      </c>
      <c r="E97" s="7"/>
      <c r="F97" s="5"/>
      <c r="G97" s="5"/>
    </row>
    <row r="98" spans="1:7">
      <c r="A98" s="11">
        <v>10</v>
      </c>
      <c r="B98" s="12" t="str">
        <f>المدخلات!$F$5</f>
        <v>5:40–7:10 م</v>
      </c>
      <c r="C98" s="12">
        <v>1</v>
      </c>
      <c r="D98" s="12" t="s">
        <v>69</v>
      </c>
      <c r="E98" s="7"/>
      <c r="F98" s="5"/>
      <c r="G98" s="5"/>
    </row>
    <row r="99" spans="1:7">
      <c r="A99" s="11">
        <v>10</v>
      </c>
      <c r="B99" s="12" t="str">
        <f>المدخلات!$F$5</f>
        <v>5:40–7:10 م</v>
      </c>
      <c r="C99" s="12">
        <v>2</v>
      </c>
      <c r="D99" s="12" t="s">
        <v>139</v>
      </c>
      <c r="E99" s="7"/>
      <c r="F99" s="5"/>
      <c r="G99" s="5"/>
    </row>
    <row r="100" spans="1:7">
      <c r="A100" s="11">
        <v>10</v>
      </c>
      <c r="B100" s="12" t="str">
        <f>المدخلات!$F$5</f>
        <v>5:40–7:10 م</v>
      </c>
      <c r="C100" s="12">
        <v>3</v>
      </c>
      <c r="D100" s="12" t="s">
        <v>213</v>
      </c>
      <c r="E100" s="7"/>
      <c r="F100" s="5"/>
      <c r="G100" s="5"/>
    </row>
    <row r="101" spans="1:7">
      <c r="A101" s="11">
        <v>10</v>
      </c>
      <c r="B101" s="12" t="str">
        <f>المدخلات!$F$5</f>
        <v>5:40–7:10 م</v>
      </c>
      <c r="C101" s="12">
        <v>4</v>
      </c>
      <c r="D101" s="12" t="s">
        <v>190</v>
      </c>
      <c r="E101" s="7"/>
      <c r="F101" s="5"/>
      <c r="G101" s="5"/>
    </row>
    <row r="102" spans="1:7">
      <c r="A102" s="11">
        <v>10</v>
      </c>
      <c r="B102" s="12" t="str">
        <f>المدخلات!$F$6</f>
        <v>7:20–8:50 م</v>
      </c>
      <c r="C102" s="12">
        <v>1</v>
      </c>
      <c r="D102" s="12" t="s">
        <v>99</v>
      </c>
      <c r="E102" s="7"/>
      <c r="F102" s="5"/>
      <c r="G102" s="5"/>
    </row>
    <row r="103" spans="1:7">
      <c r="A103" s="11">
        <v>10</v>
      </c>
      <c r="B103" s="12" t="str">
        <f>المدخلات!$F$6</f>
        <v>7:20–8:50 م</v>
      </c>
      <c r="C103" s="12">
        <v>2</v>
      </c>
      <c r="D103" s="12" t="s">
        <v>138</v>
      </c>
      <c r="E103" s="7"/>
      <c r="F103" s="5"/>
      <c r="G103" s="5"/>
    </row>
    <row r="104" spans="1:7">
      <c r="A104" s="11">
        <v>11</v>
      </c>
      <c r="B104" s="12" t="str">
        <f>المدخلات!$F$4</f>
        <v>4:00–5:30 م</v>
      </c>
      <c r="C104" s="12">
        <v>1</v>
      </c>
      <c r="D104" s="12" t="s">
        <v>144</v>
      </c>
      <c r="E104" s="7"/>
      <c r="F104" s="5"/>
      <c r="G104" s="5"/>
    </row>
    <row r="105" spans="1:7">
      <c r="A105" s="11">
        <v>11</v>
      </c>
      <c r="B105" s="12" t="str">
        <f>المدخلات!$F$4</f>
        <v>4:00–5:30 م</v>
      </c>
      <c r="C105" s="12">
        <v>2</v>
      </c>
      <c r="D105" s="12" t="s">
        <v>70</v>
      </c>
      <c r="E105" s="7"/>
      <c r="F105" s="5"/>
      <c r="G105" s="5"/>
    </row>
    <row r="106" spans="1:7">
      <c r="A106" s="11">
        <v>11</v>
      </c>
      <c r="B106" s="12" t="str">
        <f>المدخلات!$F$4</f>
        <v>4:00–5:30 م</v>
      </c>
      <c r="C106" s="12">
        <v>3</v>
      </c>
      <c r="D106" s="12" t="s">
        <v>214</v>
      </c>
      <c r="E106" s="7"/>
      <c r="F106" s="5"/>
      <c r="G106" s="5"/>
    </row>
    <row r="107" spans="1:7">
      <c r="A107" s="11">
        <v>11</v>
      </c>
      <c r="B107" s="12" t="str">
        <f>المدخلات!$F$4</f>
        <v>4:00–5:30 م</v>
      </c>
      <c r="C107" s="12">
        <v>4</v>
      </c>
      <c r="D107" s="12" t="s">
        <v>141</v>
      </c>
      <c r="E107" s="7"/>
      <c r="F107" s="5"/>
      <c r="G107" s="5"/>
    </row>
    <row r="108" spans="1:7">
      <c r="A108" s="11">
        <v>11</v>
      </c>
      <c r="B108" s="12" t="str">
        <f>المدخلات!$F$5</f>
        <v>5:40–7:10 م</v>
      </c>
      <c r="C108" s="12">
        <v>1</v>
      </c>
      <c r="D108" s="12" t="s">
        <v>140</v>
      </c>
      <c r="E108" s="7"/>
      <c r="F108" s="5"/>
      <c r="G108" s="5"/>
    </row>
    <row r="109" spans="1:7">
      <c r="A109" s="11">
        <v>11</v>
      </c>
      <c r="B109" s="12" t="str">
        <f>المدخلات!$F$5</f>
        <v>5:40–7:10 م</v>
      </c>
      <c r="C109" s="12">
        <v>2</v>
      </c>
      <c r="D109" s="12" t="s">
        <v>59</v>
      </c>
      <c r="E109" s="7"/>
      <c r="F109" s="5"/>
      <c r="G109" s="5"/>
    </row>
    <row r="110" spans="1:7">
      <c r="A110" s="11">
        <v>11</v>
      </c>
      <c r="B110" s="12" t="str">
        <f>المدخلات!$F$5</f>
        <v>5:40–7:10 م</v>
      </c>
      <c r="C110" s="12">
        <v>3</v>
      </c>
      <c r="D110" s="12" t="s">
        <v>191</v>
      </c>
      <c r="E110" s="7"/>
      <c r="F110" s="5"/>
      <c r="G110" s="5"/>
    </row>
    <row r="111" spans="1:7">
      <c r="A111" s="11">
        <v>11</v>
      </c>
      <c r="B111" s="12" t="str">
        <f>المدخلات!$F$5</f>
        <v>5:40–7:10 م</v>
      </c>
      <c r="C111" s="12">
        <v>4</v>
      </c>
      <c r="D111" s="12" t="s">
        <v>142</v>
      </c>
      <c r="E111" s="7"/>
      <c r="F111" s="5"/>
      <c r="G111" s="5"/>
    </row>
    <row r="112" spans="1:7">
      <c r="A112" s="11">
        <v>11</v>
      </c>
      <c r="B112" s="12" t="str">
        <f>المدخلات!$F$6</f>
        <v>7:20–8:50 م</v>
      </c>
      <c r="C112" s="12">
        <v>1</v>
      </c>
      <c r="D112" s="12" t="s">
        <v>143</v>
      </c>
      <c r="E112" s="7"/>
      <c r="F112" s="5"/>
      <c r="G112" s="5"/>
    </row>
    <row r="113" spans="1:7">
      <c r="A113" s="11">
        <v>11</v>
      </c>
      <c r="B113" s="12" t="str">
        <f>المدخلات!$F$6</f>
        <v>7:20–8:50 م</v>
      </c>
      <c r="C113" s="12">
        <v>2</v>
      </c>
      <c r="D113" s="12" t="s">
        <v>80</v>
      </c>
      <c r="E113" s="7"/>
      <c r="F113" s="5"/>
      <c r="G113" s="5"/>
    </row>
    <row r="114" spans="1:7">
      <c r="A114" s="11">
        <v>12</v>
      </c>
      <c r="B114" s="12" t="str">
        <f>المدخلات!$F$4</f>
        <v>4:00–5:30 م</v>
      </c>
      <c r="C114" s="12">
        <v>1</v>
      </c>
      <c r="D114" s="12" t="s">
        <v>148</v>
      </c>
      <c r="E114" s="7"/>
      <c r="F114" s="5"/>
      <c r="G114" s="5"/>
    </row>
    <row r="115" spans="1:7">
      <c r="A115" s="11">
        <v>12</v>
      </c>
      <c r="B115" s="12" t="str">
        <f>المدخلات!$F$4</f>
        <v>4:00–5:30 م</v>
      </c>
      <c r="C115" s="12">
        <v>2</v>
      </c>
      <c r="D115" s="12" t="s">
        <v>71</v>
      </c>
      <c r="E115" s="7"/>
      <c r="F115" s="5"/>
      <c r="G115" s="5"/>
    </row>
    <row r="116" spans="1:7">
      <c r="A116" s="11">
        <v>12</v>
      </c>
      <c r="B116" s="12" t="str">
        <f>المدخلات!$F$4</f>
        <v>4:00–5:30 م</v>
      </c>
      <c r="C116" s="12">
        <v>3</v>
      </c>
      <c r="D116" s="12" t="s">
        <v>52</v>
      </c>
      <c r="E116" s="7"/>
      <c r="F116" s="5"/>
      <c r="G116" s="5"/>
    </row>
    <row r="117" spans="1:7">
      <c r="A117" s="11">
        <v>12</v>
      </c>
      <c r="B117" s="12" t="str">
        <f>المدخلات!$F$4</f>
        <v>4:00–5:30 م</v>
      </c>
      <c r="C117" s="12">
        <v>4</v>
      </c>
      <c r="D117" s="12" t="s">
        <v>60</v>
      </c>
      <c r="E117" s="7"/>
      <c r="F117" s="5"/>
      <c r="G117" s="5"/>
    </row>
    <row r="118" spans="1:7">
      <c r="A118" s="11">
        <v>12</v>
      </c>
      <c r="B118" s="12" t="str">
        <f>المدخلات!$F$5</f>
        <v>5:40–7:10 م</v>
      </c>
      <c r="C118" s="12">
        <v>1</v>
      </c>
      <c r="D118" s="12" t="s">
        <v>192</v>
      </c>
      <c r="E118" s="7"/>
      <c r="F118" s="5"/>
      <c r="G118" s="5"/>
    </row>
    <row r="119" spans="1:7">
      <c r="A119" s="11">
        <v>12</v>
      </c>
      <c r="B119" s="12" t="str">
        <f>المدخلات!$F$5</f>
        <v>5:40–7:10 م</v>
      </c>
      <c r="C119" s="12">
        <v>2</v>
      </c>
      <c r="D119" s="12" t="s">
        <v>215</v>
      </c>
      <c r="E119" s="7"/>
      <c r="F119" s="5"/>
      <c r="G119" s="5"/>
    </row>
    <row r="120" spans="1:7">
      <c r="A120" s="11">
        <v>12</v>
      </c>
      <c r="B120" s="12" t="str">
        <f>المدخلات!$F$5</f>
        <v>5:40–7:10 م</v>
      </c>
      <c r="C120" s="12">
        <v>3</v>
      </c>
      <c r="D120" s="12" t="s">
        <v>81</v>
      </c>
      <c r="E120" s="7"/>
      <c r="F120" s="5"/>
      <c r="G120" s="5"/>
    </row>
    <row r="121" spans="1:7">
      <c r="A121" s="11">
        <v>12</v>
      </c>
      <c r="B121" s="12" t="str">
        <f>المدخلات!$F$5</f>
        <v>5:40–7:10 م</v>
      </c>
      <c r="C121" s="12">
        <v>4</v>
      </c>
      <c r="D121" s="12" t="s">
        <v>146</v>
      </c>
      <c r="E121" s="7"/>
      <c r="F121" s="5"/>
      <c r="G121" s="5"/>
    </row>
    <row r="122" spans="1:7">
      <c r="A122" s="11">
        <v>12</v>
      </c>
      <c r="B122" s="12" t="str">
        <f>المدخلات!$F$6</f>
        <v>7:20–8:50 م</v>
      </c>
      <c r="C122" s="12">
        <v>1</v>
      </c>
      <c r="D122" s="12" t="s">
        <v>145</v>
      </c>
      <c r="E122" s="7"/>
      <c r="F122" s="5"/>
      <c r="G122" s="5"/>
    </row>
    <row r="123" spans="1:7">
      <c r="A123" s="11">
        <v>12</v>
      </c>
      <c r="B123" s="12" t="str">
        <f>المدخلات!$F$6</f>
        <v>7:20–8:50 م</v>
      </c>
      <c r="C123" s="12">
        <v>2</v>
      </c>
      <c r="D123" s="12" t="s">
        <v>147</v>
      </c>
      <c r="E123" s="7"/>
      <c r="F123" s="5"/>
      <c r="G123" s="5"/>
    </row>
    <row r="124" spans="1:7">
      <c r="A124" s="11">
        <v>13</v>
      </c>
      <c r="B124" s="12" t="str">
        <f>المدخلات!$F$4</f>
        <v>4:00–5:30 م</v>
      </c>
      <c r="C124" s="12">
        <v>1</v>
      </c>
      <c r="D124" s="12" t="s">
        <v>216</v>
      </c>
      <c r="E124" s="7"/>
      <c r="F124" s="5"/>
      <c r="G124" s="5"/>
    </row>
    <row r="125" spans="1:7">
      <c r="A125" s="11">
        <v>13</v>
      </c>
      <c r="B125" s="12" t="str">
        <f>المدخلات!$F$4</f>
        <v>4:00–5:30 م</v>
      </c>
      <c r="C125" s="12">
        <v>2</v>
      </c>
      <c r="D125" s="12" t="s">
        <v>82</v>
      </c>
      <c r="E125" s="7"/>
      <c r="F125" s="5"/>
      <c r="G125" s="5"/>
    </row>
    <row r="126" spans="1:7">
      <c r="A126" s="11">
        <v>13</v>
      </c>
      <c r="B126" s="12" t="str">
        <f>المدخلات!$F$4</f>
        <v>4:00–5:30 م</v>
      </c>
      <c r="C126" s="12">
        <v>3</v>
      </c>
      <c r="D126" s="12" t="s">
        <v>72</v>
      </c>
      <c r="E126" s="7"/>
      <c r="F126" s="5"/>
      <c r="G126" s="5"/>
    </row>
    <row r="127" spans="1:7">
      <c r="A127" s="11">
        <v>13</v>
      </c>
      <c r="B127" s="12" t="str">
        <f>المدخلات!$F$4</f>
        <v>4:00–5:30 م</v>
      </c>
      <c r="C127" s="12">
        <v>4</v>
      </c>
      <c r="D127" s="12" t="s">
        <v>167</v>
      </c>
      <c r="E127" s="7"/>
      <c r="F127" s="5"/>
      <c r="G127" s="5"/>
    </row>
    <row r="128" spans="1:7">
      <c r="A128" s="11">
        <v>13</v>
      </c>
      <c r="B128" s="12" t="str">
        <f>المدخلات!$F$5</f>
        <v>5:40–7:10 م</v>
      </c>
      <c r="C128" s="12">
        <v>1</v>
      </c>
      <c r="D128" s="12" t="s">
        <v>53</v>
      </c>
      <c r="E128" s="7"/>
      <c r="F128" s="5"/>
      <c r="G128" s="5"/>
    </row>
    <row r="129" spans="1:7">
      <c r="A129" s="11">
        <v>13</v>
      </c>
      <c r="B129" s="12" t="str">
        <f>المدخلات!$F$5</f>
        <v>5:40–7:10 م</v>
      </c>
      <c r="C129" s="12">
        <v>2</v>
      </c>
      <c r="D129" s="12" t="s">
        <v>193</v>
      </c>
      <c r="E129" s="7"/>
      <c r="F129" s="5"/>
      <c r="G129" s="5"/>
    </row>
    <row r="130" spans="1:7">
      <c r="A130" s="11">
        <v>13</v>
      </c>
      <c r="B130" s="12" t="str">
        <f>المدخلات!$F$5</f>
        <v>5:40–7:10 م</v>
      </c>
      <c r="C130" s="12">
        <v>3</v>
      </c>
      <c r="D130" s="12" t="s">
        <v>44</v>
      </c>
      <c r="E130" s="7"/>
      <c r="F130" s="5"/>
      <c r="G130" s="5"/>
    </row>
    <row r="131" spans="1:7">
      <c r="A131" s="11">
        <v>13</v>
      </c>
      <c r="B131" s="12" t="str">
        <f>المدخلات!$F$5</f>
        <v>5:40–7:10 م</v>
      </c>
      <c r="C131" s="12">
        <v>4</v>
      </c>
      <c r="D131" s="12" t="s">
        <v>149</v>
      </c>
      <c r="E131" s="7"/>
      <c r="F131" s="5"/>
      <c r="G131" s="5"/>
    </row>
    <row r="132" spans="1:7">
      <c r="A132" s="11">
        <v>13</v>
      </c>
      <c r="B132" s="12" t="str">
        <f>المدخلات!$F$6</f>
        <v>7:20–8:50 م</v>
      </c>
      <c r="C132" s="12">
        <v>1</v>
      </c>
      <c r="D132" s="12" t="s">
        <v>61</v>
      </c>
      <c r="E132" s="7"/>
      <c r="F132" s="5"/>
      <c r="G132" s="5"/>
    </row>
    <row r="133" spans="1:7">
      <c r="A133" s="11">
        <v>13</v>
      </c>
      <c r="B133" s="12" t="str">
        <f>المدخلات!$F$6</f>
        <v>7:20–8:50 م</v>
      </c>
      <c r="C133" s="12">
        <v>2</v>
      </c>
      <c r="D133" s="12" t="s">
        <v>150</v>
      </c>
      <c r="E133" s="7"/>
      <c r="F133" s="5"/>
      <c r="G133" s="5"/>
    </row>
    <row r="134" spans="1:7">
      <c r="A134" s="11">
        <v>14</v>
      </c>
      <c r="B134" s="12" t="str">
        <f>المدخلات!$F$4</f>
        <v>4:00–5:30 م</v>
      </c>
      <c r="C134" s="12">
        <v>1</v>
      </c>
      <c r="D134" s="12" t="s">
        <v>45</v>
      </c>
      <c r="E134" s="7"/>
      <c r="F134" s="5"/>
      <c r="G134" s="5"/>
    </row>
    <row r="135" spans="1:7">
      <c r="A135" s="11">
        <v>14</v>
      </c>
      <c r="B135" s="12" t="str">
        <f>المدخلات!$F$4</f>
        <v>4:00–5:30 م</v>
      </c>
      <c r="C135" s="12">
        <v>2</v>
      </c>
      <c r="D135" s="12" t="s">
        <v>217</v>
      </c>
      <c r="E135" s="7"/>
      <c r="F135" s="5"/>
      <c r="G135" s="5"/>
    </row>
    <row r="136" spans="1:7">
      <c r="A136" s="11">
        <v>14</v>
      </c>
      <c r="B136" s="12" t="str">
        <f>المدخلات!$F$4</f>
        <v>4:00–5:30 م</v>
      </c>
      <c r="C136" s="12">
        <v>3</v>
      </c>
      <c r="D136" s="12" t="s">
        <v>194</v>
      </c>
      <c r="E136" s="7"/>
      <c r="F136" s="5"/>
      <c r="G136" s="5"/>
    </row>
    <row r="137" spans="1:7">
      <c r="A137" s="11">
        <v>14</v>
      </c>
      <c r="B137" s="12" t="str">
        <f>المدخلات!$F$4</f>
        <v>4:00–5:30 م</v>
      </c>
      <c r="C137" s="12">
        <v>4</v>
      </c>
      <c r="D137" s="12" t="s">
        <v>83</v>
      </c>
      <c r="E137" s="7"/>
      <c r="F137" s="5"/>
      <c r="G137" s="5"/>
    </row>
    <row r="138" spans="1:7">
      <c r="A138" s="11">
        <v>14</v>
      </c>
      <c r="B138" s="12" t="str">
        <f>المدخلات!$F$5</f>
        <v>5:40–7:10 م</v>
      </c>
      <c r="C138" s="12">
        <v>1</v>
      </c>
      <c r="D138" s="12" t="s">
        <v>151</v>
      </c>
      <c r="E138" s="7"/>
      <c r="F138" s="5"/>
      <c r="G138" s="5"/>
    </row>
    <row r="139" spans="1:7">
      <c r="A139" s="11">
        <v>14</v>
      </c>
      <c r="B139" s="12" t="str">
        <f>المدخلات!$F$5</f>
        <v>5:40–7:10 م</v>
      </c>
      <c r="C139" s="12">
        <v>2</v>
      </c>
      <c r="D139" s="12" t="s">
        <v>54</v>
      </c>
      <c r="E139" s="7"/>
      <c r="F139" s="5"/>
      <c r="G139" s="5"/>
    </row>
    <row r="140" spans="1:7">
      <c r="A140" s="11">
        <v>14</v>
      </c>
      <c r="B140" s="12" t="str">
        <f>المدخلات!$F$5</f>
        <v>5:40–7:10 م</v>
      </c>
      <c r="C140" s="12">
        <v>3</v>
      </c>
      <c r="D140" s="12" t="s">
        <v>62</v>
      </c>
      <c r="E140" s="7"/>
      <c r="F140" s="5"/>
      <c r="G140" s="5"/>
    </row>
    <row r="141" spans="1:7">
      <c r="A141" s="11">
        <v>14</v>
      </c>
      <c r="B141" s="12" t="str">
        <f>المدخلات!$F$5</f>
        <v>5:40–7:10 م</v>
      </c>
      <c r="C141" s="12">
        <v>4</v>
      </c>
      <c r="D141" s="12" t="s">
        <v>168</v>
      </c>
      <c r="E141" s="7"/>
      <c r="F141" s="5"/>
      <c r="G141" s="5"/>
    </row>
    <row r="142" spans="1:7">
      <c r="A142" s="11">
        <v>14</v>
      </c>
      <c r="B142" s="12" t="str">
        <f>المدخلات!$F$6</f>
        <v>7:20–8:50 م</v>
      </c>
      <c r="C142" s="12">
        <v>1</v>
      </c>
      <c r="D142" s="12" t="s">
        <v>73</v>
      </c>
      <c r="E142" s="7"/>
      <c r="F142" s="5"/>
      <c r="G142" s="5"/>
    </row>
    <row r="143" spans="1:7">
      <c r="A143" s="11">
        <v>14</v>
      </c>
      <c r="B143" s="12" t="str">
        <f>المدخلات!$F$6</f>
        <v>7:20–8:50 م</v>
      </c>
      <c r="C143" s="12">
        <v>2</v>
      </c>
      <c r="D143" s="12" t="s">
        <v>39</v>
      </c>
      <c r="E143" s="7"/>
      <c r="F143" s="5"/>
      <c r="G143" s="5"/>
    </row>
    <row r="144" spans="1:7">
      <c r="A144" s="11">
        <v>15</v>
      </c>
      <c r="B144" s="12" t="str">
        <f>المدخلات!$F$4</f>
        <v>4:00–5:30 م</v>
      </c>
      <c r="C144" s="12">
        <v>1</v>
      </c>
      <c r="D144" s="12" t="s">
        <v>63</v>
      </c>
      <c r="E144" s="7"/>
      <c r="F144" s="5"/>
      <c r="G144" s="5"/>
    </row>
    <row r="145" spans="1:7">
      <c r="A145" s="11">
        <v>15</v>
      </c>
      <c r="B145" s="12" t="str">
        <f>المدخلات!$F$4</f>
        <v>4:00–5:30 م</v>
      </c>
      <c r="C145" s="12">
        <v>2</v>
      </c>
      <c r="D145" s="12" t="s">
        <v>114</v>
      </c>
      <c r="E145" s="7"/>
      <c r="F145" s="5"/>
      <c r="G145" s="5"/>
    </row>
    <row r="146" spans="1:7">
      <c r="A146" s="11">
        <v>15</v>
      </c>
      <c r="B146" s="12" t="str">
        <f>المدخلات!$F$4</f>
        <v>4:00–5:30 م</v>
      </c>
      <c r="C146" s="12">
        <v>3</v>
      </c>
      <c r="D146" s="12" t="s">
        <v>40</v>
      </c>
      <c r="E146" s="7"/>
      <c r="F146" s="5"/>
      <c r="G146" s="5"/>
    </row>
    <row r="147" spans="1:7">
      <c r="A147" s="11">
        <v>15</v>
      </c>
      <c r="B147" s="12" t="str">
        <f>المدخلات!$F$4</f>
        <v>4:00–5:30 م</v>
      </c>
      <c r="C147" s="12">
        <v>4</v>
      </c>
      <c r="D147" s="12" t="s">
        <v>18</v>
      </c>
      <c r="E147" s="7"/>
      <c r="F147" s="5"/>
      <c r="G147" s="5"/>
    </row>
    <row r="148" spans="1:7">
      <c r="A148" s="11">
        <v>15</v>
      </c>
      <c r="B148" s="12" t="str">
        <f>المدخلات!$F$5</f>
        <v>5:40–7:10 م</v>
      </c>
      <c r="C148" s="12">
        <v>1</v>
      </c>
      <c r="D148" s="12" t="s">
        <v>218</v>
      </c>
      <c r="E148" s="7"/>
      <c r="F148" s="5"/>
      <c r="G148" s="5"/>
    </row>
    <row r="149" spans="1:7">
      <c r="A149" s="11">
        <v>15</v>
      </c>
      <c r="B149" s="12" t="str">
        <f>المدخلات!$F$5</f>
        <v>5:40–7:10 م</v>
      </c>
      <c r="C149" s="12">
        <v>2</v>
      </c>
      <c r="D149" s="12" t="s">
        <v>46</v>
      </c>
      <c r="E149" s="7"/>
      <c r="F149" s="5"/>
      <c r="G149" s="5"/>
    </row>
    <row r="150" spans="1:7">
      <c r="A150" s="11">
        <v>15</v>
      </c>
      <c r="B150" s="12" t="str">
        <f>المدخلات!$F$5</f>
        <v>5:40–7:10 م</v>
      </c>
      <c r="C150" s="12">
        <v>3</v>
      </c>
      <c r="D150" s="12" t="s">
        <v>152</v>
      </c>
      <c r="E150" s="7"/>
      <c r="F150" s="5"/>
      <c r="G150" s="5"/>
    </row>
    <row r="151" spans="1:7">
      <c r="A151" s="11">
        <v>15</v>
      </c>
      <c r="B151" s="12" t="str">
        <f>المدخلات!$F$5</f>
        <v>5:40–7:10 م</v>
      </c>
      <c r="C151" s="12">
        <v>4</v>
      </c>
      <c r="D151" s="12" t="s">
        <v>55</v>
      </c>
      <c r="E151" s="7"/>
      <c r="F151" s="5"/>
      <c r="G151" s="5"/>
    </row>
    <row r="152" spans="1:7">
      <c r="A152" s="11">
        <v>15</v>
      </c>
      <c r="B152" s="12" t="str">
        <f>المدخلات!$F$6</f>
        <v>7:20–8:50 م</v>
      </c>
      <c r="C152" s="12">
        <v>1</v>
      </c>
      <c r="D152" s="12" t="s">
        <v>164</v>
      </c>
      <c r="E152" s="7"/>
      <c r="F152" s="5"/>
      <c r="G152" s="5"/>
    </row>
    <row r="153" spans="1:7">
      <c r="A153" s="11">
        <v>15</v>
      </c>
      <c r="B153" s="12" t="str">
        <f>المدخلات!$F$6</f>
        <v>7:20–8:50 م</v>
      </c>
      <c r="C153" s="12">
        <v>2</v>
      </c>
      <c r="D153" s="12" t="s">
        <v>195</v>
      </c>
      <c r="E153" s="7"/>
      <c r="F153" s="5"/>
      <c r="G153" s="5"/>
    </row>
    <row r="154" spans="1:7">
      <c r="A154" s="11">
        <v>16</v>
      </c>
      <c r="B154" s="12" t="str">
        <f>المدخلات!$F$4</f>
        <v>4:00–5:30 م</v>
      </c>
      <c r="C154" s="12">
        <v>1</v>
      </c>
      <c r="D154" s="12" t="s">
        <v>21</v>
      </c>
      <c r="E154" s="7"/>
      <c r="F154" s="5"/>
      <c r="G154" s="5"/>
    </row>
    <row r="155" spans="1:7">
      <c r="A155" s="11">
        <v>16</v>
      </c>
      <c r="B155" s="12" t="str">
        <f>المدخلات!$F$4</f>
        <v>4:00–5:30 م</v>
      </c>
      <c r="C155" s="12">
        <v>2</v>
      </c>
      <c r="D155" s="12" t="s">
        <v>22</v>
      </c>
      <c r="E155" s="7"/>
      <c r="F155" s="5"/>
      <c r="G155" s="5"/>
    </row>
    <row r="156" spans="1:7">
      <c r="A156" s="11">
        <v>16</v>
      </c>
      <c r="B156" s="12" t="str">
        <f>المدخلات!$F$4</f>
        <v>4:00–5:30 م</v>
      </c>
      <c r="C156" s="12">
        <v>3</v>
      </c>
      <c r="D156" s="12" t="s">
        <v>41</v>
      </c>
      <c r="E156" s="7"/>
      <c r="F156" s="5"/>
      <c r="G156" s="5"/>
    </row>
    <row r="157" spans="1:7">
      <c r="A157" s="11">
        <v>16</v>
      </c>
      <c r="B157" s="12" t="str">
        <f>المدخلات!$F$4</f>
        <v>4:00–5:30 م</v>
      </c>
      <c r="C157" s="12">
        <v>4</v>
      </c>
      <c r="D157" s="12" t="s">
        <v>196</v>
      </c>
      <c r="E157" s="7"/>
      <c r="F157" s="5"/>
      <c r="G157" s="5"/>
    </row>
    <row r="158" spans="1:7">
      <c r="A158" s="11">
        <v>16</v>
      </c>
      <c r="B158" s="12" t="str">
        <f>المدخلات!$F$5</f>
        <v>5:40–7:10 م</v>
      </c>
      <c r="C158" s="12">
        <v>1</v>
      </c>
      <c r="D158" s="12" t="s">
        <v>47</v>
      </c>
      <c r="E158" s="7"/>
      <c r="F158" s="5"/>
      <c r="G158" s="5"/>
    </row>
    <row r="159" spans="1:7">
      <c r="A159" s="11">
        <v>16</v>
      </c>
      <c r="B159" s="12" t="str">
        <f>المدخلات!$F$5</f>
        <v>5:40–7:10 م</v>
      </c>
      <c r="C159" s="12">
        <v>2</v>
      </c>
      <c r="D159" s="12" t="s">
        <v>108</v>
      </c>
      <c r="E159" s="7"/>
      <c r="F159" s="5"/>
      <c r="G159" s="5"/>
    </row>
    <row r="160" spans="1:7">
      <c r="A160" s="11">
        <v>16</v>
      </c>
      <c r="B160" s="12" t="str">
        <f>المدخلات!$F$5</f>
        <v>5:40–7:10 م</v>
      </c>
      <c r="C160" s="12">
        <v>3</v>
      </c>
      <c r="D160" s="12" t="s">
        <v>153</v>
      </c>
      <c r="E160" s="7"/>
      <c r="F160" s="5"/>
      <c r="G160" s="5"/>
    </row>
    <row r="161" spans="1:7">
      <c r="A161" s="11">
        <v>16</v>
      </c>
      <c r="B161" s="12" t="str">
        <f>المدخلات!$F$5</f>
        <v>5:40–7:10 م</v>
      </c>
      <c r="C161" s="12">
        <v>4</v>
      </c>
      <c r="D161" s="12" t="s">
        <v>115</v>
      </c>
      <c r="E161" s="7"/>
      <c r="F161" s="5"/>
      <c r="G161" s="5"/>
    </row>
    <row r="162" spans="1:7">
      <c r="A162" s="11">
        <v>16</v>
      </c>
      <c r="B162" s="12" t="str">
        <f>المدخلات!$F$6</f>
        <v>7:20–8:50 م</v>
      </c>
      <c r="C162" s="12">
        <v>1</v>
      </c>
      <c r="D162" s="12" t="s">
        <v>219</v>
      </c>
      <c r="E162" s="7"/>
      <c r="F162" s="5"/>
      <c r="G162" s="5"/>
    </row>
    <row r="163" spans="1:7">
      <c r="A163" s="11">
        <v>16</v>
      </c>
      <c r="B163" s="12" t="str">
        <f>المدخلات!$F$6</f>
        <v>7:20–8:50 م</v>
      </c>
      <c r="C163" s="12">
        <v>2</v>
      </c>
      <c r="D163" s="12" t="s">
        <v>197</v>
      </c>
      <c r="E163" s="7"/>
      <c r="F163" s="5"/>
      <c r="G163" s="5"/>
    </row>
    <row r="164" spans="1:7">
      <c r="A164" s="11">
        <v>17</v>
      </c>
      <c r="B164" s="12" t="str">
        <f>المدخلات!$F$4</f>
        <v>4:00–5:30 م</v>
      </c>
      <c r="C164" s="12">
        <v>1</v>
      </c>
      <c r="D164" s="12" t="s">
        <v>109</v>
      </c>
      <c r="E164" s="7"/>
      <c r="F164" s="5"/>
      <c r="G164" s="5"/>
    </row>
    <row r="165" spans="1:7">
      <c r="A165" s="11">
        <v>17</v>
      </c>
      <c r="B165" s="12" t="str">
        <f>المدخلات!$F$4</f>
        <v>4:00–5:30 م</v>
      </c>
      <c r="C165" s="12">
        <v>2</v>
      </c>
      <c r="D165" s="12" t="s">
        <v>199</v>
      </c>
      <c r="E165" s="7"/>
      <c r="F165" s="5"/>
      <c r="G165" s="5"/>
    </row>
    <row r="166" spans="1:7">
      <c r="A166" s="11">
        <v>17</v>
      </c>
      <c r="B166" s="12" t="str">
        <f>المدخلات!$F$4</f>
        <v>4:00–5:30 م</v>
      </c>
      <c r="C166" s="12">
        <v>3</v>
      </c>
      <c r="D166" s="12" t="s">
        <v>102</v>
      </c>
      <c r="E166" s="7"/>
      <c r="F166" s="5"/>
      <c r="G166" s="5"/>
    </row>
    <row r="167" spans="1:7">
      <c r="A167" s="11">
        <v>17</v>
      </c>
      <c r="B167" s="12" t="str">
        <f>المدخلات!$F$4</f>
        <v>4:00–5:30 م</v>
      </c>
      <c r="C167" s="12">
        <v>4</v>
      </c>
      <c r="D167" s="12" t="s">
        <v>116</v>
      </c>
      <c r="E167" s="7"/>
      <c r="F167" s="5"/>
      <c r="G167" s="5"/>
    </row>
    <row r="168" spans="1:7">
      <c r="A168" s="11">
        <v>17</v>
      </c>
      <c r="B168" s="12" t="str">
        <f>المدخلات!$F$5</f>
        <v>5:40–7:10 م</v>
      </c>
      <c r="C168" s="12">
        <v>1</v>
      </c>
      <c r="D168" s="12" t="s">
        <v>24</v>
      </c>
      <c r="E168" s="7"/>
      <c r="F168" s="5"/>
      <c r="G168" s="5"/>
    </row>
    <row r="169" spans="1:7">
      <c r="A169" s="11">
        <v>17</v>
      </c>
      <c r="B169" s="12" t="str">
        <f>المدخلات!$F$5</f>
        <v>5:40–7:10 م</v>
      </c>
      <c r="C169" s="12">
        <v>2</v>
      </c>
      <c r="D169" s="12" t="s">
        <v>25</v>
      </c>
      <c r="E169" s="7"/>
      <c r="F169" s="5"/>
      <c r="G169" s="5"/>
    </row>
    <row r="170" spans="1:7">
      <c r="A170" s="11">
        <v>17</v>
      </c>
      <c r="B170" s="12" t="str">
        <f>المدخلات!$F$5</f>
        <v>5:40–7:10 م</v>
      </c>
      <c r="C170" s="12">
        <v>3</v>
      </c>
      <c r="D170" s="12" t="s">
        <v>26</v>
      </c>
      <c r="E170" s="7"/>
      <c r="F170" s="5"/>
      <c r="G170" s="5"/>
    </row>
    <row r="171" spans="1:7">
      <c r="A171" s="11">
        <v>17</v>
      </c>
      <c r="B171" s="12" t="str">
        <f>المدخلات!$F$5</f>
        <v>5:40–7:10 م</v>
      </c>
      <c r="C171" s="12">
        <v>4</v>
      </c>
      <c r="D171" s="12" t="s">
        <v>220</v>
      </c>
      <c r="E171" s="7"/>
      <c r="F171" s="5"/>
      <c r="G171" s="5"/>
    </row>
    <row r="172" spans="1:7">
      <c r="A172" s="11">
        <v>17</v>
      </c>
      <c r="B172" s="12" t="str">
        <f>المدخلات!$F$6</f>
        <v>7:20–8:50 م</v>
      </c>
      <c r="C172" s="12">
        <v>1</v>
      </c>
      <c r="D172" s="12" t="s">
        <v>198</v>
      </c>
      <c r="E172" s="7"/>
      <c r="F172" s="5"/>
      <c r="G172" s="5"/>
    </row>
    <row r="173" spans="1:7">
      <c r="A173" s="11">
        <v>17</v>
      </c>
      <c r="B173" s="12" t="str">
        <f>المدخلات!$F$6</f>
        <v>7:20–8:50 م</v>
      </c>
      <c r="C173" s="12">
        <v>2</v>
      </c>
      <c r="D173" s="12" t="s">
        <v>154</v>
      </c>
      <c r="E173" s="7"/>
      <c r="F173" s="5"/>
      <c r="G173" s="5"/>
    </row>
    <row r="174" spans="1:7">
      <c r="A174" s="11">
        <v>18</v>
      </c>
      <c r="B174" s="12" t="str">
        <f>المدخلات!$F$4</f>
        <v>4:00–5:30 م</v>
      </c>
      <c r="C174" s="12">
        <v>1</v>
      </c>
      <c r="D174" s="12" t="s">
        <v>28</v>
      </c>
      <c r="E174" s="7"/>
      <c r="F174" s="5"/>
      <c r="G174" s="5"/>
    </row>
    <row r="175" spans="1:7">
      <c r="A175" s="11">
        <v>18</v>
      </c>
      <c r="B175" s="12" t="str">
        <f>المدخلات!$F$4</f>
        <v>4:00–5:30 م</v>
      </c>
      <c r="C175" s="12">
        <v>2</v>
      </c>
      <c r="D175" s="12" t="s">
        <v>201</v>
      </c>
      <c r="E175" s="7"/>
      <c r="F175" s="5"/>
      <c r="G175" s="5"/>
    </row>
    <row r="176" spans="1:7">
      <c r="A176" s="11">
        <v>18</v>
      </c>
      <c r="B176" s="12" t="str">
        <f>المدخلات!$F$4</f>
        <v>4:00–5:30 م</v>
      </c>
      <c r="C176" s="12">
        <v>3</v>
      </c>
      <c r="D176" s="12" t="s">
        <v>27</v>
      </c>
      <c r="E176" s="7"/>
      <c r="F176" s="5"/>
      <c r="G176" s="5"/>
    </row>
    <row r="177" spans="1:7">
      <c r="A177" s="11">
        <v>18</v>
      </c>
      <c r="B177" s="12" t="str">
        <f>المدخلات!$F$4</f>
        <v>4:00–5:30 م</v>
      </c>
      <c r="C177" s="12">
        <v>4</v>
      </c>
      <c r="D177" s="12" t="s">
        <v>155</v>
      </c>
      <c r="E177" s="7"/>
      <c r="F177" s="5"/>
      <c r="G177" s="5"/>
    </row>
    <row r="178" spans="1:7">
      <c r="A178" s="11">
        <v>18</v>
      </c>
      <c r="B178" s="12" t="str">
        <f>المدخلات!$F$5</f>
        <v>5:40–7:10 م</v>
      </c>
      <c r="C178" s="12">
        <v>1</v>
      </c>
      <c r="D178" s="12" t="s">
        <v>103</v>
      </c>
      <c r="E178" s="7"/>
      <c r="F178" s="5"/>
      <c r="G178" s="5"/>
    </row>
    <row r="179" spans="1:7">
      <c r="A179" s="11">
        <v>18</v>
      </c>
      <c r="B179" s="12" t="str">
        <f>المدخلات!$F$5</f>
        <v>5:40–7:10 م</v>
      </c>
      <c r="C179" s="12">
        <v>2</v>
      </c>
      <c r="D179" s="12" t="s">
        <v>200</v>
      </c>
      <c r="E179" s="7"/>
      <c r="F179" s="5"/>
      <c r="G179" s="5"/>
    </row>
    <row r="180" spans="1:7">
      <c r="A180" s="11">
        <v>18</v>
      </c>
      <c r="B180" s="12" t="str">
        <f>المدخلات!$F$5</f>
        <v>5:40–7:10 م</v>
      </c>
      <c r="C180" s="12">
        <v>3</v>
      </c>
      <c r="D180" s="12" t="s">
        <v>104</v>
      </c>
      <c r="E180" s="7"/>
      <c r="F180" s="5"/>
      <c r="G180" s="5"/>
    </row>
    <row r="181" spans="1:7">
      <c r="A181" s="11">
        <v>18</v>
      </c>
      <c r="B181" s="12" t="str">
        <f>المدخلات!$F$5</f>
        <v>5:40–7:10 م</v>
      </c>
      <c r="C181" s="12">
        <v>4</v>
      </c>
      <c r="D181" s="12" t="s">
        <v>93</v>
      </c>
      <c r="E181" s="7"/>
      <c r="F181" s="5"/>
      <c r="G181" s="5"/>
    </row>
    <row r="182" spans="1:7">
      <c r="A182" s="11">
        <v>18</v>
      </c>
      <c r="B182" s="12" t="str">
        <f>المدخلات!$F$6</f>
        <v>7:20–8:50 م</v>
      </c>
      <c r="C182" s="12">
        <v>1</v>
      </c>
      <c r="D182" s="12" t="s">
        <v>110</v>
      </c>
      <c r="E182" s="7"/>
      <c r="F182" s="5"/>
      <c r="G182" s="5"/>
    </row>
    <row r="183" spans="1:7">
      <c r="A183" s="11">
        <v>18</v>
      </c>
      <c r="B183" s="12" t="str">
        <f>المدخلات!$F$6</f>
        <v>7:20–8:50 م</v>
      </c>
      <c r="C183" s="12">
        <v>2</v>
      </c>
      <c r="D183" s="12" t="s">
        <v>221</v>
      </c>
      <c r="E183" s="7"/>
      <c r="F183" s="5"/>
      <c r="G183" s="5"/>
    </row>
    <row r="184" spans="1:7">
      <c r="A184" s="11">
        <v>19</v>
      </c>
      <c r="B184" s="12" t="str">
        <f>المدخلات!$F$4</f>
        <v>4:00–5:30 م</v>
      </c>
      <c r="C184" s="12">
        <v>1</v>
      </c>
      <c r="D184" s="12" t="s">
        <v>158</v>
      </c>
      <c r="E184" s="7"/>
      <c r="F184" s="5"/>
      <c r="G184" s="5"/>
    </row>
    <row r="185" spans="1:7">
      <c r="A185" s="11">
        <v>19</v>
      </c>
      <c r="B185" s="12" t="str">
        <f>المدخلات!$F$4</f>
        <v>4:00–5:30 م</v>
      </c>
      <c r="C185" s="12">
        <v>2</v>
      </c>
      <c r="D185" s="12" t="s">
        <v>222</v>
      </c>
      <c r="E185" s="7"/>
      <c r="F185" s="5"/>
      <c r="G185" s="5"/>
    </row>
    <row r="186" spans="1:7">
      <c r="A186" s="11">
        <v>19</v>
      </c>
      <c r="B186" s="12" t="str">
        <f>المدخلات!$F$4</f>
        <v>4:00–5:30 م</v>
      </c>
      <c r="C186" s="12">
        <v>3</v>
      </c>
      <c r="D186" s="12" t="s">
        <v>202</v>
      </c>
      <c r="E186" s="7"/>
      <c r="F186" s="5"/>
      <c r="G186" s="5"/>
    </row>
    <row r="187" spans="1:7">
      <c r="A187" s="11">
        <v>19</v>
      </c>
      <c r="B187" s="12" t="str">
        <f>المدخلات!$F$4</f>
        <v>4:00–5:30 م</v>
      </c>
      <c r="C187" s="12">
        <v>4</v>
      </c>
      <c r="D187" s="12" t="s">
        <v>98</v>
      </c>
      <c r="E187" s="7"/>
      <c r="F187" s="5"/>
      <c r="G187" s="5"/>
    </row>
    <row r="188" spans="1:7">
      <c r="A188" s="11">
        <v>19</v>
      </c>
      <c r="B188" s="12" t="str">
        <f>المدخلات!$F$5</f>
        <v>5:40–7:10 م</v>
      </c>
      <c r="C188" s="12">
        <v>1</v>
      </c>
      <c r="D188" s="12" t="s">
        <v>94</v>
      </c>
      <c r="E188" s="7"/>
      <c r="F188" s="5"/>
      <c r="G188" s="5"/>
    </row>
    <row r="189" spans="1:7">
      <c r="A189" s="11">
        <v>19</v>
      </c>
      <c r="B189" s="12" t="str">
        <f>المدخلات!$F$5</f>
        <v>5:40–7:10 م</v>
      </c>
      <c r="C189" s="12">
        <v>2</v>
      </c>
      <c r="D189" s="12" t="s">
        <v>84</v>
      </c>
      <c r="E189" s="7"/>
      <c r="F189" s="5"/>
      <c r="G189" s="5"/>
    </row>
    <row r="190" spans="1:7">
      <c r="A190" s="11">
        <v>19</v>
      </c>
      <c r="B190" s="12" t="str">
        <f>المدخلات!$F$5</f>
        <v>5:40–7:10 م</v>
      </c>
      <c r="C190" s="12">
        <v>3</v>
      </c>
      <c r="D190" s="12" t="s">
        <v>203</v>
      </c>
      <c r="E190" s="7"/>
      <c r="F190" s="5"/>
      <c r="G190" s="5"/>
    </row>
    <row r="191" spans="1:7">
      <c r="A191" s="11">
        <v>19</v>
      </c>
      <c r="B191" s="12" t="str">
        <f>المدخلات!$F$5</f>
        <v>5:40–7:10 م</v>
      </c>
      <c r="C191" s="12">
        <v>4</v>
      </c>
      <c r="D191" s="12" t="s">
        <v>157</v>
      </c>
      <c r="E191" s="7"/>
      <c r="F191" s="5"/>
      <c r="G191" s="5"/>
    </row>
    <row r="192" spans="1:7">
      <c r="A192" s="11">
        <v>19</v>
      </c>
      <c r="B192" s="12" t="str">
        <f>المدخلات!$F$6</f>
        <v>7:20–8:50 م</v>
      </c>
      <c r="C192" s="12">
        <v>1</v>
      </c>
      <c r="D192" s="12" t="s">
        <v>156</v>
      </c>
      <c r="E192" s="7"/>
      <c r="F192" s="5"/>
      <c r="G192" s="5"/>
    </row>
    <row r="193" spans="1:21">
      <c r="A193" s="11">
        <v>19</v>
      </c>
      <c r="B193" s="12" t="str">
        <f>المدخلات!$F$6</f>
        <v>7:20–8:50 م</v>
      </c>
      <c r="C193" s="12">
        <v>2</v>
      </c>
      <c r="D193" s="12" t="s">
        <v>30</v>
      </c>
      <c r="E193" s="7"/>
      <c r="F193" s="5"/>
      <c r="G193" s="5"/>
    </row>
    <row r="194" spans="1:21">
      <c r="A194" s="5"/>
      <c r="B194" s="5"/>
      <c r="C194" s="5"/>
      <c r="D194" s="5"/>
      <c r="E194" s="5"/>
      <c r="F194" s="5"/>
      <c r="G194" s="5"/>
    </row>
    <row r="195" spans="1:21">
      <c r="A195" s="5"/>
      <c r="B195" s="5"/>
      <c r="C195" s="5"/>
      <c r="D195" s="5"/>
      <c r="E195" s="5"/>
      <c r="F195" s="5"/>
      <c r="G195" s="5"/>
    </row>
    <row r="196" spans="1:21" ht="15.5">
      <c r="A196" s="52" t="s">
        <v>363</v>
      </c>
      <c r="B196" s="52"/>
      <c r="C196" s="52"/>
      <c r="D196" s="52"/>
      <c r="E196" s="52"/>
      <c r="F196" s="52"/>
      <c r="G196" s="52"/>
      <c r="H196" s="52"/>
      <c r="I196" s="52"/>
      <c r="J196" s="52"/>
      <c r="K196" s="52"/>
      <c r="L196" s="52"/>
      <c r="M196" s="52"/>
      <c r="N196" s="52"/>
      <c r="O196" s="52"/>
      <c r="P196" s="52"/>
      <c r="Q196" s="52"/>
      <c r="R196" s="52"/>
      <c r="S196" s="52"/>
      <c r="T196" s="52"/>
      <c r="U196" s="52"/>
    </row>
    <row r="197" spans="1:21">
      <c r="A197" s="9" t="s">
        <v>362</v>
      </c>
      <c r="B197" s="9">
        <v>1</v>
      </c>
      <c r="C197" s="9">
        <v>2</v>
      </c>
      <c r="D197" s="9">
        <v>3</v>
      </c>
      <c r="E197" s="9">
        <v>4</v>
      </c>
      <c r="F197" s="9">
        <v>5</v>
      </c>
      <c r="G197" s="9">
        <v>6</v>
      </c>
      <c r="H197" s="9">
        <v>7</v>
      </c>
      <c r="I197" s="9">
        <v>8</v>
      </c>
      <c r="J197" s="9">
        <v>9</v>
      </c>
      <c r="K197" s="9">
        <v>10</v>
      </c>
      <c r="L197" s="9">
        <v>11</v>
      </c>
      <c r="M197" s="9">
        <v>12</v>
      </c>
      <c r="N197" s="9">
        <v>13</v>
      </c>
      <c r="O197" s="9">
        <v>14</v>
      </c>
      <c r="P197" s="9">
        <v>15</v>
      </c>
      <c r="Q197" s="9">
        <v>16</v>
      </c>
      <c r="R197" s="9">
        <v>17</v>
      </c>
      <c r="S197" s="9">
        <v>18</v>
      </c>
      <c r="T197" s="9">
        <v>19</v>
      </c>
      <c r="U197" s="9">
        <v>20</v>
      </c>
    </row>
    <row r="198" spans="1:21">
      <c r="A198" s="9">
        <v>1</v>
      </c>
      <c r="B198" s="12" t="str">
        <f t="shared" ref="B198:K207" si="0">IF($A198=B$197,"",COUNTIF($D$4:$D$193,$A198&amp;" ضد "&amp;B$197)+COUNTIF($D$4:$D$193,B$197&amp;" ضد "&amp;$A198))</f>
        <v/>
      </c>
      <c r="C198" s="12">
        <f t="shared" si="0"/>
        <v>1</v>
      </c>
      <c r="D198" s="12">
        <f t="shared" si="0"/>
        <v>1</v>
      </c>
      <c r="E198" s="12">
        <f t="shared" si="0"/>
        <v>1</v>
      </c>
      <c r="F198" s="12">
        <f t="shared" si="0"/>
        <v>1</v>
      </c>
      <c r="G198" s="12">
        <f t="shared" si="0"/>
        <v>1</v>
      </c>
      <c r="H198" s="12">
        <f t="shared" si="0"/>
        <v>1</v>
      </c>
      <c r="I198" s="12">
        <f t="shared" si="0"/>
        <v>1</v>
      </c>
      <c r="J198" s="12">
        <f t="shared" si="0"/>
        <v>1</v>
      </c>
      <c r="K198" s="12">
        <f t="shared" si="0"/>
        <v>1</v>
      </c>
      <c r="L198" s="12">
        <f t="shared" ref="L198:U207" si="1">IF($A198=L$197,"",COUNTIF($D$4:$D$193,$A198&amp;" ضد "&amp;L$197)+COUNTIF($D$4:$D$193,L$197&amp;" ضد "&amp;$A198))</f>
        <v>1</v>
      </c>
      <c r="M198" s="12">
        <f t="shared" si="1"/>
        <v>1</v>
      </c>
      <c r="N198" s="12">
        <f t="shared" si="1"/>
        <v>1</v>
      </c>
      <c r="O198" s="12">
        <f t="shared" si="1"/>
        <v>1</v>
      </c>
      <c r="P198" s="12">
        <f t="shared" si="1"/>
        <v>1</v>
      </c>
      <c r="Q198" s="12">
        <f t="shared" si="1"/>
        <v>1</v>
      </c>
      <c r="R198" s="12">
        <f t="shared" si="1"/>
        <v>1</v>
      </c>
      <c r="S198" s="12">
        <f t="shared" si="1"/>
        <v>1</v>
      </c>
      <c r="T198" s="12">
        <f t="shared" si="1"/>
        <v>1</v>
      </c>
      <c r="U198" s="12">
        <f t="shared" si="1"/>
        <v>1</v>
      </c>
    </row>
    <row r="199" spans="1:21">
      <c r="A199" s="9">
        <v>2</v>
      </c>
      <c r="B199" s="12">
        <f t="shared" si="0"/>
        <v>1</v>
      </c>
      <c r="C199" s="12" t="str">
        <f t="shared" si="0"/>
        <v/>
      </c>
      <c r="D199" s="12">
        <f t="shared" si="0"/>
        <v>1</v>
      </c>
      <c r="E199" s="12">
        <f t="shared" si="0"/>
        <v>1</v>
      </c>
      <c r="F199" s="12">
        <f t="shared" si="0"/>
        <v>1</v>
      </c>
      <c r="G199" s="12">
        <f t="shared" si="0"/>
        <v>1</v>
      </c>
      <c r="H199" s="12">
        <f t="shared" si="0"/>
        <v>1</v>
      </c>
      <c r="I199" s="12">
        <f t="shared" si="0"/>
        <v>1</v>
      </c>
      <c r="J199" s="12">
        <f t="shared" si="0"/>
        <v>1</v>
      </c>
      <c r="K199" s="12">
        <f t="shared" si="0"/>
        <v>1</v>
      </c>
      <c r="L199" s="12">
        <f t="shared" si="1"/>
        <v>1</v>
      </c>
      <c r="M199" s="12">
        <f t="shared" si="1"/>
        <v>1</v>
      </c>
      <c r="N199" s="12">
        <f t="shared" si="1"/>
        <v>1</v>
      </c>
      <c r="O199" s="12">
        <f t="shared" si="1"/>
        <v>1</v>
      </c>
      <c r="P199" s="12">
        <f t="shared" si="1"/>
        <v>1</v>
      </c>
      <c r="Q199" s="12">
        <f t="shared" si="1"/>
        <v>1</v>
      </c>
      <c r="R199" s="12">
        <f t="shared" si="1"/>
        <v>1</v>
      </c>
      <c r="S199" s="12">
        <f t="shared" si="1"/>
        <v>1</v>
      </c>
      <c r="T199" s="12">
        <f t="shared" si="1"/>
        <v>1</v>
      </c>
      <c r="U199" s="12">
        <f t="shared" si="1"/>
        <v>1</v>
      </c>
    </row>
    <row r="200" spans="1:21">
      <c r="A200" s="9">
        <v>3</v>
      </c>
      <c r="B200" s="12">
        <f t="shared" si="0"/>
        <v>1</v>
      </c>
      <c r="C200" s="12">
        <f t="shared" si="0"/>
        <v>1</v>
      </c>
      <c r="D200" s="12" t="str">
        <f t="shared" si="0"/>
        <v/>
      </c>
      <c r="E200" s="12">
        <f t="shared" si="0"/>
        <v>1</v>
      </c>
      <c r="F200" s="12">
        <f t="shared" si="0"/>
        <v>1</v>
      </c>
      <c r="G200" s="12">
        <f t="shared" si="0"/>
        <v>1</v>
      </c>
      <c r="H200" s="12">
        <f t="shared" si="0"/>
        <v>1</v>
      </c>
      <c r="I200" s="12">
        <f t="shared" si="0"/>
        <v>1</v>
      </c>
      <c r="J200" s="12">
        <f t="shared" si="0"/>
        <v>1</v>
      </c>
      <c r="K200" s="12">
        <f t="shared" si="0"/>
        <v>1</v>
      </c>
      <c r="L200" s="12">
        <f t="shared" si="1"/>
        <v>1</v>
      </c>
      <c r="M200" s="12">
        <f t="shared" si="1"/>
        <v>1</v>
      </c>
      <c r="N200" s="12">
        <f t="shared" si="1"/>
        <v>1</v>
      </c>
      <c r="O200" s="12">
        <f t="shared" si="1"/>
        <v>1</v>
      </c>
      <c r="P200" s="12">
        <f t="shared" si="1"/>
        <v>1</v>
      </c>
      <c r="Q200" s="12">
        <f t="shared" si="1"/>
        <v>1</v>
      </c>
      <c r="R200" s="12">
        <f t="shared" si="1"/>
        <v>1</v>
      </c>
      <c r="S200" s="12">
        <f t="shared" si="1"/>
        <v>1</v>
      </c>
      <c r="T200" s="12">
        <f t="shared" si="1"/>
        <v>1</v>
      </c>
      <c r="U200" s="12">
        <f t="shared" si="1"/>
        <v>1</v>
      </c>
    </row>
    <row r="201" spans="1:21">
      <c r="A201" s="9">
        <v>4</v>
      </c>
      <c r="B201" s="12">
        <f t="shared" si="0"/>
        <v>1</v>
      </c>
      <c r="C201" s="12">
        <f t="shared" si="0"/>
        <v>1</v>
      </c>
      <c r="D201" s="12">
        <f t="shared" si="0"/>
        <v>1</v>
      </c>
      <c r="E201" s="12" t="str">
        <f t="shared" si="0"/>
        <v/>
      </c>
      <c r="F201" s="12">
        <f t="shared" si="0"/>
        <v>1</v>
      </c>
      <c r="G201" s="12">
        <f t="shared" si="0"/>
        <v>1</v>
      </c>
      <c r="H201" s="12">
        <f t="shared" si="0"/>
        <v>1</v>
      </c>
      <c r="I201" s="12">
        <f t="shared" si="0"/>
        <v>1</v>
      </c>
      <c r="J201" s="12">
        <f t="shared" si="0"/>
        <v>1</v>
      </c>
      <c r="K201" s="12">
        <f t="shared" si="0"/>
        <v>1</v>
      </c>
      <c r="L201" s="12">
        <f t="shared" si="1"/>
        <v>1</v>
      </c>
      <c r="M201" s="12">
        <f t="shared" si="1"/>
        <v>1</v>
      </c>
      <c r="N201" s="12">
        <f t="shared" si="1"/>
        <v>1</v>
      </c>
      <c r="O201" s="12">
        <f t="shared" si="1"/>
        <v>1</v>
      </c>
      <c r="P201" s="12">
        <f t="shared" si="1"/>
        <v>1</v>
      </c>
      <c r="Q201" s="12">
        <f t="shared" si="1"/>
        <v>1</v>
      </c>
      <c r="R201" s="12">
        <f t="shared" si="1"/>
        <v>1</v>
      </c>
      <c r="S201" s="12">
        <f t="shared" si="1"/>
        <v>1</v>
      </c>
      <c r="T201" s="12">
        <f t="shared" si="1"/>
        <v>1</v>
      </c>
      <c r="U201" s="12">
        <f t="shared" si="1"/>
        <v>1</v>
      </c>
    </row>
    <row r="202" spans="1:21">
      <c r="A202" s="9">
        <v>5</v>
      </c>
      <c r="B202" s="12">
        <f t="shared" si="0"/>
        <v>1</v>
      </c>
      <c r="C202" s="12">
        <f t="shared" si="0"/>
        <v>1</v>
      </c>
      <c r="D202" s="12">
        <f t="shared" si="0"/>
        <v>1</v>
      </c>
      <c r="E202" s="12">
        <f t="shared" si="0"/>
        <v>1</v>
      </c>
      <c r="F202" s="12" t="str">
        <f t="shared" si="0"/>
        <v/>
      </c>
      <c r="G202" s="12">
        <f t="shared" si="0"/>
        <v>1</v>
      </c>
      <c r="H202" s="12">
        <f t="shared" si="0"/>
        <v>1</v>
      </c>
      <c r="I202" s="12">
        <f t="shared" si="0"/>
        <v>1</v>
      </c>
      <c r="J202" s="12">
        <f t="shared" si="0"/>
        <v>1</v>
      </c>
      <c r="K202" s="12">
        <f t="shared" si="0"/>
        <v>1</v>
      </c>
      <c r="L202" s="12">
        <f t="shared" si="1"/>
        <v>1</v>
      </c>
      <c r="M202" s="12">
        <f t="shared" si="1"/>
        <v>1</v>
      </c>
      <c r="N202" s="12">
        <f t="shared" si="1"/>
        <v>1</v>
      </c>
      <c r="O202" s="12">
        <f t="shared" si="1"/>
        <v>1</v>
      </c>
      <c r="P202" s="12">
        <f t="shared" si="1"/>
        <v>1</v>
      </c>
      <c r="Q202" s="12">
        <f t="shared" si="1"/>
        <v>1</v>
      </c>
      <c r="R202" s="12">
        <f t="shared" si="1"/>
        <v>1</v>
      </c>
      <c r="S202" s="12">
        <f t="shared" si="1"/>
        <v>1</v>
      </c>
      <c r="T202" s="12">
        <f t="shared" si="1"/>
        <v>1</v>
      </c>
      <c r="U202" s="12">
        <f t="shared" si="1"/>
        <v>1</v>
      </c>
    </row>
    <row r="203" spans="1:21">
      <c r="A203" s="9">
        <v>6</v>
      </c>
      <c r="B203" s="12">
        <f t="shared" si="0"/>
        <v>1</v>
      </c>
      <c r="C203" s="12">
        <f t="shared" si="0"/>
        <v>1</v>
      </c>
      <c r="D203" s="12">
        <f t="shared" si="0"/>
        <v>1</v>
      </c>
      <c r="E203" s="12">
        <f t="shared" si="0"/>
        <v>1</v>
      </c>
      <c r="F203" s="12">
        <f t="shared" si="0"/>
        <v>1</v>
      </c>
      <c r="G203" s="12" t="str">
        <f t="shared" si="0"/>
        <v/>
      </c>
      <c r="H203" s="12">
        <f t="shared" si="0"/>
        <v>1</v>
      </c>
      <c r="I203" s="12">
        <f t="shared" si="0"/>
        <v>1</v>
      </c>
      <c r="J203" s="12">
        <f t="shared" si="0"/>
        <v>1</v>
      </c>
      <c r="K203" s="12">
        <f t="shared" si="0"/>
        <v>1</v>
      </c>
      <c r="L203" s="12">
        <f t="shared" si="1"/>
        <v>1</v>
      </c>
      <c r="M203" s="12">
        <f t="shared" si="1"/>
        <v>1</v>
      </c>
      <c r="N203" s="12">
        <f t="shared" si="1"/>
        <v>1</v>
      </c>
      <c r="O203" s="12">
        <f t="shared" si="1"/>
        <v>1</v>
      </c>
      <c r="P203" s="12">
        <f t="shared" si="1"/>
        <v>1</v>
      </c>
      <c r="Q203" s="12">
        <f t="shared" si="1"/>
        <v>1</v>
      </c>
      <c r="R203" s="12">
        <f t="shared" si="1"/>
        <v>1</v>
      </c>
      <c r="S203" s="12">
        <f t="shared" si="1"/>
        <v>1</v>
      </c>
      <c r="T203" s="12">
        <f t="shared" si="1"/>
        <v>1</v>
      </c>
      <c r="U203" s="12">
        <f t="shared" si="1"/>
        <v>1</v>
      </c>
    </row>
    <row r="204" spans="1:21">
      <c r="A204" s="9">
        <v>7</v>
      </c>
      <c r="B204" s="12">
        <f t="shared" si="0"/>
        <v>1</v>
      </c>
      <c r="C204" s="12">
        <f t="shared" si="0"/>
        <v>1</v>
      </c>
      <c r="D204" s="12">
        <f t="shared" si="0"/>
        <v>1</v>
      </c>
      <c r="E204" s="12">
        <f t="shared" si="0"/>
        <v>1</v>
      </c>
      <c r="F204" s="12">
        <f t="shared" si="0"/>
        <v>1</v>
      </c>
      <c r="G204" s="12">
        <f t="shared" si="0"/>
        <v>1</v>
      </c>
      <c r="H204" s="12" t="str">
        <f t="shared" si="0"/>
        <v/>
      </c>
      <c r="I204" s="12">
        <f t="shared" si="0"/>
        <v>1</v>
      </c>
      <c r="J204" s="12">
        <f t="shared" si="0"/>
        <v>1</v>
      </c>
      <c r="K204" s="12">
        <f t="shared" si="0"/>
        <v>1</v>
      </c>
      <c r="L204" s="12">
        <f t="shared" si="1"/>
        <v>1</v>
      </c>
      <c r="M204" s="12">
        <f t="shared" si="1"/>
        <v>1</v>
      </c>
      <c r="N204" s="12">
        <f t="shared" si="1"/>
        <v>1</v>
      </c>
      <c r="O204" s="12">
        <f t="shared" si="1"/>
        <v>1</v>
      </c>
      <c r="P204" s="12">
        <f t="shared" si="1"/>
        <v>1</v>
      </c>
      <c r="Q204" s="12">
        <f t="shared" si="1"/>
        <v>1</v>
      </c>
      <c r="R204" s="12">
        <f t="shared" si="1"/>
        <v>1</v>
      </c>
      <c r="S204" s="12">
        <f t="shared" si="1"/>
        <v>1</v>
      </c>
      <c r="T204" s="12">
        <f t="shared" si="1"/>
        <v>1</v>
      </c>
      <c r="U204" s="12">
        <f t="shared" si="1"/>
        <v>1</v>
      </c>
    </row>
    <row r="205" spans="1:21">
      <c r="A205" s="9">
        <v>8</v>
      </c>
      <c r="B205" s="12">
        <f t="shared" si="0"/>
        <v>1</v>
      </c>
      <c r="C205" s="12">
        <f t="shared" si="0"/>
        <v>1</v>
      </c>
      <c r="D205" s="12">
        <f t="shared" si="0"/>
        <v>1</v>
      </c>
      <c r="E205" s="12">
        <f t="shared" si="0"/>
        <v>1</v>
      </c>
      <c r="F205" s="12">
        <f t="shared" si="0"/>
        <v>1</v>
      </c>
      <c r="G205" s="12">
        <f t="shared" si="0"/>
        <v>1</v>
      </c>
      <c r="H205" s="12">
        <f t="shared" si="0"/>
        <v>1</v>
      </c>
      <c r="I205" s="12" t="str">
        <f t="shared" si="0"/>
        <v/>
      </c>
      <c r="J205" s="12">
        <f t="shared" si="0"/>
        <v>1</v>
      </c>
      <c r="K205" s="12">
        <f t="shared" si="0"/>
        <v>1</v>
      </c>
      <c r="L205" s="12">
        <f t="shared" si="1"/>
        <v>1</v>
      </c>
      <c r="M205" s="12">
        <f t="shared" si="1"/>
        <v>1</v>
      </c>
      <c r="N205" s="12">
        <f t="shared" si="1"/>
        <v>1</v>
      </c>
      <c r="O205" s="12">
        <f t="shared" si="1"/>
        <v>1</v>
      </c>
      <c r="P205" s="12">
        <f t="shared" si="1"/>
        <v>1</v>
      </c>
      <c r="Q205" s="12">
        <f t="shared" si="1"/>
        <v>1</v>
      </c>
      <c r="R205" s="12">
        <f t="shared" si="1"/>
        <v>1</v>
      </c>
      <c r="S205" s="12">
        <f t="shared" si="1"/>
        <v>1</v>
      </c>
      <c r="T205" s="12">
        <f t="shared" si="1"/>
        <v>1</v>
      </c>
      <c r="U205" s="12">
        <f t="shared" si="1"/>
        <v>1</v>
      </c>
    </row>
    <row r="206" spans="1:21">
      <c r="A206" s="9">
        <v>9</v>
      </c>
      <c r="B206" s="12">
        <f t="shared" si="0"/>
        <v>1</v>
      </c>
      <c r="C206" s="12">
        <f t="shared" si="0"/>
        <v>1</v>
      </c>
      <c r="D206" s="12">
        <f t="shared" si="0"/>
        <v>1</v>
      </c>
      <c r="E206" s="12">
        <f t="shared" si="0"/>
        <v>1</v>
      </c>
      <c r="F206" s="12">
        <f t="shared" si="0"/>
        <v>1</v>
      </c>
      <c r="G206" s="12">
        <f t="shared" si="0"/>
        <v>1</v>
      </c>
      <c r="H206" s="12">
        <f t="shared" si="0"/>
        <v>1</v>
      </c>
      <c r="I206" s="12">
        <f t="shared" si="0"/>
        <v>1</v>
      </c>
      <c r="J206" s="12" t="str">
        <f t="shared" si="0"/>
        <v/>
      </c>
      <c r="K206" s="12">
        <f t="shared" si="0"/>
        <v>1</v>
      </c>
      <c r="L206" s="12">
        <f t="shared" si="1"/>
        <v>1</v>
      </c>
      <c r="M206" s="12">
        <f t="shared" si="1"/>
        <v>1</v>
      </c>
      <c r="N206" s="12">
        <f t="shared" si="1"/>
        <v>1</v>
      </c>
      <c r="O206" s="12">
        <f t="shared" si="1"/>
        <v>1</v>
      </c>
      <c r="P206" s="12">
        <f t="shared" si="1"/>
        <v>1</v>
      </c>
      <c r="Q206" s="12">
        <f t="shared" si="1"/>
        <v>1</v>
      </c>
      <c r="R206" s="12">
        <f t="shared" si="1"/>
        <v>1</v>
      </c>
      <c r="S206" s="12">
        <f t="shared" si="1"/>
        <v>1</v>
      </c>
      <c r="T206" s="12">
        <f t="shared" si="1"/>
        <v>1</v>
      </c>
      <c r="U206" s="12">
        <f t="shared" si="1"/>
        <v>1</v>
      </c>
    </row>
    <row r="207" spans="1:21">
      <c r="A207" s="9">
        <v>10</v>
      </c>
      <c r="B207" s="12">
        <f t="shared" si="0"/>
        <v>1</v>
      </c>
      <c r="C207" s="12">
        <f t="shared" si="0"/>
        <v>1</v>
      </c>
      <c r="D207" s="12">
        <f t="shared" si="0"/>
        <v>1</v>
      </c>
      <c r="E207" s="12">
        <f t="shared" si="0"/>
        <v>1</v>
      </c>
      <c r="F207" s="12">
        <f t="shared" si="0"/>
        <v>1</v>
      </c>
      <c r="G207" s="12">
        <f t="shared" si="0"/>
        <v>1</v>
      </c>
      <c r="H207" s="12">
        <f t="shared" si="0"/>
        <v>1</v>
      </c>
      <c r="I207" s="12">
        <f t="shared" si="0"/>
        <v>1</v>
      </c>
      <c r="J207" s="12">
        <f t="shared" si="0"/>
        <v>1</v>
      </c>
      <c r="K207" s="12" t="str">
        <f t="shared" si="0"/>
        <v/>
      </c>
      <c r="L207" s="12">
        <f t="shared" si="1"/>
        <v>1</v>
      </c>
      <c r="M207" s="12">
        <f t="shared" si="1"/>
        <v>1</v>
      </c>
      <c r="N207" s="12">
        <f t="shared" si="1"/>
        <v>1</v>
      </c>
      <c r="O207" s="12">
        <f t="shared" si="1"/>
        <v>1</v>
      </c>
      <c r="P207" s="12">
        <f t="shared" si="1"/>
        <v>1</v>
      </c>
      <c r="Q207" s="12">
        <f t="shared" si="1"/>
        <v>1</v>
      </c>
      <c r="R207" s="12">
        <f t="shared" si="1"/>
        <v>1</v>
      </c>
      <c r="S207" s="12">
        <f t="shared" si="1"/>
        <v>1</v>
      </c>
      <c r="T207" s="12">
        <f t="shared" si="1"/>
        <v>1</v>
      </c>
      <c r="U207" s="12">
        <f t="shared" si="1"/>
        <v>1</v>
      </c>
    </row>
    <row r="208" spans="1:21">
      <c r="A208" s="9">
        <v>11</v>
      </c>
      <c r="B208" s="12">
        <f t="shared" ref="B208:K217" si="2">IF($A208=B$197,"",COUNTIF($D$4:$D$193,$A208&amp;" ضد "&amp;B$197)+COUNTIF($D$4:$D$193,B$197&amp;" ضد "&amp;$A208))</f>
        <v>1</v>
      </c>
      <c r="C208" s="12">
        <f t="shared" si="2"/>
        <v>1</v>
      </c>
      <c r="D208" s="12">
        <f t="shared" si="2"/>
        <v>1</v>
      </c>
      <c r="E208" s="12">
        <f t="shared" si="2"/>
        <v>1</v>
      </c>
      <c r="F208" s="12">
        <f t="shared" si="2"/>
        <v>1</v>
      </c>
      <c r="G208" s="12">
        <f t="shared" si="2"/>
        <v>1</v>
      </c>
      <c r="H208" s="12">
        <f t="shared" si="2"/>
        <v>1</v>
      </c>
      <c r="I208" s="12">
        <f t="shared" si="2"/>
        <v>1</v>
      </c>
      <c r="J208" s="12">
        <f t="shared" si="2"/>
        <v>1</v>
      </c>
      <c r="K208" s="12">
        <f t="shared" si="2"/>
        <v>1</v>
      </c>
      <c r="L208" s="12" t="str">
        <f t="shared" ref="L208:U217" si="3">IF($A208=L$197,"",COUNTIF($D$4:$D$193,$A208&amp;" ضد "&amp;L$197)+COUNTIF($D$4:$D$193,L$197&amp;" ضد "&amp;$A208))</f>
        <v/>
      </c>
      <c r="M208" s="12">
        <f t="shared" si="3"/>
        <v>1</v>
      </c>
      <c r="N208" s="12">
        <f t="shared" si="3"/>
        <v>1</v>
      </c>
      <c r="O208" s="12">
        <f t="shared" si="3"/>
        <v>1</v>
      </c>
      <c r="P208" s="12">
        <f t="shared" si="3"/>
        <v>1</v>
      </c>
      <c r="Q208" s="12">
        <f t="shared" si="3"/>
        <v>1</v>
      </c>
      <c r="R208" s="12">
        <f t="shared" si="3"/>
        <v>1</v>
      </c>
      <c r="S208" s="12">
        <f t="shared" si="3"/>
        <v>1</v>
      </c>
      <c r="T208" s="12">
        <f t="shared" si="3"/>
        <v>1</v>
      </c>
      <c r="U208" s="12">
        <f t="shared" si="3"/>
        <v>1</v>
      </c>
    </row>
    <row r="209" spans="1:21">
      <c r="A209" s="9">
        <v>12</v>
      </c>
      <c r="B209" s="12">
        <f t="shared" si="2"/>
        <v>1</v>
      </c>
      <c r="C209" s="12">
        <f t="shared" si="2"/>
        <v>1</v>
      </c>
      <c r="D209" s="12">
        <f t="shared" si="2"/>
        <v>1</v>
      </c>
      <c r="E209" s="12">
        <f t="shared" si="2"/>
        <v>1</v>
      </c>
      <c r="F209" s="12">
        <f t="shared" si="2"/>
        <v>1</v>
      </c>
      <c r="G209" s="12">
        <f t="shared" si="2"/>
        <v>1</v>
      </c>
      <c r="H209" s="12">
        <f t="shared" si="2"/>
        <v>1</v>
      </c>
      <c r="I209" s="12">
        <f t="shared" si="2"/>
        <v>1</v>
      </c>
      <c r="J209" s="12">
        <f t="shared" si="2"/>
        <v>1</v>
      </c>
      <c r="K209" s="12">
        <f t="shared" si="2"/>
        <v>1</v>
      </c>
      <c r="L209" s="12">
        <f t="shared" si="3"/>
        <v>1</v>
      </c>
      <c r="M209" s="12" t="str">
        <f t="shared" si="3"/>
        <v/>
      </c>
      <c r="N209" s="12">
        <f t="shared" si="3"/>
        <v>1</v>
      </c>
      <c r="O209" s="12">
        <f t="shared" si="3"/>
        <v>1</v>
      </c>
      <c r="P209" s="12">
        <f t="shared" si="3"/>
        <v>1</v>
      </c>
      <c r="Q209" s="12">
        <f t="shared" si="3"/>
        <v>1</v>
      </c>
      <c r="R209" s="12">
        <f t="shared" si="3"/>
        <v>1</v>
      </c>
      <c r="S209" s="12">
        <f t="shared" si="3"/>
        <v>1</v>
      </c>
      <c r="T209" s="12">
        <f t="shared" si="3"/>
        <v>1</v>
      </c>
      <c r="U209" s="12">
        <f t="shared" si="3"/>
        <v>1</v>
      </c>
    </row>
    <row r="210" spans="1:21">
      <c r="A210" s="9">
        <v>13</v>
      </c>
      <c r="B210" s="12">
        <f t="shared" si="2"/>
        <v>1</v>
      </c>
      <c r="C210" s="12">
        <f t="shared" si="2"/>
        <v>1</v>
      </c>
      <c r="D210" s="12">
        <f t="shared" si="2"/>
        <v>1</v>
      </c>
      <c r="E210" s="12">
        <f t="shared" si="2"/>
        <v>1</v>
      </c>
      <c r="F210" s="12">
        <f t="shared" si="2"/>
        <v>1</v>
      </c>
      <c r="G210" s="12">
        <f t="shared" si="2"/>
        <v>1</v>
      </c>
      <c r="H210" s="12">
        <f t="shared" si="2"/>
        <v>1</v>
      </c>
      <c r="I210" s="12">
        <f t="shared" si="2"/>
        <v>1</v>
      </c>
      <c r="J210" s="12">
        <f t="shared" si="2"/>
        <v>1</v>
      </c>
      <c r="K210" s="12">
        <f t="shared" si="2"/>
        <v>1</v>
      </c>
      <c r="L210" s="12">
        <f t="shared" si="3"/>
        <v>1</v>
      </c>
      <c r="M210" s="12">
        <f t="shared" si="3"/>
        <v>1</v>
      </c>
      <c r="N210" s="12" t="str">
        <f t="shared" si="3"/>
        <v/>
      </c>
      <c r="O210" s="12">
        <f t="shared" si="3"/>
        <v>1</v>
      </c>
      <c r="P210" s="12">
        <f t="shared" si="3"/>
        <v>1</v>
      </c>
      <c r="Q210" s="12">
        <f t="shared" si="3"/>
        <v>1</v>
      </c>
      <c r="R210" s="12">
        <f t="shared" si="3"/>
        <v>1</v>
      </c>
      <c r="S210" s="12">
        <f t="shared" si="3"/>
        <v>1</v>
      </c>
      <c r="T210" s="12">
        <f t="shared" si="3"/>
        <v>1</v>
      </c>
      <c r="U210" s="12">
        <f t="shared" si="3"/>
        <v>1</v>
      </c>
    </row>
    <row r="211" spans="1:21">
      <c r="A211" s="9">
        <v>14</v>
      </c>
      <c r="B211" s="12">
        <f t="shared" si="2"/>
        <v>1</v>
      </c>
      <c r="C211" s="12">
        <f t="shared" si="2"/>
        <v>1</v>
      </c>
      <c r="D211" s="12">
        <f t="shared" si="2"/>
        <v>1</v>
      </c>
      <c r="E211" s="12">
        <f t="shared" si="2"/>
        <v>1</v>
      </c>
      <c r="F211" s="12">
        <f t="shared" si="2"/>
        <v>1</v>
      </c>
      <c r="G211" s="12">
        <f t="shared" si="2"/>
        <v>1</v>
      </c>
      <c r="H211" s="12">
        <f t="shared" si="2"/>
        <v>1</v>
      </c>
      <c r="I211" s="12">
        <f t="shared" si="2"/>
        <v>1</v>
      </c>
      <c r="J211" s="12">
        <f t="shared" si="2"/>
        <v>1</v>
      </c>
      <c r="K211" s="12">
        <f t="shared" si="2"/>
        <v>1</v>
      </c>
      <c r="L211" s="12">
        <f t="shared" si="3"/>
        <v>1</v>
      </c>
      <c r="M211" s="12">
        <f t="shared" si="3"/>
        <v>1</v>
      </c>
      <c r="N211" s="12">
        <f t="shared" si="3"/>
        <v>1</v>
      </c>
      <c r="O211" s="12" t="str">
        <f t="shared" si="3"/>
        <v/>
      </c>
      <c r="P211" s="12">
        <f t="shared" si="3"/>
        <v>1</v>
      </c>
      <c r="Q211" s="12">
        <f t="shared" si="3"/>
        <v>1</v>
      </c>
      <c r="R211" s="12">
        <f t="shared" si="3"/>
        <v>1</v>
      </c>
      <c r="S211" s="12">
        <f t="shared" si="3"/>
        <v>1</v>
      </c>
      <c r="T211" s="12">
        <f t="shared" si="3"/>
        <v>1</v>
      </c>
      <c r="U211" s="12">
        <f t="shared" si="3"/>
        <v>1</v>
      </c>
    </row>
    <row r="212" spans="1:21">
      <c r="A212" s="9">
        <v>15</v>
      </c>
      <c r="B212" s="12">
        <f t="shared" si="2"/>
        <v>1</v>
      </c>
      <c r="C212" s="12">
        <f t="shared" si="2"/>
        <v>1</v>
      </c>
      <c r="D212" s="12">
        <f t="shared" si="2"/>
        <v>1</v>
      </c>
      <c r="E212" s="12">
        <f t="shared" si="2"/>
        <v>1</v>
      </c>
      <c r="F212" s="12">
        <f t="shared" si="2"/>
        <v>1</v>
      </c>
      <c r="G212" s="12">
        <f t="shared" si="2"/>
        <v>1</v>
      </c>
      <c r="H212" s="12">
        <f t="shared" si="2"/>
        <v>1</v>
      </c>
      <c r="I212" s="12">
        <f t="shared" si="2"/>
        <v>1</v>
      </c>
      <c r="J212" s="12">
        <f t="shared" si="2"/>
        <v>1</v>
      </c>
      <c r="K212" s="12">
        <f t="shared" si="2"/>
        <v>1</v>
      </c>
      <c r="L212" s="12">
        <f t="shared" si="3"/>
        <v>1</v>
      </c>
      <c r="M212" s="12">
        <f t="shared" si="3"/>
        <v>1</v>
      </c>
      <c r="N212" s="12">
        <f t="shared" si="3"/>
        <v>1</v>
      </c>
      <c r="O212" s="12">
        <f t="shared" si="3"/>
        <v>1</v>
      </c>
      <c r="P212" s="12" t="str">
        <f t="shared" si="3"/>
        <v/>
      </c>
      <c r="Q212" s="12">
        <f t="shared" si="3"/>
        <v>1</v>
      </c>
      <c r="R212" s="12">
        <f t="shared" si="3"/>
        <v>1</v>
      </c>
      <c r="S212" s="12">
        <f t="shared" si="3"/>
        <v>1</v>
      </c>
      <c r="T212" s="12">
        <f t="shared" si="3"/>
        <v>1</v>
      </c>
      <c r="U212" s="12">
        <f t="shared" si="3"/>
        <v>1</v>
      </c>
    </row>
    <row r="213" spans="1:21">
      <c r="A213" s="9">
        <v>16</v>
      </c>
      <c r="B213" s="12">
        <f t="shared" si="2"/>
        <v>1</v>
      </c>
      <c r="C213" s="12">
        <f t="shared" si="2"/>
        <v>1</v>
      </c>
      <c r="D213" s="12">
        <f t="shared" si="2"/>
        <v>1</v>
      </c>
      <c r="E213" s="12">
        <f t="shared" si="2"/>
        <v>1</v>
      </c>
      <c r="F213" s="12">
        <f t="shared" si="2"/>
        <v>1</v>
      </c>
      <c r="G213" s="12">
        <f t="shared" si="2"/>
        <v>1</v>
      </c>
      <c r="H213" s="12">
        <f t="shared" si="2"/>
        <v>1</v>
      </c>
      <c r="I213" s="12">
        <f t="shared" si="2"/>
        <v>1</v>
      </c>
      <c r="J213" s="12">
        <f t="shared" si="2"/>
        <v>1</v>
      </c>
      <c r="K213" s="12">
        <f t="shared" si="2"/>
        <v>1</v>
      </c>
      <c r="L213" s="12">
        <f t="shared" si="3"/>
        <v>1</v>
      </c>
      <c r="M213" s="12">
        <f t="shared" si="3"/>
        <v>1</v>
      </c>
      <c r="N213" s="12">
        <f t="shared" si="3"/>
        <v>1</v>
      </c>
      <c r="O213" s="12">
        <f t="shared" si="3"/>
        <v>1</v>
      </c>
      <c r="P213" s="12">
        <f t="shared" si="3"/>
        <v>1</v>
      </c>
      <c r="Q213" s="12" t="str">
        <f t="shared" si="3"/>
        <v/>
      </c>
      <c r="R213" s="12">
        <f t="shared" si="3"/>
        <v>1</v>
      </c>
      <c r="S213" s="12">
        <f t="shared" si="3"/>
        <v>1</v>
      </c>
      <c r="T213" s="12">
        <f t="shared" si="3"/>
        <v>1</v>
      </c>
      <c r="U213" s="12">
        <f t="shared" si="3"/>
        <v>1</v>
      </c>
    </row>
    <row r="214" spans="1:21">
      <c r="A214" s="9">
        <v>17</v>
      </c>
      <c r="B214" s="12">
        <f t="shared" si="2"/>
        <v>1</v>
      </c>
      <c r="C214" s="12">
        <f t="shared" si="2"/>
        <v>1</v>
      </c>
      <c r="D214" s="12">
        <f t="shared" si="2"/>
        <v>1</v>
      </c>
      <c r="E214" s="12">
        <f t="shared" si="2"/>
        <v>1</v>
      </c>
      <c r="F214" s="12">
        <f t="shared" si="2"/>
        <v>1</v>
      </c>
      <c r="G214" s="12">
        <f t="shared" si="2"/>
        <v>1</v>
      </c>
      <c r="H214" s="12">
        <f t="shared" si="2"/>
        <v>1</v>
      </c>
      <c r="I214" s="12">
        <f t="shared" si="2"/>
        <v>1</v>
      </c>
      <c r="J214" s="12">
        <f t="shared" si="2"/>
        <v>1</v>
      </c>
      <c r="K214" s="12">
        <f t="shared" si="2"/>
        <v>1</v>
      </c>
      <c r="L214" s="12">
        <f t="shared" si="3"/>
        <v>1</v>
      </c>
      <c r="M214" s="12">
        <f t="shared" si="3"/>
        <v>1</v>
      </c>
      <c r="N214" s="12">
        <f t="shared" si="3"/>
        <v>1</v>
      </c>
      <c r="O214" s="12">
        <f t="shared" si="3"/>
        <v>1</v>
      </c>
      <c r="P214" s="12">
        <f t="shared" si="3"/>
        <v>1</v>
      </c>
      <c r="Q214" s="12">
        <f t="shared" si="3"/>
        <v>1</v>
      </c>
      <c r="R214" s="12" t="str">
        <f t="shared" si="3"/>
        <v/>
      </c>
      <c r="S214" s="12">
        <f t="shared" si="3"/>
        <v>1</v>
      </c>
      <c r="T214" s="12">
        <f t="shared" si="3"/>
        <v>1</v>
      </c>
      <c r="U214" s="12">
        <f t="shared" si="3"/>
        <v>1</v>
      </c>
    </row>
    <row r="215" spans="1:21">
      <c r="A215" s="9">
        <v>18</v>
      </c>
      <c r="B215" s="12">
        <f t="shared" si="2"/>
        <v>1</v>
      </c>
      <c r="C215" s="12">
        <f t="shared" si="2"/>
        <v>1</v>
      </c>
      <c r="D215" s="12">
        <f t="shared" si="2"/>
        <v>1</v>
      </c>
      <c r="E215" s="12">
        <f t="shared" si="2"/>
        <v>1</v>
      </c>
      <c r="F215" s="12">
        <f t="shared" si="2"/>
        <v>1</v>
      </c>
      <c r="G215" s="12">
        <f t="shared" si="2"/>
        <v>1</v>
      </c>
      <c r="H215" s="12">
        <f t="shared" si="2"/>
        <v>1</v>
      </c>
      <c r="I215" s="12">
        <f t="shared" si="2"/>
        <v>1</v>
      </c>
      <c r="J215" s="12">
        <f t="shared" si="2"/>
        <v>1</v>
      </c>
      <c r="K215" s="12">
        <f t="shared" si="2"/>
        <v>1</v>
      </c>
      <c r="L215" s="12">
        <f t="shared" si="3"/>
        <v>1</v>
      </c>
      <c r="M215" s="12">
        <f t="shared" si="3"/>
        <v>1</v>
      </c>
      <c r="N215" s="12">
        <f t="shared" si="3"/>
        <v>1</v>
      </c>
      <c r="O215" s="12">
        <f t="shared" si="3"/>
        <v>1</v>
      </c>
      <c r="P215" s="12">
        <f t="shared" si="3"/>
        <v>1</v>
      </c>
      <c r="Q215" s="12">
        <f t="shared" si="3"/>
        <v>1</v>
      </c>
      <c r="R215" s="12">
        <f t="shared" si="3"/>
        <v>1</v>
      </c>
      <c r="S215" s="12" t="str">
        <f t="shared" si="3"/>
        <v/>
      </c>
      <c r="T215" s="12">
        <f t="shared" si="3"/>
        <v>1</v>
      </c>
      <c r="U215" s="12">
        <f t="shared" si="3"/>
        <v>1</v>
      </c>
    </row>
    <row r="216" spans="1:21">
      <c r="A216" s="9">
        <v>19</v>
      </c>
      <c r="B216" s="12">
        <f t="shared" si="2"/>
        <v>1</v>
      </c>
      <c r="C216" s="12">
        <f t="shared" si="2"/>
        <v>1</v>
      </c>
      <c r="D216" s="12">
        <f t="shared" si="2"/>
        <v>1</v>
      </c>
      <c r="E216" s="12">
        <f t="shared" si="2"/>
        <v>1</v>
      </c>
      <c r="F216" s="12">
        <f t="shared" si="2"/>
        <v>1</v>
      </c>
      <c r="G216" s="12">
        <f t="shared" si="2"/>
        <v>1</v>
      </c>
      <c r="H216" s="12">
        <f t="shared" si="2"/>
        <v>1</v>
      </c>
      <c r="I216" s="12">
        <f t="shared" si="2"/>
        <v>1</v>
      </c>
      <c r="J216" s="12">
        <f t="shared" si="2"/>
        <v>1</v>
      </c>
      <c r="K216" s="12">
        <f t="shared" si="2"/>
        <v>1</v>
      </c>
      <c r="L216" s="12">
        <f t="shared" si="3"/>
        <v>1</v>
      </c>
      <c r="M216" s="12">
        <f t="shared" si="3"/>
        <v>1</v>
      </c>
      <c r="N216" s="12">
        <f t="shared" si="3"/>
        <v>1</v>
      </c>
      <c r="O216" s="12">
        <f t="shared" si="3"/>
        <v>1</v>
      </c>
      <c r="P216" s="12">
        <f t="shared" si="3"/>
        <v>1</v>
      </c>
      <c r="Q216" s="12">
        <f t="shared" si="3"/>
        <v>1</v>
      </c>
      <c r="R216" s="12">
        <f t="shared" si="3"/>
        <v>1</v>
      </c>
      <c r="S216" s="12">
        <f t="shared" si="3"/>
        <v>1</v>
      </c>
      <c r="T216" s="12" t="str">
        <f t="shared" si="3"/>
        <v/>
      </c>
      <c r="U216" s="12">
        <f t="shared" si="3"/>
        <v>1</v>
      </c>
    </row>
    <row r="217" spans="1:21">
      <c r="A217" s="9">
        <v>20</v>
      </c>
      <c r="B217" s="12">
        <f t="shared" si="2"/>
        <v>1</v>
      </c>
      <c r="C217" s="12">
        <f t="shared" si="2"/>
        <v>1</v>
      </c>
      <c r="D217" s="12">
        <f t="shared" si="2"/>
        <v>1</v>
      </c>
      <c r="E217" s="12">
        <f t="shared" si="2"/>
        <v>1</v>
      </c>
      <c r="F217" s="12">
        <f t="shared" si="2"/>
        <v>1</v>
      </c>
      <c r="G217" s="12">
        <f t="shared" si="2"/>
        <v>1</v>
      </c>
      <c r="H217" s="12">
        <f t="shared" si="2"/>
        <v>1</v>
      </c>
      <c r="I217" s="12">
        <f t="shared" si="2"/>
        <v>1</v>
      </c>
      <c r="J217" s="12">
        <f t="shared" si="2"/>
        <v>1</v>
      </c>
      <c r="K217" s="12">
        <f t="shared" si="2"/>
        <v>1</v>
      </c>
      <c r="L217" s="12">
        <f t="shared" si="3"/>
        <v>1</v>
      </c>
      <c r="M217" s="12">
        <f t="shared" si="3"/>
        <v>1</v>
      </c>
      <c r="N217" s="12">
        <f t="shared" si="3"/>
        <v>1</v>
      </c>
      <c r="O217" s="12">
        <f t="shared" si="3"/>
        <v>1</v>
      </c>
      <c r="P217" s="12">
        <f t="shared" si="3"/>
        <v>1</v>
      </c>
      <c r="Q217" s="12">
        <f t="shared" si="3"/>
        <v>1</v>
      </c>
      <c r="R217" s="12">
        <f t="shared" si="3"/>
        <v>1</v>
      </c>
      <c r="S217" s="12">
        <f t="shared" si="3"/>
        <v>1</v>
      </c>
      <c r="T217" s="12">
        <f t="shared" si="3"/>
        <v>1</v>
      </c>
      <c r="U217" s="12" t="str">
        <f t="shared" si="3"/>
        <v/>
      </c>
    </row>
    <row r="218" spans="1:21">
      <c r="A218" s="14" t="s">
        <v>361</v>
      </c>
      <c r="B218" s="14">
        <f>_xlfn.MINIFS(B198:U217,B198:U217,"&gt;0")</f>
        <v>1</v>
      </c>
      <c r="C218" s="5"/>
      <c r="D218" s="5"/>
      <c r="E218" s="5"/>
      <c r="F218" s="5"/>
      <c r="G218" s="5"/>
    </row>
    <row r="219" spans="1:21">
      <c r="A219" s="14" t="s">
        <v>360</v>
      </c>
      <c r="B219" s="14">
        <f>MAX(B198:U217)</f>
        <v>1</v>
      </c>
      <c r="C219" s="5"/>
      <c r="D219" s="5"/>
      <c r="E219" s="5"/>
      <c r="F219" s="5"/>
      <c r="G219" s="5"/>
    </row>
    <row r="220" spans="1:21">
      <c r="A220" s="5"/>
      <c r="B220" s="5"/>
      <c r="C220" s="5"/>
      <c r="D220" s="5"/>
      <c r="E220" s="5"/>
      <c r="F220" s="5"/>
      <c r="G220" s="5"/>
    </row>
    <row r="221" spans="1:21">
      <c r="A221" s="5"/>
      <c r="B221" s="5"/>
      <c r="C221" s="5"/>
      <c r="D221" s="5"/>
      <c r="E221" s="5"/>
      <c r="F221" s="5"/>
      <c r="G221" s="5"/>
    </row>
    <row r="222" spans="1:21">
      <c r="A222" s="5"/>
      <c r="B222" s="5"/>
      <c r="C222" s="5"/>
      <c r="D222" s="5"/>
      <c r="E222" s="5"/>
      <c r="F222" s="5"/>
      <c r="G222" s="5"/>
    </row>
    <row r="223" spans="1:21">
      <c r="A223" s="5"/>
      <c r="B223" s="5"/>
      <c r="C223" s="5"/>
      <c r="D223" s="5"/>
      <c r="E223" s="5"/>
      <c r="F223" s="5"/>
      <c r="G223" s="5"/>
    </row>
    <row r="224" spans="1:21">
      <c r="A224" s="5"/>
      <c r="B224" s="5"/>
      <c r="C224" s="5"/>
      <c r="D224" s="5"/>
      <c r="E224" s="5"/>
      <c r="F224" s="5"/>
      <c r="G224" s="5"/>
    </row>
    <row r="225" s="5" customFormat="1"/>
    <row r="226" s="5" customFormat="1"/>
    <row r="227" s="5" customFormat="1"/>
    <row r="228" s="5" customFormat="1"/>
    <row r="229" s="5" customFormat="1"/>
    <row r="230" s="5" customFormat="1"/>
    <row r="231" s="5" customFormat="1"/>
    <row r="232" s="5" customFormat="1"/>
    <row r="233" s="5" customFormat="1"/>
    <row r="234" s="5" customFormat="1"/>
    <row r="235" s="5" customFormat="1"/>
    <row r="236" s="5" customFormat="1"/>
    <row r="237" s="5" customFormat="1"/>
    <row r="238" s="5" customFormat="1"/>
    <row r="239" s="5" customFormat="1"/>
    <row r="240" s="5" customFormat="1"/>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196:U19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3BAE-1EAF-4645-AC5B-4E312C736855}">
  <dimension ref="A1:V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8.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446</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9" t="s">
        <v>16</v>
      </c>
      <c r="E3" s="7"/>
      <c r="F3" s="5"/>
      <c r="G3" s="5"/>
    </row>
    <row r="4" spans="1:16">
      <c r="A4" s="11">
        <v>1</v>
      </c>
      <c r="B4" s="12" t="str">
        <f>المدخلات!$F$4</f>
        <v>4:00–5:30 م</v>
      </c>
      <c r="C4" s="12">
        <v>1</v>
      </c>
      <c r="D4" s="12" t="s">
        <v>223</v>
      </c>
      <c r="E4" s="7"/>
      <c r="F4" s="5"/>
      <c r="G4" s="5"/>
    </row>
    <row r="5" spans="1:16">
      <c r="A5" s="11">
        <v>1</v>
      </c>
      <c r="B5" s="12" t="str">
        <f>المدخلات!$F$4</f>
        <v>4:00–5:30 م</v>
      </c>
      <c r="C5" s="12">
        <v>2</v>
      </c>
      <c r="D5" s="12" t="s">
        <v>222</v>
      </c>
      <c r="E5" s="7"/>
      <c r="F5" s="5"/>
      <c r="G5" s="5"/>
    </row>
    <row r="6" spans="1:16">
      <c r="A6" s="11">
        <v>1</v>
      </c>
      <c r="B6" s="12" t="str">
        <f>المدخلات!$F$4</f>
        <v>4:00–5:30 م</v>
      </c>
      <c r="C6" s="12">
        <v>3</v>
      </c>
      <c r="D6" s="12" t="s">
        <v>202</v>
      </c>
      <c r="E6" s="7"/>
      <c r="F6" s="5"/>
      <c r="G6" s="5"/>
    </row>
    <row r="7" spans="1:16">
      <c r="A7" s="11">
        <v>1</v>
      </c>
      <c r="B7" s="12" t="str">
        <f>المدخلات!$F$4</f>
        <v>4:00–5:30 م</v>
      </c>
      <c r="C7" s="12">
        <v>4</v>
      </c>
      <c r="D7" s="12" t="s">
        <v>203</v>
      </c>
      <c r="E7" s="7"/>
      <c r="F7" s="5"/>
      <c r="G7" s="5"/>
    </row>
    <row r="8" spans="1:16">
      <c r="A8" s="11">
        <v>1</v>
      </c>
      <c r="B8" s="12" t="str">
        <f>المدخلات!$F$5</f>
        <v>5:40–7:10 م</v>
      </c>
      <c r="C8" s="12">
        <v>1</v>
      </c>
      <c r="D8" s="12" t="s">
        <v>156</v>
      </c>
      <c r="E8" s="7"/>
      <c r="F8" s="5"/>
      <c r="G8" s="5"/>
    </row>
    <row r="9" spans="1:16">
      <c r="A9" s="11">
        <v>1</v>
      </c>
      <c r="B9" s="12" t="str">
        <f>المدخلات!$F$5</f>
        <v>5:40–7:10 م</v>
      </c>
      <c r="C9" s="12">
        <v>2</v>
      </c>
      <c r="D9" s="12" t="s">
        <v>157</v>
      </c>
      <c r="E9" s="7"/>
      <c r="F9" s="5"/>
      <c r="G9" s="5"/>
    </row>
    <row r="10" spans="1:16">
      <c r="A10" s="11">
        <v>1</v>
      </c>
      <c r="B10" s="12" t="str">
        <f>المدخلات!$F$5</f>
        <v>5:40–7:10 م</v>
      </c>
      <c r="C10" s="12">
        <v>3</v>
      </c>
      <c r="D10" s="12" t="s">
        <v>158</v>
      </c>
      <c r="E10" s="7"/>
      <c r="F10" s="5"/>
      <c r="G10" s="5"/>
    </row>
    <row r="11" spans="1:16">
      <c r="A11" s="11">
        <v>1</v>
      </c>
      <c r="B11" s="12" t="str">
        <f>المدخلات!$F$5</f>
        <v>5:40–7:10 م</v>
      </c>
      <c r="C11" s="12">
        <v>4</v>
      </c>
      <c r="D11" s="12" t="s">
        <v>98</v>
      </c>
      <c r="E11" s="7"/>
      <c r="F11" s="5"/>
      <c r="G11" s="5"/>
    </row>
    <row r="12" spans="1:16">
      <c r="A12" s="11">
        <v>1</v>
      </c>
      <c r="B12" s="12" t="str">
        <f>المدخلات!$F$6</f>
        <v>7:20–8:50 م</v>
      </c>
      <c r="C12" s="12">
        <v>1</v>
      </c>
      <c r="D12" s="12" t="s">
        <v>94</v>
      </c>
      <c r="E12" s="7"/>
      <c r="F12" s="5"/>
      <c r="G12" s="5"/>
    </row>
    <row r="13" spans="1:16">
      <c r="A13" s="11">
        <v>1</v>
      </c>
      <c r="B13" s="12" t="str">
        <f>المدخلات!$F$6</f>
        <v>7:20–8:50 م</v>
      </c>
      <c r="C13" s="12">
        <v>2</v>
      </c>
      <c r="D13" s="12" t="s">
        <v>84</v>
      </c>
      <c r="E13" s="7"/>
      <c r="F13" s="5"/>
      <c r="G13" s="5"/>
    </row>
    <row r="14" spans="1:16">
      <c r="A14" s="11">
        <v>2</v>
      </c>
      <c r="B14" s="12" t="str">
        <f>المدخلات!$F$4</f>
        <v>4:00–5:30 م</v>
      </c>
      <c r="C14" s="12">
        <v>1</v>
      </c>
      <c r="D14" s="12" t="s">
        <v>162</v>
      </c>
      <c r="E14" s="7"/>
      <c r="F14" s="5"/>
      <c r="G14" s="5"/>
    </row>
    <row r="15" spans="1:16">
      <c r="A15" s="11">
        <v>2</v>
      </c>
      <c r="B15" s="12" t="str">
        <f>المدخلات!$F$4</f>
        <v>4:00–5:30 م</v>
      </c>
      <c r="C15" s="12">
        <v>2</v>
      </c>
      <c r="D15" s="12" t="s">
        <v>161</v>
      </c>
      <c r="E15" s="7"/>
      <c r="F15" s="5"/>
      <c r="G15" s="5"/>
    </row>
    <row r="16" spans="1:16">
      <c r="A16" s="11">
        <v>2</v>
      </c>
      <c r="B16" s="12" t="str">
        <f>المدخلات!$F$4</f>
        <v>4:00–5:30 م</v>
      </c>
      <c r="C16" s="12">
        <v>3</v>
      </c>
      <c r="D16" s="12" t="s">
        <v>85</v>
      </c>
      <c r="E16" s="7"/>
      <c r="F16" s="5"/>
      <c r="G16" s="5"/>
    </row>
    <row r="17" spans="1:7">
      <c r="A17" s="11">
        <v>2</v>
      </c>
      <c r="B17" s="12" t="str">
        <f>المدخلات!$F$4</f>
        <v>4:00–5:30 م</v>
      </c>
      <c r="C17" s="12">
        <v>4</v>
      </c>
      <c r="D17" s="12" t="s">
        <v>90</v>
      </c>
      <c r="E17" s="7"/>
      <c r="F17" s="5"/>
      <c r="G17" s="5"/>
    </row>
    <row r="18" spans="1:7">
      <c r="A18" s="11">
        <v>2</v>
      </c>
      <c r="B18" s="12" t="str">
        <f>المدخلات!$F$5</f>
        <v>5:40–7:10 م</v>
      </c>
      <c r="C18" s="12">
        <v>1</v>
      </c>
      <c r="D18" s="12" t="s">
        <v>175</v>
      </c>
      <c r="E18" s="7"/>
      <c r="F18" s="5"/>
      <c r="G18" s="5"/>
    </row>
    <row r="19" spans="1:7">
      <c r="A19" s="11">
        <v>2</v>
      </c>
      <c r="B19" s="12" t="str">
        <f>المدخلات!$F$5</f>
        <v>5:40–7:10 م</v>
      </c>
      <c r="C19" s="12">
        <v>2</v>
      </c>
      <c r="D19" s="12" t="s">
        <v>174</v>
      </c>
      <c r="E19" s="7"/>
      <c r="F19" s="5"/>
      <c r="G19" s="5"/>
    </row>
    <row r="20" spans="1:7">
      <c r="A20" s="11">
        <v>2</v>
      </c>
      <c r="B20" s="12" t="str">
        <f>المدخلات!$F$5</f>
        <v>5:40–7:10 م</v>
      </c>
      <c r="C20" s="12">
        <v>3</v>
      </c>
      <c r="D20" s="12" t="s">
        <v>224</v>
      </c>
      <c r="E20" s="7"/>
      <c r="F20" s="5"/>
      <c r="G20" s="5"/>
    </row>
    <row r="21" spans="1:7">
      <c r="A21" s="11">
        <v>2</v>
      </c>
      <c r="B21" s="12" t="str">
        <f>المدخلات!$F$5</f>
        <v>5:40–7:10 م</v>
      </c>
      <c r="C21" s="12">
        <v>4</v>
      </c>
      <c r="D21" s="12" t="s">
        <v>74</v>
      </c>
      <c r="E21" s="7"/>
      <c r="F21" s="5"/>
      <c r="G21" s="5"/>
    </row>
    <row r="22" spans="1:7">
      <c r="A22" s="11">
        <v>2</v>
      </c>
      <c r="B22" s="12" t="str">
        <f>المدخلات!$F$6</f>
        <v>7:20–8:50 م</v>
      </c>
      <c r="C22" s="12">
        <v>1</v>
      </c>
      <c r="D22" s="12" t="s">
        <v>160</v>
      </c>
      <c r="E22" s="7"/>
      <c r="F22" s="5"/>
      <c r="G22" s="5"/>
    </row>
    <row r="23" spans="1:7">
      <c r="A23" s="11">
        <v>2</v>
      </c>
      <c r="B23" s="12" t="str">
        <f>المدخلات!$F$6</f>
        <v>7:20–8:50 م</v>
      </c>
      <c r="C23" s="12">
        <v>2</v>
      </c>
      <c r="D23" s="12" t="s">
        <v>159</v>
      </c>
      <c r="E23" s="7"/>
      <c r="F23" s="5"/>
      <c r="G23" s="5"/>
    </row>
    <row r="24" spans="1:7">
      <c r="A24" s="11">
        <v>3</v>
      </c>
      <c r="B24" s="12" t="str">
        <f>المدخلات!$F$4</f>
        <v>4:00–5:30 م</v>
      </c>
      <c r="C24" s="12">
        <v>1</v>
      </c>
      <c r="D24" s="12" t="s">
        <v>75</v>
      </c>
      <c r="E24" s="7"/>
      <c r="F24" s="5"/>
      <c r="G24" s="5"/>
    </row>
    <row r="25" spans="1:7">
      <c r="A25" s="11">
        <v>3</v>
      </c>
      <c r="B25" s="12" t="str">
        <f>المدخلات!$F$4</f>
        <v>4:00–5:30 م</v>
      </c>
      <c r="C25" s="12">
        <v>2</v>
      </c>
      <c r="D25" s="12" t="s">
        <v>64</v>
      </c>
      <c r="E25" s="7"/>
      <c r="F25" s="5"/>
      <c r="G25" s="5"/>
    </row>
    <row r="26" spans="1:7">
      <c r="A26" s="11">
        <v>3</v>
      </c>
      <c r="B26" s="12" t="str">
        <f>المدخلات!$F$4</f>
        <v>4:00–5:30 م</v>
      </c>
      <c r="C26" s="12">
        <v>3</v>
      </c>
      <c r="D26" s="12" t="s">
        <v>117</v>
      </c>
      <c r="E26" s="7"/>
      <c r="F26" s="5"/>
      <c r="G26" s="5"/>
    </row>
    <row r="27" spans="1:7">
      <c r="A27" s="11">
        <v>3</v>
      </c>
      <c r="B27" s="12" t="str">
        <f>المدخلات!$F$4</f>
        <v>4:00–5:30 م</v>
      </c>
      <c r="C27" s="12">
        <v>4</v>
      </c>
      <c r="D27" s="12" t="s">
        <v>118</v>
      </c>
      <c r="E27" s="7"/>
      <c r="F27" s="5"/>
      <c r="G27" s="5"/>
    </row>
    <row r="28" spans="1:7">
      <c r="A28" s="11">
        <v>3</v>
      </c>
      <c r="B28" s="12" t="str">
        <f>المدخلات!$F$5</f>
        <v>5:40–7:10 م</v>
      </c>
      <c r="C28" s="12">
        <v>1</v>
      </c>
      <c r="D28" s="12" t="s">
        <v>119</v>
      </c>
      <c r="E28" s="7"/>
      <c r="F28" s="5"/>
      <c r="G28" s="5"/>
    </row>
    <row r="29" spans="1:7">
      <c r="A29" s="11">
        <v>3</v>
      </c>
      <c r="B29" s="12" t="str">
        <f>المدخلات!$F$5</f>
        <v>5:40–7:10 م</v>
      </c>
      <c r="C29" s="12">
        <v>2</v>
      </c>
      <c r="D29" s="12" t="s">
        <v>120</v>
      </c>
      <c r="E29" s="7"/>
      <c r="F29" s="5"/>
      <c r="G29" s="5"/>
    </row>
    <row r="30" spans="1:7">
      <c r="A30" s="11">
        <v>3</v>
      </c>
      <c r="B30" s="12" t="str">
        <f>المدخلات!$F$5</f>
        <v>5:40–7:10 م</v>
      </c>
      <c r="C30" s="12">
        <v>3</v>
      </c>
      <c r="D30" s="12" t="s">
        <v>121</v>
      </c>
      <c r="E30" s="7"/>
      <c r="F30" s="5"/>
      <c r="G30" s="5"/>
    </row>
    <row r="31" spans="1:7">
      <c r="A31" s="11">
        <v>3</v>
      </c>
      <c r="B31" s="12" t="str">
        <f>المدخلات!$F$5</f>
        <v>5:40–7:10 م</v>
      </c>
      <c r="C31" s="12">
        <v>4</v>
      </c>
      <c r="D31" s="12" t="s">
        <v>86</v>
      </c>
      <c r="E31" s="7"/>
      <c r="F31" s="5"/>
      <c r="G31" s="5"/>
    </row>
    <row r="32" spans="1:7">
      <c r="A32" s="11">
        <v>3</v>
      </c>
      <c r="B32" s="12" t="str">
        <f>المدخلات!$F$6</f>
        <v>7:20–8:50 م</v>
      </c>
      <c r="C32" s="12">
        <v>1</v>
      </c>
      <c r="D32" s="12" t="s">
        <v>204</v>
      </c>
      <c r="E32" s="7"/>
      <c r="F32" s="5"/>
      <c r="G32" s="5"/>
    </row>
    <row r="33" spans="1:7">
      <c r="A33" s="11">
        <v>3</v>
      </c>
      <c r="B33" s="12" t="str">
        <f>المدخلات!$F$6</f>
        <v>7:20–8:50 م</v>
      </c>
      <c r="C33" s="12">
        <v>2</v>
      </c>
      <c r="D33" s="12" t="s">
        <v>225</v>
      </c>
      <c r="E33" s="7"/>
      <c r="F33" s="5"/>
      <c r="G33" s="5"/>
    </row>
    <row r="34" spans="1:7">
      <c r="A34" s="11">
        <v>4</v>
      </c>
      <c r="B34" s="12" t="str">
        <f>المدخلات!$F$4</f>
        <v>4:00–5:30 م</v>
      </c>
      <c r="C34" s="12">
        <v>1</v>
      </c>
      <c r="D34" s="12" t="s">
        <v>76</v>
      </c>
      <c r="E34" s="7"/>
      <c r="F34" s="5"/>
      <c r="G34" s="5"/>
    </row>
    <row r="35" spans="1:7">
      <c r="A35" s="11">
        <v>4</v>
      </c>
      <c r="B35" s="12" t="str">
        <f>المدخلات!$F$4</f>
        <v>4:00–5:30 م</v>
      </c>
      <c r="C35" s="12">
        <v>2</v>
      </c>
      <c r="D35" s="12" t="s">
        <v>125</v>
      </c>
      <c r="E35" s="7"/>
      <c r="F35" s="5"/>
      <c r="G35" s="5"/>
    </row>
    <row r="36" spans="1:7">
      <c r="A36" s="11">
        <v>4</v>
      </c>
      <c r="B36" s="12" t="str">
        <f>المدخلات!$F$4</f>
        <v>4:00–5:30 م</v>
      </c>
      <c r="C36" s="12">
        <v>3</v>
      </c>
      <c r="D36" s="12" t="s">
        <v>65</v>
      </c>
      <c r="E36" s="7"/>
      <c r="F36" s="5"/>
      <c r="G36" s="5"/>
    </row>
    <row r="37" spans="1:7">
      <c r="A37" s="11">
        <v>4</v>
      </c>
      <c r="B37" s="12" t="str">
        <f>المدخلات!$F$4</f>
        <v>4:00–5:30 م</v>
      </c>
      <c r="C37" s="12">
        <v>4</v>
      </c>
      <c r="D37" s="12" t="s">
        <v>176</v>
      </c>
      <c r="E37" s="7"/>
      <c r="F37" s="5"/>
      <c r="G37" s="5"/>
    </row>
    <row r="38" spans="1:7">
      <c r="A38" s="11">
        <v>4</v>
      </c>
      <c r="B38" s="12" t="str">
        <f>المدخلات!$F$5</f>
        <v>5:40–7:10 م</v>
      </c>
      <c r="C38" s="12">
        <v>1</v>
      </c>
      <c r="D38" s="12" t="s">
        <v>87</v>
      </c>
      <c r="E38" s="7"/>
      <c r="F38" s="5"/>
      <c r="G38" s="5"/>
    </row>
    <row r="39" spans="1:7">
      <c r="A39" s="11">
        <v>4</v>
      </c>
      <c r="B39" s="12" t="str">
        <f>المدخلات!$F$5</f>
        <v>5:40–7:10 م</v>
      </c>
      <c r="C39" s="12">
        <v>2</v>
      </c>
      <c r="D39" s="12" t="s">
        <v>56</v>
      </c>
      <c r="E39" s="7"/>
      <c r="F39" s="5"/>
      <c r="G39" s="5"/>
    </row>
    <row r="40" spans="1:7">
      <c r="A40" s="11">
        <v>4</v>
      </c>
      <c r="B40" s="12" t="str">
        <f>المدخلات!$F$5</f>
        <v>5:40–7:10 م</v>
      </c>
      <c r="C40" s="12">
        <v>3</v>
      </c>
      <c r="D40" s="12" t="s">
        <v>205</v>
      </c>
      <c r="E40" s="7"/>
      <c r="F40" s="5"/>
      <c r="G40" s="5"/>
    </row>
    <row r="41" spans="1:7">
      <c r="A41" s="11">
        <v>4</v>
      </c>
      <c r="B41" s="12" t="str">
        <f>المدخلات!$F$5</f>
        <v>5:40–7:10 م</v>
      </c>
      <c r="C41" s="12">
        <v>4</v>
      </c>
      <c r="D41" s="12" t="s">
        <v>226</v>
      </c>
      <c r="E41" s="7"/>
      <c r="F41" s="5"/>
      <c r="G41" s="5"/>
    </row>
    <row r="42" spans="1:7">
      <c r="A42" s="11">
        <v>4</v>
      </c>
      <c r="B42" s="12" t="str">
        <f>المدخلات!$F$6</f>
        <v>7:20–8:50 م</v>
      </c>
      <c r="C42" s="12">
        <v>1</v>
      </c>
      <c r="D42" s="12" t="s">
        <v>123</v>
      </c>
      <c r="E42" s="7"/>
      <c r="F42" s="5"/>
      <c r="G42" s="5"/>
    </row>
    <row r="43" spans="1:7">
      <c r="A43" s="11">
        <v>4</v>
      </c>
      <c r="B43" s="12" t="str">
        <f>المدخلات!$F$6</f>
        <v>7:20–8:50 م</v>
      </c>
      <c r="C43" s="12">
        <v>2</v>
      </c>
      <c r="D43" s="12" t="s">
        <v>124</v>
      </c>
      <c r="E43" s="7"/>
      <c r="F43" s="5"/>
      <c r="G43" s="5"/>
    </row>
    <row r="44" spans="1:7">
      <c r="A44" s="11">
        <v>5</v>
      </c>
      <c r="B44" s="12" t="str">
        <f>المدخلات!$F$4</f>
        <v>4:00–5:30 م</v>
      </c>
      <c r="C44" s="12">
        <v>1</v>
      </c>
      <c r="D44" s="12" t="s">
        <v>88</v>
      </c>
      <c r="E44" s="7"/>
      <c r="F44" s="5"/>
      <c r="G44" s="5"/>
    </row>
    <row r="45" spans="1:7">
      <c r="A45" s="11">
        <v>5</v>
      </c>
      <c r="B45" s="12" t="str">
        <f>المدخلات!$F$4</f>
        <v>4:00–5:30 م</v>
      </c>
      <c r="C45" s="12">
        <v>2</v>
      </c>
      <c r="D45" s="12" t="s">
        <v>177</v>
      </c>
      <c r="E45" s="7"/>
      <c r="F45" s="5"/>
      <c r="G45" s="5"/>
    </row>
    <row r="46" spans="1:7">
      <c r="A46" s="11">
        <v>5</v>
      </c>
      <c r="B46" s="12" t="str">
        <f>المدخلات!$F$4</f>
        <v>4:00–5:30 م</v>
      </c>
      <c r="C46" s="12">
        <v>3</v>
      </c>
      <c r="D46" s="12" t="s">
        <v>206</v>
      </c>
      <c r="E46" s="7"/>
      <c r="F46" s="5"/>
      <c r="G46" s="5"/>
    </row>
    <row r="47" spans="1:7">
      <c r="A47" s="11">
        <v>5</v>
      </c>
      <c r="B47" s="12" t="str">
        <f>المدخلات!$F$4</f>
        <v>4:00–5:30 م</v>
      </c>
      <c r="C47" s="12">
        <v>4</v>
      </c>
      <c r="D47" s="12" t="s">
        <v>227</v>
      </c>
      <c r="E47" s="7"/>
      <c r="F47" s="5"/>
      <c r="G47" s="5"/>
    </row>
    <row r="48" spans="1:7">
      <c r="A48" s="11">
        <v>5</v>
      </c>
      <c r="B48" s="12" t="str">
        <f>المدخلات!$F$5</f>
        <v>5:40–7:10 م</v>
      </c>
      <c r="C48" s="12">
        <v>1</v>
      </c>
      <c r="D48" s="12" t="s">
        <v>178</v>
      </c>
      <c r="E48" s="7"/>
      <c r="F48" s="5"/>
      <c r="G48" s="5"/>
    </row>
    <row r="49" spans="1:7">
      <c r="A49" s="11">
        <v>5</v>
      </c>
      <c r="B49" s="12" t="str">
        <f>المدخلات!$F$5</f>
        <v>5:40–7:10 م</v>
      </c>
      <c r="C49" s="12">
        <v>2</v>
      </c>
      <c r="D49" s="12" t="s">
        <v>66</v>
      </c>
      <c r="E49" s="7"/>
      <c r="F49" s="5"/>
      <c r="G49" s="5"/>
    </row>
    <row r="50" spans="1:7">
      <c r="A50" s="11">
        <v>5</v>
      </c>
      <c r="B50" s="12" t="str">
        <f>المدخلات!$F$5</f>
        <v>5:40–7:10 م</v>
      </c>
      <c r="C50" s="12">
        <v>3</v>
      </c>
      <c r="D50" s="12" t="s">
        <v>77</v>
      </c>
      <c r="E50" s="7"/>
      <c r="F50" s="5"/>
      <c r="G50" s="5"/>
    </row>
    <row r="51" spans="1:7">
      <c r="A51" s="11">
        <v>5</v>
      </c>
      <c r="B51" s="12" t="str">
        <f>المدخلات!$F$5</f>
        <v>5:40–7:10 م</v>
      </c>
      <c r="C51" s="12">
        <v>4</v>
      </c>
      <c r="D51" s="12" t="s">
        <v>128</v>
      </c>
      <c r="E51" s="7"/>
      <c r="F51" s="5"/>
      <c r="G51" s="5"/>
    </row>
    <row r="52" spans="1:7">
      <c r="A52" s="11">
        <v>5</v>
      </c>
      <c r="B52" s="12" t="str">
        <f>المدخلات!$F$6</f>
        <v>7:20–8:50 م</v>
      </c>
      <c r="C52" s="12">
        <v>1</v>
      </c>
      <c r="D52" s="12" t="s">
        <v>57</v>
      </c>
      <c r="E52" s="7"/>
      <c r="F52" s="5"/>
      <c r="G52" s="5"/>
    </row>
    <row r="53" spans="1:7">
      <c r="A53" s="11">
        <v>5</v>
      </c>
      <c r="B53" s="12" t="str">
        <f>المدخلات!$F$6</f>
        <v>7:20–8:50 م</v>
      </c>
      <c r="C53" s="12">
        <v>2</v>
      </c>
      <c r="D53" s="12" t="s">
        <v>48</v>
      </c>
      <c r="E53" s="7"/>
      <c r="F53" s="5"/>
      <c r="G53" s="5"/>
    </row>
    <row r="54" spans="1:7">
      <c r="A54" s="11">
        <v>6</v>
      </c>
      <c r="B54" s="12" t="str">
        <f>المدخلات!$F$4</f>
        <v>4:00–5:30 م</v>
      </c>
      <c r="C54" s="12">
        <v>1</v>
      </c>
      <c r="D54" s="12" t="s">
        <v>207</v>
      </c>
      <c r="E54" s="7"/>
      <c r="F54" s="5"/>
      <c r="G54" s="5"/>
    </row>
    <row r="55" spans="1:7">
      <c r="A55" s="11">
        <v>6</v>
      </c>
      <c r="B55" s="12" t="str">
        <f>المدخلات!$F$4</f>
        <v>4:00–5:30 م</v>
      </c>
      <c r="C55" s="12">
        <v>2</v>
      </c>
      <c r="D55" s="12" t="s">
        <v>122</v>
      </c>
      <c r="E55" s="7"/>
      <c r="F55" s="5"/>
      <c r="G55" s="5"/>
    </row>
    <row r="56" spans="1:7">
      <c r="A56" s="11">
        <v>6</v>
      </c>
      <c r="B56" s="12" t="str">
        <f>المدخلات!$F$4</f>
        <v>4:00–5:30 م</v>
      </c>
      <c r="C56" s="12">
        <v>3</v>
      </c>
      <c r="D56" s="12" t="s">
        <v>49</v>
      </c>
      <c r="E56" s="7"/>
      <c r="F56" s="5"/>
      <c r="G56" s="5"/>
    </row>
    <row r="57" spans="1:7">
      <c r="A57" s="11">
        <v>6</v>
      </c>
      <c r="B57" s="12" t="str">
        <f>المدخلات!$F$4</f>
        <v>4:00–5:30 م</v>
      </c>
      <c r="C57" s="12">
        <v>4</v>
      </c>
      <c r="D57" s="12" t="s">
        <v>42</v>
      </c>
      <c r="E57" s="7"/>
      <c r="F57" s="5"/>
      <c r="G57" s="5"/>
    </row>
    <row r="58" spans="1:7">
      <c r="A58" s="11">
        <v>6</v>
      </c>
      <c r="B58" s="12" t="str">
        <f>المدخلات!$F$5</f>
        <v>5:40–7:10 م</v>
      </c>
      <c r="C58" s="12">
        <v>1</v>
      </c>
      <c r="D58" s="12" t="s">
        <v>179</v>
      </c>
      <c r="E58" s="7"/>
      <c r="F58" s="5"/>
      <c r="G58" s="5"/>
    </row>
    <row r="59" spans="1:7">
      <c r="A59" s="11">
        <v>6</v>
      </c>
      <c r="B59" s="12" t="str">
        <f>المدخلات!$F$5</f>
        <v>5:40–7:10 م</v>
      </c>
      <c r="C59" s="12">
        <v>2</v>
      </c>
      <c r="D59" s="12" t="s">
        <v>228</v>
      </c>
      <c r="E59" s="7"/>
      <c r="F59" s="5"/>
      <c r="G59" s="5"/>
    </row>
    <row r="60" spans="1:7">
      <c r="A60" s="11">
        <v>6</v>
      </c>
      <c r="B60" s="12" t="str">
        <f>المدخلات!$F$5</f>
        <v>5:40–7:10 م</v>
      </c>
      <c r="C60" s="12">
        <v>3</v>
      </c>
      <c r="D60" s="12" t="s">
        <v>67</v>
      </c>
      <c r="E60" s="7"/>
      <c r="F60" s="5"/>
      <c r="G60" s="5"/>
    </row>
    <row r="61" spans="1:7">
      <c r="A61" s="11">
        <v>6</v>
      </c>
      <c r="B61" s="12" t="str">
        <f>المدخلات!$F$5</f>
        <v>5:40–7:10 م</v>
      </c>
      <c r="C61" s="12">
        <v>4</v>
      </c>
      <c r="D61" s="12" t="s">
        <v>58</v>
      </c>
      <c r="E61" s="7"/>
      <c r="F61" s="5"/>
      <c r="G61" s="5"/>
    </row>
    <row r="62" spans="1:7">
      <c r="A62" s="11">
        <v>6</v>
      </c>
      <c r="B62" s="12" t="str">
        <f>المدخلات!$F$6</f>
        <v>7:20–8:50 م</v>
      </c>
      <c r="C62" s="12">
        <v>1</v>
      </c>
      <c r="D62" s="12" t="s">
        <v>165</v>
      </c>
      <c r="E62" s="7"/>
      <c r="F62" s="5"/>
      <c r="G62" s="5"/>
    </row>
    <row r="63" spans="1:7">
      <c r="A63" s="11">
        <v>6</v>
      </c>
      <c r="B63" s="12" t="str">
        <f>المدخلات!$F$6</f>
        <v>7:20–8:50 م</v>
      </c>
      <c r="C63" s="12">
        <v>2</v>
      </c>
      <c r="D63" s="12" t="s">
        <v>68</v>
      </c>
      <c r="E63" s="7"/>
      <c r="F63" s="5"/>
      <c r="G63" s="5"/>
    </row>
    <row r="64" spans="1:7">
      <c r="A64" s="11">
        <v>7</v>
      </c>
      <c r="B64" s="12" t="str">
        <f>المدخلات!$F$4</f>
        <v>4:00–5:30 م</v>
      </c>
      <c r="C64" s="12">
        <v>1</v>
      </c>
      <c r="D64" s="12" t="s">
        <v>229</v>
      </c>
      <c r="E64" s="7"/>
      <c r="F64" s="5"/>
      <c r="G64" s="5"/>
    </row>
    <row r="65" spans="1:7">
      <c r="A65" s="11">
        <v>7</v>
      </c>
      <c r="B65" s="12" t="str">
        <f>المدخلات!$F$4</f>
        <v>4:00–5:30 م</v>
      </c>
      <c r="C65" s="12">
        <v>2</v>
      </c>
      <c r="D65" s="12" t="s">
        <v>127</v>
      </c>
      <c r="E65" s="7"/>
      <c r="F65" s="5"/>
      <c r="G65" s="5"/>
    </row>
    <row r="66" spans="1:7">
      <c r="A66" s="11">
        <v>7</v>
      </c>
      <c r="B66" s="12" t="str">
        <f>المدخلات!$F$4</f>
        <v>4:00–5:30 م</v>
      </c>
      <c r="C66" s="12">
        <v>3</v>
      </c>
      <c r="D66" s="12" t="s">
        <v>180</v>
      </c>
      <c r="E66" s="7"/>
      <c r="F66" s="5"/>
      <c r="G66" s="5"/>
    </row>
    <row r="67" spans="1:7">
      <c r="A67" s="11">
        <v>7</v>
      </c>
      <c r="B67" s="12" t="str">
        <f>المدخلات!$F$4</f>
        <v>4:00–5:30 م</v>
      </c>
      <c r="C67" s="12">
        <v>4</v>
      </c>
      <c r="D67" s="12" t="s">
        <v>51</v>
      </c>
      <c r="E67" s="7"/>
      <c r="F67" s="5"/>
      <c r="G67" s="5"/>
    </row>
    <row r="68" spans="1:7">
      <c r="A68" s="11">
        <v>7</v>
      </c>
      <c r="B68" s="12" t="str">
        <f>المدخلات!$F$5</f>
        <v>5:40–7:10 م</v>
      </c>
      <c r="C68" s="12">
        <v>1</v>
      </c>
      <c r="D68" s="12" t="s">
        <v>50</v>
      </c>
      <c r="E68" s="7"/>
      <c r="F68" s="5"/>
      <c r="G68" s="5"/>
    </row>
    <row r="69" spans="1:7">
      <c r="A69" s="11">
        <v>7</v>
      </c>
      <c r="B69" s="12" t="str">
        <f>المدخلات!$F$5</f>
        <v>5:40–7:10 م</v>
      </c>
      <c r="C69" s="12">
        <v>2</v>
      </c>
      <c r="D69" s="12" t="s">
        <v>126</v>
      </c>
      <c r="E69" s="7"/>
      <c r="F69" s="5"/>
      <c r="G69" s="5"/>
    </row>
    <row r="70" spans="1:7">
      <c r="A70" s="11">
        <v>7</v>
      </c>
      <c r="B70" s="12" t="str">
        <f>المدخلات!$F$5</f>
        <v>5:40–7:10 م</v>
      </c>
      <c r="C70" s="12">
        <v>3</v>
      </c>
      <c r="D70" s="12" t="s">
        <v>166</v>
      </c>
      <c r="E70" s="7"/>
      <c r="F70" s="5"/>
      <c r="G70" s="5"/>
    </row>
    <row r="71" spans="1:7">
      <c r="A71" s="11">
        <v>7</v>
      </c>
      <c r="B71" s="12" t="str">
        <f>المدخلات!$F$5</f>
        <v>5:40–7:10 م</v>
      </c>
      <c r="C71" s="12">
        <v>4</v>
      </c>
      <c r="D71" s="12" t="s">
        <v>208</v>
      </c>
      <c r="E71" s="7"/>
      <c r="F71" s="5"/>
      <c r="G71" s="5"/>
    </row>
    <row r="72" spans="1:7">
      <c r="A72" s="11">
        <v>7</v>
      </c>
      <c r="B72" s="12" t="str">
        <f>المدخلات!$F$6</f>
        <v>7:20–8:50 م</v>
      </c>
      <c r="C72" s="12">
        <v>1</v>
      </c>
      <c r="D72" s="12" t="s">
        <v>43</v>
      </c>
      <c r="E72" s="7"/>
      <c r="F72" s="5"/>
      <c r="G72" s="5"/>
    </row>
    <row r="73" spans="1:7">
      <c r="A73" s="11">
        <v>7</v>
      </c>
      <c r="B73" s="12" t="str">
        <f>المدخلات!$F$6</f>
        <v>7:20–8:50 م</v>
      </c>
      <c r="C73" s="12">
        <v>2</v>
      </c>
      <c r="D73" s="12" t="s">
        <v>29</v>
      </c>
      <c r="E73" s="7"/>
      <c r="F73" s="5"/>
      <c r="G73" s="5"/>
    </row>
    <row r="74" spans="1:7">
      <c r="A74" s="11">
        <v>8</v>
      </c>
      <c r="B74" s="12" t="str">
        <f>المدخلات!$F$4</f>
        <v>4:00–5:30 م</v>
      </c>
      <c r="C74" s="12">
        <v>1</v>
      </c>
      <c r="D74" s="12" t="s">
        <v>209</v>
      </c>
      <c r="E74" s="7"/>
      <c r="F74" s="5"/>
      <c r="G74" s="5"/>
    </row>
    <row r="75" spans="1:7">
      <c r="A75" s="11">
        <v>8</v>
      </c>
      <c r="B75" s="12" t="str">
        <f>المدخلات!$F$4</f>
        <v>4:00–5:30 م</v>
      </c>
      <c r="C75" s="12">
        <v>2</v>
      </c>
      <c r="D75" s="12" t="s">
        <v>181</v>
      </c>
      <c r="E75" s="7"/>
      <c r="F75" s="5"/>
      <c r="G75" s="5"/>
    </row>
    <row r="76" spans="1:7">
      <c r="A76" s="11">
        <v>8</v>
      </c>
      <c r="B76" s="12" t="str">
        <f>المدخلات!$F$4</f>
        <v>4:00–5:30 م</v>
      </c>
      <c r="C76" s="12">
        <v>3</v>
      </c>
      <c r="D76" s="12" t="s">
        <v>111</v>
      </c>
      <c r="E76" s="7"/>
      <c r="F76" s="5"/>
      <c r="G76" s="5"/>
    </row>
    <row r="77" spans="1:7">
      <c r="A77" s="11">
        <v>8</v>
      </c>
      <c r="B77" s="12" t="str">
        <f>المدخلات!$F$4</f>
        <v>4:00–5:30 م</v>
      </c>
      <c r="C77" s="12">
        <v>4</v>
      </c>
      <c r="D77" s="12" t="s">
        <v>32</v>
      </c>
      <c r="E77" s="7"/>
      <c r="F77" s="5"/>
      <c r="G77" s="5"/>
    </row>
    <row r="78" spans="1:7">
      <c r="A78" s="11">
        <v>8</v>
      </c>
      <c r="B78" s="12" t="str">
        <f>المدخلات!$F$5</f>
        <v>5:40–7:10 م</v>
      </c>
      <c r="C78" s="12">
        <v>1</v>
      </c>
      <c r="D78" s="12" t="s">
        <v>38</v>
      </c>
      <c r="E78" s="7"/>
      <c r="F78" s="5"/>
      <c r="G78" s="5"/>
    </row>
    <row r="79" spans="1:7">
      <c r="A79" s="11">
        <v>8</v>
      </c>
      <c r="B79" s="12" t="str">
        <f>المدخلات!$F$5</f>
        <v>5:40–7:10 م</v>
      </c>
      <c r="C79" s="12">
        <v>2</v>
      </c>
      <c r="D79" s="12" t="s">
        <v>31</v>
      </c>
      <c r="E79" s="7"/>
      <c r="F79" s="5"/>
      <c r="G79" s="5"/>
    </row>
    <row r="80" spans="1:7">
      <c r="A80" s="11">
        <v>8</v>
      </c>
      <c r="B80" s="12" t="str">
        <f>المدخلات!$F$5</f>
        <v>5:40–7:10 م</v>
      </c>
      <c r="C80" s="12">
        <v>3</v>
      </c>
      <c r="D80" s="12" t="s">
        <v>129</v>
      </c>
      <c r="E80" s="7"/>
      <c r="F80" s="5"/>
      <c r="G80" s="5"/>
    </row>
    <row r="81" spans="1:7">
      <c r="A81" s="11">
        <v>8</v>
      </c>
      <c r="B81" s="12" t="str">
        <f>المدخلات!$F$5</f>
        <v>5:40–7:10 م</v>
      </c>
      <c r="C81" s="12">
        <v>4</v>
      </c>
      <c r="D81" s="12" t="s">
        <v>182</v>
      </c>
      <c r="E81" s="7"/>
      <c r="F81" s="5"/>
      <c r="G81" s="5"/>
    </row>
    <row r="82" spans="1:7">
      <c r="A82" s="11">
        <v>8</v>
      </c>
      <c r="B82" s="12" t="str">
        <f>المدخلات!$F$6</f>
        <v>7:20–8:50 م</v>
      </c>
      <c r="C82" s="12">
        <v>1</v>
      </c>
      <c r="D82" s="12" t="s">
        <v>130</v>
      </c>
      <c r="E82" s="7"/>
      <c r="F82" s="5"/>
      <c r="G82" s="5"/>
    </row>
    <row r="83" spans="1:7">
      <c r="A83" s="11">
        <v>8</v>
      </c>
      <c r="B83" s="12" t="str">
        <f>المدخلات!$F$6</f>
        <v>7:20–8:50 م</v>
      </c>
      <c r="C83" s="12">
        <v>2</v>
      </c>
      <c r="D83" s="12" t="s">
        <v>230</v>
      </c>
      <c r="E83" s="7"/>
      <c r="F83" s="5"/>
      <c r="G83" s="5"/>
    </row>
    <row r="84" spans="1:7">
      <c r="A84" s="11">
        <v>9</v>
      </c>
      <c r="B84" s="12" t="str">
        <f>المدخلات!$F$4</f>
        <v>4:00–5:30 م</v>
      </c>
      <c r="C84" s="12">
        <v>1</v>
      </c>
      <c r="D84" s="12" t="s">
        <v>184</v>
      </c>
      <c r="E84" s="7"/>
      <c r="F84" s="5"/>
      <c r="G84" s="5"/>
    </row>
    <row r="85" spans="1:7">
      <c r="A85" s="11">
        <v>9</v>
      </c>
      <c r="B85" s="12" t="str">
        <f>المدخلات!$F$4</f>
        <v>4:00–5:30 م</v>
      </c>
      <c r="C85" s="12">
        <v>2</v>
      </c>
      <c r="D85" s="12" t="s">
        <v>106</v>
      </c>
      <c r="E85" s="7"/>
      <c r="F85" s="5"/>
      <c r="G85" s="5"/>
    </row>
    <row r="86" spans="1:7">
      <c r="A86" s="11">
        <v>9</v>
      </c>
      <c r="B86" s="12" t="str">
        <f>المدخلات!$F$4</f>
        <v>4:00–5:30 م</v>
      </c>
      <c r="C86" s="12">
        <v>3</v>
      </c>
      <c r="D86" s="12" t="s">
        <v>19</v>
      </c>
      <c r="E86" s="7"/>
      <c r="F86" s="5"/>
      <c r="G86" s="5"/>
    </row>
    <row r="87" spans="1:7">
      <c r="A87" s="11">
        <v>9</v>
      </c>
      <c r="B87" s="12" t="str">
        <f>المدخلات!$F$4</f>
        <v>4:00–5:30 م</v>
      </c>
      <c r="C87" s="12">
        <v>4</v>
      </c>
      <c r="D87" s="12" t="s">
        <v>20</v>
      </c>
      <c r="E87" s="7"/>
      <c r="F87" s="5"/>
      <c r="G87" s="5"/>
    </row>
    <row r="88" spans="1:7">
      <c r="A88" s="11">
        <v>9</v>
      </c>
      <c r="B88" s="12" t="str">
        <f>المدخلات!$F$5</f>
        <v>5:40–7:10 م</v>
      </c>
      <c r="C88" s="12">
        <v>1</v>
      </c>
      <c r="D88" s="12" t="s">
        <v>112</v>
      </c>
      <c r="E88" s="7"/>
      <c r="F88" s="5"/>
      <c r="G88" s="5"/>
    </row>
    <row r="89" spans="1:7">
      <c r="A89" s="11">
        <v>9</v>
      </c>
      <c r="B89" s="12" t="str">
        <f>المدخلات!$F$5</f>
        <v>5:40–7:10 م</v>
      </c>
      <c r="C89" s="12">
        <v>2</v>
      </c>
      <c r="D89" s="12" t="s">
        <v>210</v>
      </c>
      <c r="E89" s="7"/>
      <c r="F89" s="5"/>
      <c r="G89" s="5"/>
    </row>
    <row r="90" spans="1:7">
      <c r="A90" s="11">
        <v>9</v>
      </c>
      <c r="B90" s="12" t="str">
        <f>المدخلات!$F$5</f>
        <v>5:40–7:10 م</v>
      </c>
      <c r="C90" s="12">
        <v>3</v>
      </c>
      <c r="D90" s="12" t="s">
        <v>231</v>
      </c>
      <c r="E90" s="7"/>
      <c r="F90" s="5"/>
      <c r="G90" s="5"/>
    </row>
    <row r="91" spans="1:7">
      <c r="A91" s="11">
        <v>9</v>
      </c>
      <c r="B91" s="12" t="str">
        <f>المدخلات!$F$5</f>
        <v>5:40–7:10 م</v>
      </c>
      <c r="C91" s="12">
        <v>4</v>
      </c>
      <c r="D91" s="12" t="s">
        <v>132</v>
      </c>
      <c r="E91" s="7"/>
      <c r="F91" s="5"/>
      <c r="G91" s="5"/>
    </row>
    <row r="92" spans="1:7">
      <c r="A92" s="11">
        <v>9</v>
      </c>
      <c r="B92" s="12" t="str">
        <f>المدخلات!$F$6</f>
        <v>7:20–8:50 م</v>
      </c>
      <c r="C92" s="12">
        <v>1</v>
      </c>
      <c r="D92" s="12" t="s">
        <v>131</v>
      </c>
      <c r="E92" s="7"/>
      <c r="F92" s="5"/>
      <c r="G92" s="5"/>
    </row>
    <row r="93" spans="1:7">
      <c r="A93" s="11">
        <v>9</v>
      </c>
      <c r="B93" s="12" t="str">
        <f>المدخلات!$F$6</f>
        <v>7:20–8:50 م</v>
      </c>
      <c r="C93" s="12">
        <v>2</v>
      </c>
      <c r="D93" s="12" t="s">
        <v>183</v>
      </c>
      <c r="E93" s="7"/>
      <c r="F93" s="5"/>
      <c r="G93" s="5"/>
    </row>
    <row r="94" spans="1:7">
      <c r="A94" s="11">
        <v>10</v>
      </c>
      <c r="B94" s="12" t="str">
        <f>المدخلات!$F$4</f>
        <v>4:00–5:30 م</v>
      </c>
      <c r="C94" s="12">
        <v>1</v>
      </c>
      <c r="D94" s="12" t="s">
        <v>232</v>
      </c>
      <c r="E94" s="7"/>
      <c r="F94" s="5"/>
      <c r="G94" s="5"/>
    </row>
    <row r="95" spans="1:7">
      <c r="A95" s="11">
        <v>10</v>
      </c>
      <c r="B95" s="12" t="str">
        <f>المدخلات!$F$4</f>
        <v>4:00–5:30 م</v>
      </c>
      <c r="C95" s="12">
        <v>2</v>
      </c>
      <c r="D95" s="12" t="s">
        <v>100</v>
      </c>
      <c r="E95" s="7"/>
      <c r="F95" s="5"/>
      <c r="G95" s="5"/>
    </row>
    <row r="96" spans="1:7">
      <c r="A96" s="11">
        <v>10</v>
      </c>
      <c r="B96" s="12" t="str">
        <f>المدخلات!$F$4</f>
        <v>4:00–5:30 م</v>
      </c>
      <c r="C96" s="12">
        <v>3</v>
      </c>
      <c r="D96" s="12" t="s">
        <v>134</v>
      </c>
      <c r="E96" s="7"/>
      <c r="F96" s="5"/>
      <c r="G96" s="5"/>
    </row>
    <row r="97" spans="1:7">
      <c r="A97" s="11">
        <v>10</v>
      </c>
      <c r="B97" s="12" t="str">
        <f>المدخلات!$F$4</f>
        <v>4:00–5:30 م</v>
      </c>
      <c r="C97" s="12">
        <v>4</v>
      </c>
      <c r="D97" s="12" t="s">
        <v>185</v>
      </c>
      <c r="E97" s="7"/>
      <c r="F97" s="5"/>
      <c r="G97" s="5"/>
    </row>
    <row r="98" spans="1:7">
      <c r="A98" s="11">
        <v>10</v>
      </c>
      <c r="B98" s="12" t="str">
        <f>المدخلات!$F$5</f>
        <v>5:40–7:10 م</v>
      </c>
      <c r="C98" s="12">
        <v>1</v>
      </c>
      <c r="D98" s="12" t="s">
        <v>133</v>
      </c>
      <c r="E98" s="7"/>
      <c r="F98" s="5"/>
      <c r="G98" s="5"/>
    </row>
    <row r="99" spans="1:7">
      <c r="A99" s="11">
        <v>10</v>
      </c>
      <c r="B99" s="12" t="str">
        <f>المدخلات!$F$5</f>
        <v>5:40–7:10 م</v>
      </c>
      <c r="C99" s="12">
        <v>2</v>
      </c>
      <c r="D99" s="12" t="s">
        <v>23</v>
      </c>
      <c r="E99" s="7"/>
      <c r="F99" s="5"/>
      <c r="G99" s="5"/>
    </row>
    <row r="100" spans="1:7">
      <c r="A100" s="11">
        <v>10</v>
      </c>
      <c r="B100" s="12" t="str">
        <f>المدخلات!$F$5</f>
        <v>5:40–7:10 م</v>
      </c>
      <c r="C100" s="12">
        <v>3</v>
      </c>
      <c r="D100" s="12" t="s">
        <v>211</v>
      </c>
      <c r="E100" s="7"/>
      <c r="F100" s="5"/>
      <c r="G100" s="5"/>
    </row>
    <row r="101" spans="1:7">
      <c r="A101" s="11">
        <v>10</v>
      </c>
      <c r="B101" s="12" t="str">
        <f>المدخلات!$F$5</f>
        <v>5:40–7:10 م</v>
      </c>
      <c r="C101" s="12">
        <v>4</v>
      </c>
      <c r="D101" s="12" t="s">
        <v>113</v>
      </c>
      <c r="E101" s="7"/>
      <c r="F101" s="5"/>
      <c r="G101" s="5"/>
    </row>
    <row r="102" spans="1:7">
      <c r="A102" s="11">
        <v>10</v>
      </c>
      <c r="B102" s="12" t="str">
        <f>المدخلات!$F$6</f>
        <v>7:20–8:50 م</v>
      </c>
      <c r="C102" s="12">
        <v>1</v>
      </c>
      <c r="D102" s="12" t="s">
        <v>107</v>
      </c>
      <c r="E102" s="7"/>
      <c r="F102" s="5"/>
      <c r="G102" s="5"/>
    </row>
    <row r="103" spans="1:7">
      <c r="A103" s="11">
        <v>10</v>
      </c>
      <c r="B103" s="12" t="str">
        <f>المدخلات!$F$6</f>
        <v>7:20–8:50 م</v>
      </c>
      <c r="C103" s="12">
        <v>2</v>
      </c>
      <c r="D103" s="12" t="s">
        <v>186</v>
      </c>
      <c r="E103" s="7"/>
      <c r="F103" s="5"/>
      <c r="G103" s="5"/>
    </row>
    <row r="104" spans="1:7">
      <c r="A104" s="11">
        <v>11</v>
      </c>
      <c r="B104" s="12" t="str">
        <f>المدخلات!$F$4</f>
        <v>4:00–5:30 م</v>
      </c>
      <c r="C104" s="12">
        <v>1</v>
      </c>
      <c r="D104" s="12" t="s">
        <v>187</v>
      </c>
      <c r="E104" s="7"/>
      <c r="F104" s="5"/>
      <c r="G104" s="5"/>
    </row>
    <row r="105" spans="1:7">
      <c r="A105" s="11">
        <v>11</v>
      </c>
      <c r="B105" s="12" t="str">
        <f>المدخلات!$F$4</f>
        <v>4:00–5:30 م</v>
      </c>
      <c r="C105" s="12">
        <v>2</v>
      </c>
      <c r="D105" s="12" t="s">
        <v>91</v>
      </c>
      <c r="E105" s="7"/>
      <c r="F105" s="5"/>
      <c r="G105" s="5"/>
    </row>
    <row r="106" spans="1:7">
      <c r="A106" s="11">
        <v>11</v>
      </c>
      <c r="B106" s="12" t="str">
        <f>المدخلات!$F$4</f>
        <v>4:00–5:30 م</v>
      </c>
      <c r="C106" s="12">
        <v>3</v>
      </c>
      <c r="D106" s="12" t="s">
        <v>78</v>
      </c>
      <c r="E106" s="7"/>
      <c r="F106" s="5"/>
      <c r="G106" s="5"/>
    </row>
    <row r="107" spans="1:7">
      <c r="A107" s="11">
        <v>11</v>
      </c>
      <c r="B107" s="12" t="str">
        <f>المدخلات!$F$4</f>
        <v>4:00–5:30 م</v>
      </c>
      <c r="C107" s="12">
        <v>4</v>
      </c>
      <c r="D107" s="12" t="s">
        <v>136</v>
      </c>
      <c r="E107" s="7"/>
      <c r="F107" s="5"/>
      <c r="G107" s="5"/>
    </row>
    <row r="108" spans="1:7">
      <c r="A108" s="11">
        <v>11</v>
      </c>
      <c r="B108" s="12" t="str">
        <f>المدخلات!$F$5</f>
        <v>5:40–7:10 م</v>
      </c>
      <c r="C108" s="12">
        <v>1</v>
      </c>
      <c r="D108" s="12" t="s">
        <v>188</v>
      </c>
      <c r="E108" s="7"/>
      <c r="F108" s="5"/>
      <c r="G108" s="5"/>
    </row>
    <row r="109" spans="1:7">
      <c r="A109" s="11">
        <v>11</v>
      </c>
      <c r="B109" s="12" t="str">
        <f>المدخلات!$F$5</f>
        <v>5:40–7:10 م</v>
      </c>
      <c r="C109" s="12">
        <v>2</v>
      </c>
      <c r="D109" s="12" t="s">
        <v>212</v>
      </c>
      <c r="E109" s="7"/>
      <c r="F109" s="5"/>
      <c r="G109" s="5"/>
    </row>
    <row r="110" spans="1:7">
      <c r="A110" s="11">
        <v>11</v>
      </c>
      <c r="B110" s="12" t="str">
        <f>المدخلات!$F$5</f>
        <v>5:40–7:10 م</v>
      </c>
      <c r="C110" s="12">
        <v>3</v>
      </c>
      <c r="D110" s="12" t="s">
        <v>105</v>
      </c>
      <c r="E110" s="7"/>
      <c r="F110" s="5"/>
      <c r="G110" s="5"/>
    </row>
    <row r="111" spans="1:7">
      <c r="A111" s="11">
        <v>11</v>
      </c>
      <c r="B111" s="12" t="str">
        <f>المدخلات!$F$5</f>
        <v>5:40–7:10 م</v>
      </c>
      <c r="C111" s="12">
        <v>4</v>
      </c>
      <c r="D111" s="12" t="s">
        <v>101</v>
      </c>
      <c r="E111" s="7"/>
      <c r="F111" s="5"/>
      <c r="G111" s="5"/>
    </row>
    <row r="112" spans="1:7">
      <c r="A112" s="11">
        <v>11</v>
      </c>
      <c r="B112" s="12" t="str">
        <f>المدخلات!$F$6</f>
        <v>7:20–8:50 م</v>
      </c>
      <c r="C112" s="12">
        <v>1</v>
      </c>
      <c r="D112" s="12" t="s">
        <v>233</v>
      </c>
      <c r="E112" s="7"/>
      <c r="F112" s="5"/>
      <c r="G112" s="5"/>
    </row>
    <row r="113" spans="1:7">
      <c r="A113" s="11">
        <v>11</v>
      </c>
      <c r="B113" s="12" t="str">
        <f>المدخلات!$F$6</f>
        <v>7:20–8:50 م</v>
      </c>
      <c r="C113" s="12">
        <v>2</v>
      </c>
      <c r="D113" s="12" t="s">
        <v>135</v>
      </c>
      <c r="E113" s="7"/>
      <c r="F113" s="5"/>
      <c r="G113" s="5"/>
    </row>
    <row r="114" spans="1:7">
      <c r="A114" s="11">
        <v>12</v>
      </c>
      <c r="B114" s="12" t="str">
        <f>المدخلات!$F$4</f>
        <v>4:00–5:30 م</v>
      </c>
      <c r="C114" s="12">
        <v>1</v>
      </c>
      <c r="D114" s="12" t="s">
        <v>99</v>
      </c>
      <c r="E114" s="7"/>
      <c r="F114" s="5"/>
      <c r="G114" s="5"/>
    </row>
    <row r="115" spans="1:7">
      <c r="A115" s="11">
        <v>12</v>
      </c>
      <c r="B115" s="12" t="str">
        <f>المدخلات!$F$4</f>
        <v>4:00–5:30 م</v>
      </c>
      <c r="C115" s="12">
        <v>2</v>
      </c>
      <c r="D115" s="12" t="s">
        <v>137</v>
      </c>
      <c r="E115" s="7"/>
      <c r="F115" s="5"/>
      <c r="G115" s="5"/>
    </row>
    <row r="116" spans="1:7">
      <c r="A116" s="11">
        <v>12</v>
      </c>
      <c r="B116" s="12" t="str">
        <f>المدخلات!$F$4</f>
        <v>4:00–5:30 م</v>
      </c>
      <c r="C116" s="12">
        <v>3</v>
      </c>
      <c r="D116" s="12" t="s">
        <v>190</v>
      </c>
      <c r="E116" s="7"/>
      <c r="F116" s="5"/>
      <c r="G116" s="5"/>
    </row>
    <row r="117" spans="1:7">
      <c r="A117" s="11">
        <v>12</v>
      </c>
      <c r="B117" s="12" t="str">
        <f>المدخلات!$F$4</f>
        <v>4:00–5:30 م</v>
      </c>
      <c r="C117" s="12">
        <v>4</v>
      </c>
      <c r="D117" s="12" t="s">
        <v>138</v>
      </c>
      <c r="E117" s="7"/>
      <c r="F117" s="5"/>
      <c r="G117" s="5"/>
    </row>
    <row r="118" spans="1:7">
      <c r="A118" s="11">
        <v>12</v>
      </c>
      <c r="B118" s="12" t="str">
        <f>المدخلات!$F$5</f>
        <v>5:40–7:10 م</v>
      </c>
      <c r="C118" s="12">
        <v>1</v>
      </c>
      <c r="D118" s="12" t="s">
        <v>92</v>
      </c>
      <c r="E118" s="7"/>
      <c r="F118" s="5"/>
      <c r="G118" s="5"/>
    </row>
    <row r="119" spans="1:7">
      <c r="A119" s="11">
        <v>12</v>
      </c>
      <c r="B119" s="12" t="str">
        <f>المدخلات!$F$5</f>
        <v>5:40–7:10 م</v>
      </c>
      <c r="C119" s="12">
        <v>2</v>
      </c>
      <c r="D119" s="12" t="s">
        <v>189</v>
      </c>
      <c r="E119" s="7"/>
      <c r="F119" s="5"/>
      <c r="G119" s="5"/>
    </row>
    <row r="120" spans="1:7">
      <c r="A120" s="11">
        <v>12</v>
      </c>
      <c r="B120" s="12" t="str">
        <f>المدخلات!$F$5</f>
        <v>5:40–7:10 م</v>
      </c>
      <c r="C120" s="12">
        <v>3</v>
      </c>
      <c r="D120" s="12" t="s">
        <v>139</v>
      </c>
      <c r="E120" s="7"/>
      <c r="F120" s="5"/>
      <c r="G120" s="5"/>
    </row>
    <row r="121" spans="1:7">
      <c r="A121" s="11">
        <v>12</v>
      </c>
      <c r="B121" s="12" t="str">
        <f>المدخلات!$F$5</f>
        <v>5:40–7:10 م</v>
      </c>
      <c r="C121" s="12">
        <v>4</v>
      </c>
      <c r="D121" s="12" t="s">
        <v>69</v>
      </c>
      <c r="E121" s="7"/>
      <c r="F121" s="5"/>
      <c r="G121" s="5"/>
    </row>
    <row r="122" spans="1:7">
      <c r="A122" s="11">
        <v>12</v>
      </c>
      <c r="B122" s="12" t="str">
        <f>المدخلات!$F$6</f>
        <v>7:20–8:50 م</v>
      </c>
      <c r="C122" s="12">
        <v>1</v>
      </c>
      <c r="D122" s="12" t="s">
        <v>79</v>
      </c>
      <c r="E122" s="7"/>
      <c r="F122" s="5"/>
      <c r="G122" s="5"/>
    </row>
    <row r="123" spans="1:7">
      <c r="A123" s="11">
        <v>12</v>
      </c>
      <c r="B123" s="12" t="str">
        <f>المدخلات!$F$6</f>
        <v>7:20–8:50 م</v>
      </c>
      <c r="C123" s="12">
        <v>2</v>
      </c>
      <c r="D123" s="12" t="s">
        <v>213</v>
      </c>
      <c r="E123" s="7"/>
      <c r="F123" s="5"/>
      <c r="G123" s="5"/>
    </row>
    <row r="124" spans="1:7">
      <c r="A124" s="11">
        <v>13</v>
      </c>
      <c r="B124" s="12" t="str">
        <f>المدخلات!$F$4</f>
        <v>4:00–5:30 م</v>
      </c>
      <c r="C124" s="12">
        <v>1</v>
      </c>
      <c r="D124" s="12" t="s">
        <v>143</v>
      </c>
      <c r="E124" s="7"/>
      <c r="F124" s="5"/>
      <c r="G124" s="5"/>
    </row>
    <row r="125" spans="1:7">
      <c r="A125" s="11">
        <v>13</v>
      </c>
      <c r="B125" s="12" t="str">
        <f>المدخلات!$F$4</f>
        <v>4:00–5:30 م</v>
      </c>
      <c r="C125" s="12">
        <v>2</v>
      </c>
      <c r="D125" s="12" t="s">
        <v>59</v>
      </c>
      <c r="E125" s="7"/>
      <c r="F125" s="5"/>
      <c r="G125" s="5"/>
    </row>
    <row r="126" spans="1:7">
      <c r="A126" s="11">
        <v>13</v>
      </c>
      <c r="B126" s="12" t="str">
        <f>المدخلات!$F$4</f>
        <v>4:00–5:30 م</v>
      </c>
      <c r="C126" s="12">
        <v>3</v>
      </c>
      <c r="D126" s="12" t="s">
        <v>70</v>
      </c>
      <c r="E126" s="7"/>
      <c r="F126" s="5"/>
      <c r="G126" s="5"/>
    </row>
    <row r="127" spans="1:7">
      <c r="A127" s="11">
        <v>13</v>
      </c>
      <c r="B127" s="12" t="str">
        <f>المدخلات!$F$4</f>
        <v>4:00–5:30 م</v>
      </c>
      <c r="C127" s="12">
        <v>4</v>
      </c>
      <c r="D127" s="12" t="s">
        <v>234</v>
      </c>
      <c r="E127" s="7"/>
      <c r="F127" s="5"/>
      <c r="G127" s="5"/>
    </row>
    <row r="128" spans="1:7">
      <c r="A128" s="11">
        <v>13</v>
      </c>
      <c r="B128" s="12" t="str">
        <f>المدخلات!$F$5</f>
        <v>5:40–7:10 م</v>
      </c>
      <c r="C128" s="12">
        <v>1</v>
      </c>
      <c r="D128" s="12" t="s">
        <v>191</v>
      </c>
      <c r="E128" s="7"/>
      <c r="F128" s="5"/>
      <c r="G128" s="5"/>
    </row>
    <row r="129" spans="1:7">
      <c r="A129" s="11">
        <v>13</v>
      </c>
      <c r="B129" s="12" t="str">
        <f>المدخلات!$F$5</f>
        <v>5:40–7:10 م</v>
      </c>
      <c r="C129" s="12">
        <v>2</v>
      </c>
      <c r="D129" s="12" t="s">
        <v>141</v>
      </c>
      <c r="E129" s="7"/>
      <c r="F129" s="5"/>
      <c r="G129" s="5"/>
    </row>
    <row r="130" spans="1:7">
      <c r="A130" s="11">
        <v>13</v>
      </c>
      <c r="B130" s="12" t="str">
        <f>المدخلات!$F$5</f>
        <v>5:40–7:10 م</v>
      </c>
      <c r="C130" s="12">
        <v>3</v>
      </c>
      <c r="D130" s="12" t="s">
        <v>140</v>
      </c>
      <c r="E130" s="7"/>
      <c r="F130" s="5"/>
      <c r="G130" s="5"/>
    </row>
    <row r="131" spans="1:7">
      <c r="A131" s="11">
        <v>13</v>
      </c>
      <c r="B131" s="12" t="str">
        <f>المدخلات!$F$5</f>
        <v>5:40–7:10 م</v>
      </c>
      <c r="C131" s="12">
        <v>4</v>
      </c>
      <c r="D131" s="12" t="s">
        <v>80</v>
      </c>
      <c r="E131" s="7"/>
      <c r="F131" s="5"/>
      <c r="G131" s="5"/>
    </row>
    <row r="132" spans="1:7">
      <c r="A132" s="11">
        <v>13</v>
      </c>
      <c r="B132" s="12" t="str">
        <f>المدخلات!$F$6</f>
        <v>7:20–8:50 م</v>
      </c>
      <c r="C132" s="12">
        <v>1</v>
      </c>
      <c r="D132" s="12" t="s">
        <v>144</v>
      </c>
      <c r="E132" s="7"/>
      <c r="F132" s="5"/>
      <c r="G132" s="5"/>
    </row>
    <row r="133" spans="1:7">
      <c r="A133" s="11">
        <v>13</v>
      </c>
      <c r="B133" s="12" t="str">
        <f>المدخلات!$F$6</f>
        <v>7:20–8:50 م</v>
      </c>
      <c r="C133" s="12">
        <v>2</v>
      </c>
      <c r="D133" s="12" t="s">
        <v>142</v>
      </c>
      <c r="E133" s="7"/>
      <c r="F133" s="5"/>
      <c r="G133" s="5"/>
    </row>
    <row r="134" spans="1:7">
      <c r="A134" s="11">
        <v>14</v>
      </c>
      <c r="B134" s="12" t="str">
        <f>المدخلات!$F$4</f>
        <v>4:00–5:30 م</v>
      </c>
      <c r="C134" s="12">
        <v>1</v>
      </c>
      <c r="D134" s="12" t="s">
        <v>60</v>
      </c>
      <c r="E134" s="7"/>
      <c r="F134" s="5"/>
      <c r="G134" s="5"/>
    </row>
    <row r="135" spans="1:7">
      <c r="A135" s="11">
        <v>14</v>
      </c>
      <c r="B135" s="12" t="str">
        <f>المدخلات!$F$4</f>
        <v>4:00–5:30 م</v>
      </c>
      <c r="C135" s="12">
        <v>2</v>
      </c>
      <c r="D135" s="12" t="s">
        <v>71</v>
      </c>
      <c r="E135" s="7"/>
      <c r="F135" s="5"/>
      <c r="G135" s="5"/>
    </row>
    <row r="136" spans="1:7">
      <c r="A136" s="11">
        <v>14</v>
      </c>
      <c r="B136" s="12" t="str">
        <f>المدخلات!$F$4</f>
        <v>4:00–5:30 م</v>
      </c>
      <c r="C136" s="12">
        <v>3</v>
      </c>
      <c r="D136" s="12" t="s">
        <v>148</v>
      </c>
      <c r="E136" s="7"/>
      <c r="F136" s="5"/>
      <c r="G136" s="5"/>
    </row>
    <row r="137" spans="1:7">
      <c r="A137" s="11">
        <v>14</v>
      </c>
      <c r="B137" s="12" t="str">
        <f>المدخلات!$F$4</f>
        <v>4:00–5:30 م</v>
      </c>
      <c r="C137" s="12">
        <v>4</v>
      </c>
      <c r="D137" s="12" t="s">
        <v>145</v>
      </c>
      <c r="E137" s="7"/>
      <c r="F137" s="5"/>
      <c r="G137" s="5"/>
    </row>
    <row r="138" spans="1:7">
      <c r="A138" s="11">
        <v>14</v>
      </c>
      <c r="B138" s="12" t="str">
        <f>المدخلات!$F$5</f>
        <v>5:40–7:10 م</v>
      </c>
      <c r="C138" s="12">
        <v>1</v>
      </c>
      <c r="D138" s="12" t="s">
        <v>146</v>
      </c>
      <c r="E138" s="7"/>
      <c r="F138" s="5"/>
      <c r="G138" s="5"/>
    </row>
    <row r="139" spans="1:7">
      <c r="A139" s="11">
        <v>14</v>
      </c>
      <c r="B139" s="12" t="str">
        <f>المدخلات!$F$5</f>
        <v>5:40–7:10 م</v>
      </c>
      <c r="C139" s="12">
        <v>2</v>
      </c>
      <c r="D139" s="12" t="s">
        <v>214</v>
      </c>
      <c r="E139" s="7"/>
      <c r="F139" s="5"/>
      <c r="G139" s="5"/>
    </row>
    <row r="140" spans="1:7">
      <c r="A140" s="11">
        <v>14</v>
      </c>
      <c r="B140" s="12" t="str">
        <f>المدخلات!$F$5</f>
        <v>5:40–7:10 م</v>
      </c>
      <c r="C140" s="12">
        <v>3</v>
      </c>
      <c r="D140" s="12" t="s">
        <v>235</v>
      </c>
      <c r="E140" s="7"/>
      <c r="F140" s="5"/>
      <c r="G140" s="5"/>
    </row>
    <row r="141" spans="1:7">
      <c r="A141" s="11">
        <v>14</v>
      </c>
      <c r="B141" s="12" t="str">
        <f>المدخلات!$F$5</f>
        <v>5:40–7:10 م</v>
      </c>
      <c r="C141" s="12">
        <v>4</v>
      </c>
      <c r="D141" s="12" t="s">
        <v>147</v>
      </c>
      <c r="E141" s="7"/>
      <c r="F141" s="5"/>
      <c r="G141" s="5"/>
    </row>
    <row r="142" spans="1:7">
      <c r="A142" s="11">
        <v>14</v>
      </c>
      <c r="B142" s="12" t="str">
        <f>المدخلات!$F$6</f>
        <v>7:20–8:50 م</v>
      </c>
      <c r="C142" s="12">
        <v>1</v>
      </c>
      <c r="D142" s="12" t="s">
        <v>52</v>
      </c>
      <c r="E142" s="7"/>
      <c r="F142" s="5"/>
      <c r="G142" s="5"/>
    </row>
    <row r="143" spans="1:7">
      <c r="A143" s="11">
        <v>14</v>
      </c>
      <c r="B143" s="12" t="str">
        <f>المدخلات!$F$6</f>
        <v>7:20–8:50 م</v>
      </c>
      <c r="C143" s="12">
        <v>2</v>
      </c>
      <c r="D143" s="12" t="s">
        <v>81</v>
      </c>
      <c r="E143" s="7"/>
      <c r="F143" s="5"/>
      <c r="G143" s="5"/>
    </row>
    <row r="144" spans="1:7">
      <c r="A144" s="11">
        <v>15</v>
      </c>
      <c r="B144" s="12" t="str">
        <f>المدخلات!$F$4</f>
        <v>4:00–5:30 م</v>
      </c>
      <c r="C144" s="12">
        <v>1</v>
      </c>
      <c r="D144" s="12" t="s">
        <v>215</v>
      </c>
      <c r="E144" s="7"/>
      <c r="F144" s="5"/>
      <c r="G144" s="5"/>
    </row>
    <row r="145" spans="1:7">
      <c r="A145" s="11">
        <v>15</v>
      </c>
      <c r="B145" s="12" t="str">
        <f>المدخلات!$F$4</f>
        <v>4:00–5:30 م</v>
      </c>
      <c r="C145" s="12">
        <v>2</v>
      </c>
      <c r="D145" s="12" t="s">
        <v>82</v>
      </c>
      <c r="E145" s="7"/>
      <c r="F145" s="5"/>
      <c r="G145" s="5"/>
    </row>
    <row r="146" spans="1:7">
      <c r="A146" s="11">
        <v>15</v>
      </c>
      <c r="B146" s="12" t="str">
        <f>المدخلات!$F$4</f>
        <v>4:00–5:30 م</v>
      </c>
      <c r="C146" s="12">
        <v>3</v>
      </c>
      <c r="D146" s="12" t="s">
        <v>61</v>
      </c>
      <c r="E146" s="7"/>
      <c r="F146" s="5"/>
      <c r="G146" s="5"/>
    </row>
    <row r="147" spans="1:7">
      <c r="A147" s="11">
        <v>15</v>
      </c>
      <c r="B147" s="12" t="str">
        <f>المدخلات!$F$4</f>
        <v>4:00–5:30 م</v>
      </c>
      <c r="C147" s="12">
        <v>4</v>
      </c>
      <c r="D147" s="12" t="s">
        <v>150</v>
      </c>
      <c r="E147" s="7"/>
      <c r="F147" s="5"/>
      <c r="G147" s="5"/>
    </row>
    <row r="148" spans="1:7">
      <c r="A148" s="11">
        <v>15</v>
      </c>
      <c r="B148" s="12" t="str">
        <f>المدخلات!$F$5</f>
        <v>5:40–7:10 م</v>
      </c>
      <c r="C148" s="12">
        <v>1</v>
      </c>
      <c r="D148" s="12" t="s">
        <v>53</v>
      </c>
      <c r="E148" s="7"/>
      <c r="F148" s="5"/>
      <c r="G148" s="5"/>
    </row>
    <row r="149" spans="1:7">
      <c r="A149" s="11">
        <v>15</v>
      </c>
      <c r="B149" s="12" t="str">
        <f>المدخلات!$F$5</f>
        <v>5:40–7:10 م</v>
      </c>
      <c r="C149" s="12">
        <v>2</v>
      </c>
      <c r="D149" s="12" t="s">
        <v>236</v>
      </c>
      <c r="E149" s="7"/>
      <c r="F149" s="5"/>
      <c r="G149" s="5"/>
    </row>
    <row r="150" spans="1:7">
      <c r="A150" s="11">
        <v>15</v>
      </c>
      <c r="B150" s="12" t="str">
        <f>المدخلات!$F$5</f>
        <v>5:40–7:10 م</v>
      </c>
      <c r="C150" s="12">
        <v>3</v>
      </c>
      <c r="D150" s="12" t="s">
        <v>72</v>
      </c>
      <c r="E150" s="7"/>
      <c r="F150" s="5"/>
      <c r="G150" s="5"/>
    </row>
    <row r="151" spans="1:7">
      <c r="A151" s="11">
        <v>15</v>
      </c>
      <c r="B151" s="12" t="str">
        <f>المدخلات!$F$5</f>
        <v>5:40–7:10 م</v>
      </c>
      <c r="C151" s="12">
        <v>4</v>
      </c>
      <c r="D151" s="12" t="s">
        <v>44</v>
      </c>
      <c r="E151" s="7"/>
      <c r="F151" s="5"/>
      <c r="G151" s="5"/>
    </row>
    <row r="152" spans="1:7">
      <c r="A152" s="11">
        <v>15</v>
      </c>
      <c r="B152" s="12" t="str">
        <f>المدخلات!$F$6</f>
        <v>7:20–8:50 م</v>
      </c>
      <c r="C152" s="12">
        <v>1</v>
      </c>
      <c r="D152" s="12" t="s">
        <v>192</v>
      </c>
      <c r="E152" s="7"/>
      <c r="F152" s="5"/>
      <c r="G152" s="5"/>
    </row>
    <row r="153" spans="1:7">
      <c r="A153" s="11">
        <v>15</v>
      </c>
      <c r="B153" s="12" t="str">
        <f>المدخلات!$F$6</f>
        <v>7:20–8:50 م</v>
      </c>
      <c r="C153" s="12">
        <v>2</v>
      </c>
      <c r="D153" s="12" t="s">
        <v>149</v>
      </c>
      <c r="E153" s="7"/>
      <c r="F153" s="5"/>
      <c r="G153" s="5"/>
    </row>
    <row r="154" spans="1:7">
      <c r="A154" s="11">
        <v>16</v>
      </c>
      <c r="B154" s="12" t="str">
        <f>المدخلات!$F$4</f>
        <v>4:00–5:30 م</v>
      </c>
      <c r="C154" s="12">
        <v>1</v>
      </c>
      <c r="D154" s="12" t="s">
        <v>39</v>
      </c>
      <c r="E154" s="7"/>
      <c r="F154" s="5"/>
      <c r="G154" s="5"/>
    </row>
    <row r="155" spans="1:7">
      <c r="A155" s="11">
        <v>16</v>
      </c>
      <c r="B155" s="12" t="str">
        <f>المدخلات!$F$4</f>
        <v>4:00–5:30 م</v>
      </c>
      <c r="C155" s="12">
        <v>2</v>
      </c>
      <c r="D155" s="12" t="s">
        <v>237</v>
      </c>
      <c r="E155" s="7"/>
      <c r="F155" s="5"/>
      <c r="G155" s="5"/>
    </row>
    <row r="156" spans="1:7">
      <c r="A156" s="11">
        <v>16</v>
      </c>
      <c r="B156" s="12" t="str">
        <f>المدخلات!$F$4</f>
        <v>4:00–5:30 م</v>
      </c>
      <c r="C156" s="12">
        <v>3</v>
      </c>
      <c r="D156" s="12" t="s">
        <v>73</v>
      </c>
      <c r="E156" s="7"/>
      <c r="F156" s="5"/>
      <c r="G156" s="5"/>
    </row>
    <row r="157" spans="1:7">
      <c r="A157" s="11">
        <v>16</v>
      </c>
      <c r="B157" s="12" t="str">
        <f>المدخلات!$F$4</f>
        <v>4:00–5:30 م</v>
      </c>
      <c r="C157" s="12">
        <v>4</v>
      </c>
      <c r="D157" s="12" t="s">
        <v>216</v>
      </c>
      <c r="E157" s="7"/>
      <c r="F157" s="5"/>
      <c r="G157" s="5"/>
    </row>
    <row r="158" spans="1:7">
      <c r="A158" s="11">
        <v>16</v>
      </c>
      <c r="B158" s="12" t="str">
        <f>المدخلات!$F$5</f>
        <v>5:40–7:10 م</v>
      </c>
      <c r="C158" s="12">
        <v>1</v>
      </c>
      <c r="D158" s="12" t="s">
        <v>83</v>
      </c>
      <c r="E158" s="7"/>
      <c r="F158" s="5"/>
      <c r="G158" s="5"/>
    </row>
    <row r="159" spans="1:7">
      <c r="A159" s="11">
        <v>16</v>
      </c>
      <c r="B159" s="12" t="str">
        <f>المدخلات!$F$5</f>
        <v>5:40–7:10 م</v>
      </c>
      <c r="C159" s="12">
        <v>2</v>
      </c>
      <c r="D159" s="12" t="s">
        <v>167</v>
      </c>
      <c r="E159" s="7"/>
      <c r="F159" s="5"/>
      <c r="G159" s="5"/>
    </row>
    <row r="160" spans="1:7">
      <c r="A160" s="11">
        <v>16</v>
      </c>
      <c r="B160" s="12" t="str">
        <f>المدخلات!$F$5</f>
        <v>5:40–7:10 م</v>
      </c>
      <c r="C160" s="12">
        <v>3</v>
      </c>
      <c r="D160" s="12" t="s">
        <v>62</v>
      </c>
      <c r="E160" s="7"/>
      <c r="F160" s="5"/>
      <c r="G160" s="5"/>
    </row>
    <row r="161" spans="1:7">
      <c r="A161" s="11">
        <v>16</v>
      </c>
      <c r="B161" s="12" t="str">
        <f>المدخلات!$F$5</f>
        <v>5:40–7:10 م</v>
      </c>
      <c r="C161" s="12">
        <v>4</v>
      </c>
      <c r="D161" s="12" t="s">
        <v>193</v>
      </c>
      <c r="E161" s="7"/>
      <c r="F161" s="5"/>
      <c r="G161" s="5"/>
    </row>
    <row r="162" spans="1:7">
      <c r="A162" s="11">
        <v>16</v>
      </c>
      <c r="B162" s="12" t="str">
        <f>المدخلات!$F$6</f>
        <v>7:20–8:50 م</v>
      </c>
      <c r="C162" s="12">
        <v>1</v>
      </c>
      <c r="D162" s="12" t="s">
        <v>45</v>
      </c>
      <c r="E162" s="7"/>
      <c r="F162" s="5"/>
      <c r="G162" s="5"/>
    </row>
    <row r="163" spans="1:7">
      <c r="A163" s="11">
        <v>16</v>
      </c>
      <c r="B163" s="12" t="str">
        <f>المدخلات!$F$6</f>
        <v>7:20–8:50 م</v>
      </c>
      <c r="C163" s="12">
        <v>2</v>
      </c>
      <c r="D163" s="12" t="s">
        <v>54</v>
      </c>
      <c r="E163" s="7"/>
      <c r="F163" s="5"/>
      <c r="G163" s="5"/>
    </row>
    <row r="164" spans="1:7">
      <c r="A164" s="11">
        <v>17</v>
      </c>
      <c r="B164" s="12" t="str">
        <f>المدخلات!$F$4</f>
        <v>4:00–5:30 م</v>
      </c>
      <c r="C164" s="12">
        <v>1</v>
      </c>
      <c r="D164" s="12" t="s">
        <v>151</v>
      </c>
      <c r="E164" s="7"/>
      <c r="F164" s="5"/>
      <c r="G164" s="5"/>
    </row>
    <row r="165" spans="1:7">
      <c r="A165" s="11">
        <v>17</v>
      </c>
      <c r="B165" s="12" t="str">
        <f>المدخلات!$F$4</f>
        <v>4:00–5:30 م</v>
      </c>
      <c r="C165" s="12">
        <v>2</v>
      </c>
      <c r="D165" s="12" t="s">
        <v>63</v>
      </c>
      <c r="E165" s="7"/>
      <c r="F165" s="5"/>
      <c r="G165" s="5"/>
    </row>
    <row r="166" spans="1:7">
      <c r="A166" s="11">
        <v>17</v>
      </c>
      <c r="B166" s="12" t="str">
        <f>المدخلات!$F$4</f>
        <v>4:00–5:30 م</v>
      </c>
      <c r="C166" s="12">
        <v>3</v>
      </c>
      <c r="D166" s="12" t="s">
        <v>194</v>
      </c>
      <c r="E166" s="7"/>
      <c r="F166" s="5"/>
      <c r="G166" s="5"/>
    </row>
    <row r="167" spans="1:7">
      <c r="A167" s="11">
        <v>17</v>
      </c>
      <c r="B167" s="12" t="str">
        <f>المدخلات!$F$4</f>
        <v>4:00–5:30 م</v>
      </c>
      <c r="C167" s="12">
        <v>4</v>
      </c>
      <c r="D167" s="12" t="s">
        <v>168</v>
      </c>
      <c r="E167" s="7"/>
      <c r="F167" s="5"/>
      <c r="G167" s="5"/>
    </row>
    <row r="168" spans="1:7">
      <c r="A168" s="11">
        <v>17</v>
      </c>
      <c r="B168" s="12" t="str">
        <f>المدخلات!$F$5</f>
        <v>5:40–7:10 م</v>
      </c>
      <c r="C168" s="12">
        <v>1</v>
      </c>
      <c r="D168" s="12" t="s">
        <v>40</v>
      </c>
      <c r="E168" s="7"/>
      <c r="F168" s="5"/>
      <c r="G168" s="5"/>
    </row>
    <row r="169" spans="1:7">
      <c r="A169" s="11">
        <v>17</v>
      </c>
      <c r="B169" s="12" t="str">
        <f>المدخلات!$F$5</f>
        <v>5:40–7:10 م</v>
      </c>
      <c r="C169" s="12">
        <v>2</v>
      </c>
      <c r="D169" s="12" t="s">
        <v>55</v>
      </c>
      <c r="E169" s="7"/>
      <c r="F169" s="5"/>
      <c r="G169" s="5"/>
    </row>
    <row r="170" spans="1:7">
      <c r="A170" s="11">
        <v>17</v>
      </c>
      <c r="B170" s="12" t="str">
        <f>المدخلات!$F$5</f>
        <v>5:40–7:10 م</v>
      </c>
      <c r="C170" s="12">
        <v>3</v>
      </c>
      <c r="D170" s="12" t="s">
        <v>238</v>
      </c>
      <c r="E170" s="7"/>
      <c r="F170" s="5"/>
      <c r="G170" s="5"/>
    </row>
    <row r="171" spans="1:7">
      <c r="A171" s="11">
        <v>17</v>
      </c>
      <c r="B171" s="12" t="str">
        <f>المدخلات!$F$5</f>
        <v>5:40–7:10 م</v>
      </c>
      <c r="C171" s="12">
        <v>4</v>
      </c>
      <c r="D171" s="12" t="s">
        <v>18</v>
      </c>
      <c r="E171" s="7"/>
      <c r="F171" s="5"/>
      <c r="G171" s="5"/>
    </row>
    <row r="172" spans="1:7">
      <c r="A172" s="11">
        <v>17</v>
      </c>
      <c r="B172" s="12" t="str">
        <f>المدخلات!$F$6</f>
        <v>7:20–8:50 م</v>
      </c>
      <c r="C172" s="12">
        <v>1</v>
      </c>
      <c r="D172" s="12" t="s">
        <v>217</v>
      </c>
      <c r="E172" s="7"/>
      <c r="F172" s="5"/>
      <c r="G172" s="5"/>
    </row>
    <row r="173" spans="1:7">
      <c r="A173" s="11">
        <v>17</v>
      </c>
      <c r="B173" s="12" t="str">
        <f>المدخلات!$F$6</f>
        <v>7:20–8:50 م</v>
      </c>
      <c r="C173" s="12">
        <v>2</v>
      </c>
      <c r="D173" s="12" t="s">
        <v>46</v>
      </c>
      <c r="E173" s="7"/>
      <c r="F173" s="5"/>
      <c r="G173" s="5"/>
    </row>
    <row r="174" spans="1:7">
      <c r="A174" s="11">
        <v>18</v>
      </c>
      <c r="B174" s="12" t="str">
        <f>المدخلات!$F$4</f>
        <v>4:00–5:30 م</v>
      </c>
      <c r="C174" s="12">
        <v>1</v>
      </c>
      <c r="D174" s="12" t="s">
        <v>22</v>
      </c>
      <c r="E174" s="7"/>
      <c r="F174" s="5"/>
      <c r="G174" s="5"/>
    </row>
    <row r="175" spans="1:7">
      <c r="A175" s="11">
        <v>18</v>
      </c>
      <c r="B175" s="12" t="str">
        <f>المدخلات!$F$4</f>
        <v>4:00–5:30 م</v>
      </c>
      <c r="C175" s="12">
        <v>2</v>
      </c>
      <c r="D175" s="12" t="s">
        <v>21</v>
      </c>
      <c r="E175" s="7"/>
      <c r="F175" s="5"/>
      <c r="G175" s="5"/>
    </row>
    <row r="176" spans="1:7">
      <c r="A176" s="11">
        <v>18</v>
      </c>
      <c r="B176" s="12" t="str">
        <f>المدخلات!$F$4</f>
        <v>4:00–5:30 م</v>
      </c>
      <c r="C176" s="12">
        <v>3</v>
      </c>
      <c r="D176" s="12" t="s">
        <v>164</v>
      </c>
      <c r="E176" s="7"/>
      <c r="F176" s="5"/>
      <c r="G176" s="5"/>
    </row>
    <row r="177" spans="1:7">
      <c r="A177" s="11">
        <v>18</v>
      </c>
      <c r="B177" s="12" t="str">
        <f>المدخلات!$F$4</f>
        <v>4:00–5:30 م</v>
      </c>
      <c r="C177" s="12">
        <v>4</v>
      </c>
      <c r="D177" s="12" t="s">
        <v>41</v>
      </c>
      <c r="E177" s="7"/>
      <c r="F177" s="5"/>
      <c r="G177" s="5"/>
    </row>
    <row r="178" spans="1:7">
      <c r="A178" s="11">
        <v>18</v>
      </c>
      <c r="B178" s="12" t="str">
        <f>المدخلات!$F$5</f>
        <v>5:40–7:10 م</v>
      </c>
      <c r="C178" s="12">
        <v>1</v>
      </c>
      <c r="D178" s="12" t="s">
        <v>218</v>
      </c>
      <c r="E178" s="7"/>
      <c r="F178" s="5"/>
      <c r="G178" s="5"/>
    </row>
    <row r="179" spans="1:7">
      <c r="A179" s="11">
        <v>18</v>
      </c>
      <c r="B179" s="12" t="str">
        <f>المدخلات!$F$5</f>
        <v>5:40–7:10 م</v>
      </c>
      <c r="C179" s="12">
        <v>2</v>
      </c>
      <c r="D179" s="12" t="s">
        <v>114</v>
      </c>
      <c r="E179" s="7"/>
      <c r="F179" s="5"/>
      <c r="G179" s="5"/>
    </row>
    <row r="180" spans="1:7">
      <c r="A180" s="11">
        <v>18</v>
      </c>
      <c r="B180" s="12" t="str">
        <f>المدخلات!$F$5</f>
        <v>5:40–7:10 م</v>
      </c>
      <c r="C180" s="12">
        <v>3</v>
      </c>
      <c r="D180" s="12" t="s">
        <v>47</v>
      </c>
      <c r="E180" s="7"/>
      <c r="F180" s="5"/>
      <c r="G180" s="5"/>
    </row>
    <row r="181" spans="1:7">
      <c r="A181" s="11">
        <v>18</v>
      </c>
      <c r="B181" s="12" t="str">
        <f>المدخلات!$F$5</f>
        <v>5:40–7:10 م</v>
      </c>
      <c r="C181" s="12">
        <v>4</v>
      </c>
      <c r="D181" s="12" t="s">
        <v>152</v>
      </c>
      <c r="E181" s="7"/>
      <c r="F181" s="5"/>
      <c r="G181" s="5"/>
    </row>
    <row r="182" spans="1:7">
      <c r="A182" s="11">
        <v>18</v>
      </c>
      <c r="B182" s="12" t="str">
        <f>المدخلات!$F$6</f>
        <v>7:20–8:50 م</v>
      </c>
      <c r="C182" s="12">
        <v>1</v>
      </c>
      <c r="D182" s="12" t="s">
        <v>239</v>
      </c>
      <c r="E182" s="7"/>
      <c r="F182" s="5"/>
      <c r="G182" s="5"/>
    </row>
    <row r="183" spans="1:7">
      <c r="A183" s="11">
        <v>18</v>
      </c>
      <c r="B183" s="12" t="str">
        <f>المدخلات!$F$6</f>
        <v>7:20–8:50 م</v>
      </c>
      <c r="C183" s="12">
        <v>2</v>
      </c>
      <c r="D183" s="12" t="s">
        <v>195</v>
      </c>
      <c r="E183" s="7"/>
      <c r="F183" s="5"/>
      <c r="G183" s="5"/>
    </row>
    <row r="184" spans="1:7">
      <c r="A184" s="11">
        <v>19</v>
      </c>
      <c r="B184" s="12" t="str">
        <f>المدخلات!$F$4</f>
        <v>4:00–5:30 م</v>
      </c>
      <c r="C184" s="12">
        <v>1</v>
      </c>
      <c r="D184" s="12" t="s">
        <v>25</v>
      </c>
      <c r="E184" s="7"/>
      <c r="F184" s="5"/>
      <c r="G184" s="5"/>
    </row>
    <row r="185" spans="1:7">
      <c r="A185" s="11">
        <v>19</v>
      </c>
      <c r="B185" s="12" t="str">
        <f>المدخلات!$F$4</f>
        <v>4:00–5:30 م</v>
      </c>
      <c r="C185" s="12">
        <v>2</v>
      </c>
      <c r="D185" s="12" t="s">
        <v>240</v>
      </c>
      <c r="E185" s="7"/>
      <c r="F185" s="5"/>
      <c r="G185" s="5"/>
    </row>
    <row r="186" spans="1:7">
      <c r="A186" s="11">
        <v>19</v>
      </c>
      <c r="B186" s="12" t="str">
        <f>المدخلات!$F$4</f>
        <v>4:00–5:30 م</v>
      </c>
      <c r="C186" s="12">
        <v>3</v>
      </c>
      <c r="D186" s="12" t="s">
        <v>153</v>
      </c>
      <c r="E186" s="7"/>
      <c r="F186" s="5"/>
      <c r="G186" s="5"/>
    </row>
    <row r="187" spans="1:7">
      <c r="A187" s="11">
        <v>19</v>
      </c>
      <c r="B187" s="12" t="str">
        <f>المدخلات!$F$4</f>
        <v>4:00–5:30 م</v>
      </c>
      <c r="C187" s="12">
        <v>4</v>
      </c>
      <c r="D187" s="12" t="s">
        <v>219</v>
      </c>
      <c r="E187" s="7"/>
      <c r="F187" s="5"/>
      <c r="G187" s="5"/>
    </row>
    <row r="188" spans="1:7">
      <c r="A188" s="11">
        <v>19</v>
      </c>
      <c r="B188" s="12" t="str">
        <f>المدخلات!$F$5</f>
        <v>5:40–7:10 م</v>
      </c>
      <c r="C188" s="12">
        <v>1</v>
      </c>
      <c r="D188" s="12" t="s">
        <v>115</v>
      </c>
      <c r="E188" s="7"/>
      <c r="F188" s="5"/>
      <c r="G188" s="5"/>
    </row>
    <row r="189" spans="1:7">
      <c r="A189" s="11">
        <v>19</v>
      </c>
      <c r="B189" s="12" t="str">
        <f>المدخلات!$F$5</f>
        <v>5:40–7:10 م</v>
      </c>
      <c r="C189" s="12">
        <v>2</v>
      </c>
      <c r="D189" s="12" t="s">
        <v>196</v>
      </c>
      <c r="E189" s="7"/>
      <c r="F189" s="5"/>
      <c r="G189" s="5"/>
    </row>
    <row r="190" spans="1:7">
      <c r="A190" s="11">
        <v>19</v>
      </c>
      <c r="B190" s="12" t="str">
        <f>المدخلات!$F$5</f>
        <v>5:40–7:10 م</v>
      </c>
      <c r="C190" s="12">
        <v>3</v>
      </c>
      <c r="D190" s="12" t="s">
        <v>24</v>
      </c>
      <c r="E190" s="7"/>
      <c r="F190" s="5"/>
      <c r="G190" s="5"/>
    </row>
    <row r="191" spans="1:7">
      <c r="A191" s="11">
        <v>19</v>
      </c>
      <c r="B191" s="12" t="str">
        <f>المدخلات!$F$5</f>
        <v>5:40–7:10 م</v>
      </c>
      <c r="C191" s="12">
        <v>4</v>
      </c>
      <c r="D191" s="12" t="s">
        <v>26</v>
      </c>
      <c r="E191" s="7"/>
      <c r="F191" s="5"/>
      <c r="G191" s="5"/>
    </row>
    <row r="192" spans="1:7">
      <c r="A192" s="11">
        <v>19</v>
      </c>
      <c r="B192" s="12" t="str">
        <f>المدخلات!$F$6</f>
        <v>7:20–8:50 م</v>
      </c>
      <c r="C192" s="12">
        <v>1</v>
      </c>
      <c r="D192" s="12" t="s">
        <v>108</v>
      </c>
      <c r="E192" s="7"/>
      <c r="F192" s="5"/>
      <c r="G192" s="5"/>
    </row>
    <row r="193" spans="1:7">
      <c r="A193" s="11">
        <v>19</v>
      </c>
      <c r="B193" s="12" t="str">
        <f>المدخلات!$F$6</f>
        <v>7:20–8:50 م</v>
      </c>
      <c r="C193" s="12">
        <v>2</v>
      </c>
      <c r="D193" s="12" t="s">
        <v>197</v>
      </c>
      <c r="E193" s="7"/>
      <c r="F193" s="5"/>
      <c r="G193" s="5"/>
    </row>
    <row r="194" spans="1:7">
      <c r="A194" s="11">
        <v>20</v>
      </c>
      <c r="B194" s="12" t="str">
        <f>المدخلات!$F$4</f>
        <v>4:00–5:30 م</v>
      </c>
      <c r="C194" s="12">
        <v>1</v>
      </c>
      <c r="D194" s="12" t="s">
        <v>199</v>
      </c>
      <c r="E194" s="7"/>
      <c r="F194" s="5"/>
      <c r="G194" s="5"/>
    </row>
    <row r="195" spans="1:7">
      <c r="A195" s="11">
        <v>20</v>
      </c>
      <c r="B195" s="12" t="str">
        <f>المدخلات!$F$4</f>
        <v>4:00–5:30 م</v>
      </c>
      <c r="C195" s="12">
        <v>2</v>
      </c>
      <c r="D195" s="12" t="s">
        <v>116</v>
      </c>
      <c r="E195" s="7"/>
      <c r="F195" s="5"/>
      <c r="G195" s="5"/>
    </row>
    <row r="196" spans="1:7">
      <c r="A196" s="11">
        <v>20</v>
      </c>
      <c r="B196" s="12" t="str">
        <f>المدخلات!$F$4</f>
        <v>4:00–5:30 م</v>
      </c>
      <c r="C196" s="12">
        <v>3</v>
      </c>
      <c r="D196" s="12" t="s">
        <v>198</v>
      </c>
      <c r="E196" s="7"/>
      <c r="F196" s="5"/>
      <c r="G196" s="5"/>
    </row>
    <row r="197" spans="1:7">
      <c r="A197" s="11">
        <v>20</v>
      </c>
      <c r="B197" s="12" t="str">
        <f>المدخلات!$F$4</f>
        <v>4:00–5:30 م</v>
      </c>
      <c r="C197" s="12">
        <v>4</v>
      </c>
      <c r="D197" s="12" t="s">
        <v>241</v>
      </c>
      <c r="E197" s="7"/>
      <c r="F197" s="5"/>
      <c r="G197" s="5"/>
    </row>
    <row r="198" spans="1:7">
      <c r="A198" s="11">
        <v>20</v>
      </c>
      <c r="B198" s="12" t="str">
        <f>المدخلات!$F$5</f>
        <v>5:40–7:10 م</v>
      </c>
      <c r="C198" s="12">
        <v>1</v>
      </c>
      <c r="D198" s="12" t="s">
        <v>109</v>
      </c>
      <c r="E198" s="7"/>
      <c r="F198" s="5"/>
      <c r="G198" s="5"/>
    </row>
    <row r="199" spans="1:7">
      <c r="A199" s="11">
        <v>20</v>
      </c>
      <c r="B199" s="12" t="str">
        <f>المدخلات!$F$5</f>
        <v>5:40–7:10 م</v>
      </c>
      <c r="C199" s="12">
        <v>2</v>
      </c>
      <c r="D199" s="12" t="s">
        <v>102</v>
      </c>
      <c r="E199" s="7"/>
      <c r="F199" s="5"/>
      <c r="G199" s="5"/>
    </row>
    <row r="200" spans="1:7">
      <c r="A200" s="11">
        <v>20</v>
      </c>
      <c r="B200" s="12" t="str">
        <f>المدخلات!$F$5</f>
        <v>5:40–7:10 م</v>
      </c>
      <c r="C200" s="12">
        <v>3</v>
      </c>
      <c r="D200" s="12" t="s">
        <v>27</v>
      </c>
      <c r="E200" s="7"/>
      <c r="F200" s="5"/>
      <c r="G200" s="5"/>
    </row>
    <row r="201" spans="1:7">
      <c r="A201" s="11">
        <v>20</v>
      </c>
      <c r="B201" s="12" t="str">
        <f>المدخلات!$F$5</f>
        <v>5:40–7:10 م</v>
      </c>
      <c r="C201" s="12">
        <v>4</v>
      </c>
      <c r="D201" s="12" t="s">
        <v>154</v>
      </c>
      <c r="E201" s="7"/>
      <c r="F201" s="5"/>
      <c r="G201" s="5"/>
    </row>
    <row r="202" spans="1:7">
      <c r="A202" s="11">
        <v>20</v>
      </c>
      <c r="B202" s="12" t="str">
        <f>المدخلات!$F$6</f>
        <v>7:20–8:50 م</v>
      </c>
      <c r="C202" s="12">
        <v>1</v>
      </c>
      <c r="D202" s="12" t="s">
        <v>28</v>
      </c>
      <c r="E202" s="7"/>
      <c r="F202" s="5"/>
      <c r="G202" s="5"/>
    </row>
    <row r="203" spans="1:7">
      <c r="A203" s="11">
        <v>20</v>
      </c>
      <c r="B203" s="12" t="str">
        <f>المدخلات!$F$6</f>
        <v>7:20–8:50 م</v>
      </c>
      <c r="C203" s="12">
        <v>2</v>
      </c>
      <c r="D203" s="12" t="s">
        <v>220</v>
      </c>
      <c r="E203" s="7"/>
      <c r="F203" s="5"/>
      <c r="G203" s="5"/>
    </row>
    <row r="204" spans="1:7">
      <c r="A204" s="11">
        <v>21</v>
      </c>
      <c r="B204" s="12" t="str">
        <f>المدخلات!$F$4</f>
        <v>4:00–5:30 م</v>
      </c>
      <c r="C204" s="12">
        <v>1</v>
      </c>
      <c r="D204" s="12" t="s">
        <v>200</v>
      </c>
      <c r="E204" s="7"/>
      <c r="F204" s="5"/>
      <c r="G204" s="5"/>
    </row>
    <row r="205" spans="1:7">
      <c r="A205" s="11">
        <v>21</v>
      </c>
      <c r="B205" s="12" t="str">
        <f>المدخلات!$F$4</f>
        <v>4:00–5:30 م</v>
      </c>
      <c r="C205" s="12">
        <v>2</v>
      </c>
      <c r="D205" s="12" t="s">
        <v>30</v>
      </c>
      <c r="E205" s="7"/>
      <c r="F205" s="5"/>
      <c r="G205" s="5"/>
    </row>
    <row r="206" spans="1:7">
      <c r="A206" s="11">
        <v>21</v>
      </c>
      <c r="B206" s="12" t="str">
        <f>المدخلات!$F$4</f>
        <v>4:00–5:30 م</v>
      </c>
      <c r="C206" s="12">
        <v>3</v>
      </c>
      <c r="D206" s="12" t="s">
        <v>104</v>
      </c>
      <c r="E206" s="7"/>
      <c r="F206" s="5"/>
      <c r="G206" s="5"/>
    </row>
    <row r="207" spans="1:7">
      <c r="A207" s="11">
        <v>21</v>
      </c>
      <c r="B207" s="12" t="str">
        <f>المدخلات!$F$4</f>
        <v>4:00–5:30 م</v>
      </c>
      <c r="C207" s="12">
        <v>4</v>
      </c>
      <c r="D207" s="12" t="s">
        <v>93</v>
      </c>
      <c r="E207" s="7"/>
      <c r="F207" s="5"/>
      <c r="G207" s="5"/>
    </row>
    <row r="208" spans="1:7">
      <c r="A208" s="11">
        <v>21</v>
      </c>
      <c r="B208" s="12" t="str">
        <f>المدخلات!$F$5</f>
        <v>5:40–7:10 م</v>
      </c>
      <c r="C208" s="12">
        <v>1</v>
      </c>
      <c r="D208" s="12" t="s">
        <v>242</v>
      </c>
      <c r="E208" s="7"/>
      <c r="F208" s="5"/>
      <c r="G208" s="5"/>
    </row>
    <row r="209" spans="1:22">
      <c r="A209" s="11">
        <v>21</v>
      </c>
      <c r="B209" s="12" t="str">
        <f>المدخلات!$F$5</f>
        <v>5:40–7:10 م</v>
      </c>
      <c r="C209" s="12">
        <v>2</v>
      </c>
      <c r="D209" s="12" t="s">
        <v>155</v>
      </c>
      <c r="E209" s="7"/>
      <c r="F209" s="5"/>
      <c r="G209" s="5"/>
    </row>
    <row r="210" spans="1:22">
      <c r="A210" s="11">
        <v>21</v>
      </c>
      <c r="B210" s="12" t="str">
        <f>المدخلات!$F$5</f>
        <v>5:40–7:10 م</v>
      </c>
      <c r="C210" s="12">
        <v>3</v>
      </c>
      <c r="D210" s="12" t="s">
        <v>221</v>
      </c>
      <c r="E210" s="7"/>
      <c r="F210" s="5"/>
      <c r="G210" s="5"/>
    </row>
    <row r="211" spans="1:22">
      <c r="A211" s="11">
        <v>21</v>
      </c>
      <c r="B211" s="12" t="str">
        <f>المدخلات!$F$5</f>
        <v>5:40–7:10 م</v>
      </c>
      <c r="C211" s="12">
        <v>4</v>
      </c>
      <c r="D211" s="12" t="s">
        <v>201</v>
      </c>
      <c r="E211" s="7"/>
      <c r="F211" s="5"/>
      <c r="G211" s="5"/>
    </row>
    <row r="212" spans="1:22">
      <c r="A212" s="11">
        <v>21</v>
      </c>
      <c r="B212" s="12" t="str">
        <f>المدخلات!$F$6</f>
        <v>7:20–8:50 م</v>
      </c>
      <c r="C212" s="12">
        <v>1</v>
      </c>
      <c r="D212" s="12" t="s">
        <v>103</v>
      </c>
      <c r="E212" s="7"/>
      <c r="F212" s="5"/>
      <c r="G212" s="5"/>
    </row>
    <row r="213" spans="1:22">
      <c r="A213" s="11">
        <v>21</v>
      </c>
      <c r="B213" s="12" t="str">
        <f>المدخلات!$F$6</f>
        <v>7:20–8:50 م</v>
      </c>
      <c r="C213" s="12">
        <v>2</v>
      </c>
      <c r="D213" s="12" t="s">
        <v>110</v>
      </c>
      <c r="E213" s="7"/>
      <c r="F213" s="5"/>
      <c r="G213" s="5"/>
    </row>
    <row r="214" spans="1:22">
      <c r="A214" s="5"/>
      <c r="B214" s="5"/>
      <c r="C214" s="5"/>
      <c r="D214" s="5"/>
      <c r="E214" s="5"/>
      <c r="F214" s="5"/>
      <c r="G214" s="5"/>
    </row>
    <row r="215" spans="1:22">
      <c r="A215" s="5"/>
      <c r="B215" s="5"/>
      <c r="C215" s="5"/>
      <c r="D215" s="5"/>
      <c r="E215" s="5"/>
      <c r="F215" s="5"/>
      <c r="G215" s="5"/>
    </row>
    <row r="216" spans="1:22" ht="15.5">
      <c r="A216" s="52" t="s">
        <v>363</v>
      </c>
      <c r="B216" s="52"/>
      <c r="C216" s="52"/>
      <c r="D216" s="52"/>
      <c r="E216" s="52"/>
      <c r="F216" s="52"/>
      <c r="G216" s="52"/>
      <c r="H216" s="52"/>
      <c r="I216" s="52"/>
      <c r="J216" s="52"/>
      <c r="K216" s="52"/>
      <c r="L216" s="52"/>
      <c r="M216" s="52"/>
      <c r="N216" s="52"/>
      <c r="O216" s="52"/>
      <c r="P216" s="52"/>
      <c r="Q216" s="52"/>
      <c r="R216" s="52"/>
      <c r="S216" s="52"/>
      <c r="T216" s="52"/>
      <c r="U216" s="52"/>
      <c r="V216" s="52"/>
    </row>
    <row r="217" spans="1:22">
      <c r="A217" s="9" t="s">
        <v>362</v>
      </c>
      <c r="B217" s="9">
        <v>1</v>
      </c>
      <c r="C217" s="9">
        <v>2</v>
      </c>
      <c r="D217" s="9">
        <v>3</v>
      </c>
      <c r="E217" s="9">
        <v>4</v>
      </c>
      <c r="F217" s="9">
        <v>5</v>
      </c>
      <c r="G217" s="9">
        <v>6</v>
      </c>
      <c r="H217" s="9">
        <v>7</v>
      </c>
      <c r="I217" s="9">
        <v>8</v>
      </c>
      <c r="J217" s="9">
        <v>9</v>
      </c>
      <c r="K217" s="9">
        <v>10</v>
      </c>
      <c r="L217" s="9">
        <v>11</v>
      </c>
      <c r="M217" s="9">
        <v>12</v>
      </c>
      <c r="N217" s="9">
        <v>13</v>
      </c>
      <c r="O217" s="9">
        <v>14</v>
      </c>
      <c r="P217" s="9">
        <v>15</v>
      </c>
      <c r="Q217" s="9">
        <v>16</v>
      </c>
      <c r="R217" s="9">
        <v>17</v>
      </c>
      <c r="S217" s="9">
        <v>18</v>
      </c>
      <c r="T217" s="9">
        <v>19</v>
      </c>
      <c r="U217" s="9">
        <v>20</v>
      </c>
      <c r="V217" s="9">
        <v>21</v>
      </c>
    </row>
    <row r="218" spans="1:22">
      <c r="A218" s="9">
        <v>1</v>
      </c>
      <c r="B218" s="12" t="str">
        <f t="shared" ref="B218:K227" si="0">IF($A218=B$217,"",COUNTIF($D$4:$D$213,$A218&amp;" ضد "&amp;B$217)+COUNTIF($D$4:$D$213,B$217&amp;" ضد "&amp;$A218))</f>
        <v/>
      </c>
      <c r="C218" s="12">
        <f t="shared" si="0"/>
        <v>1</v>
      </c>
      <c r="D218" s="12">
        <f t="shared" si="0"/>
        <v>1</v>
      </c>
      <c r="E218" s="12">
        <f t="shared" si="0"/>
        <v>1</v>
      </c>
      <c r="F218" s="12">
        <f t="shared" si="0"/>
        <v>1</v>
      </c>
      <c r="G218" s="12">
        <f t="shared" si="0"/>
        <v>1</v>
      </c>
      <c r="H218" s="12">
        <f t="shared" si="0"/>
        <v>1</v>
      </c>
      <c r="I218" s="12">
        <f t="shared" si="0"/>
        <v>1</v>
      </c>
      <c r="J218" s="12">
        <f t="shared" si="0"/>
        <v>1</v>
      </c>
      <c r="K218" s="12">
        <f t="shared" si="0"/>
        <v>1</v>
      </c>
      <c r="L218" s="12">
        <f t="shared" ref="L218:V227" si="1">IF($A218=L$217,"",COUNTIF($D$4:$D$213,$A218&amp;" ضد "&amp;L$217)+COUNTIF($D$4:$D$213,L$217&amp;" ضد "&amp;$A218))</f>
        <v>1</v>
      </c>
      <c r="M218" s="12">
        <f t="shared" si="1"/>
        <v>1</v>
      </c>
      <c r="N218" s="12">
        <f t="shared" si="1"/>
        <v>1</v>
      </c>
      <c r="O218" s="12">
        <f t="shared" si="1"/>
        <v>1</v>
      </c>
      <c r="P218" s="12">
        <f t="shared" si="1"/>
        <v>1</v>
      </c>
      <c r="Q218" s="12">
        <f t="shared" si="1"/>
        <v>1</v>
      </c>
      <c r="R218" s="12">
        <f t="shared" si="1"/>
        <v>1</v>
      </c>
      <c r="S218" s="12">
        <f t="shared" si="1"/>
        <v>1</v>
      </c>
      <c r="T218" s="12">
        <f t="shared" si="1"/>
        <v>1</v>
      </c>
      <c r="U218" s="12">
        <f t="shared" si="1"/>
        <v>1</v>
      </c>
      <c r="V218" s="12">
        <f t="shared" si="1"/>
        <v>1</v>
      </c>
    </row>
    <row r="219" spans="1:22">
      <c r="A219" s="9">
        <v>2</v>
      </c>
      <c r="B219" s="12">
        <f t="shared" si="0"/>
        <v>1</v>
      </c>
      <c r="C219" s="12" t="str">
        <f t="shared" si="0"/>
        <v/>
      </c>
      <c r="D219" s="12">
        <f t="shared" si="0"/>
        <v>1</v>
      </c>
      <c r="E219" s="12">
        <f t="shared" si="0"/>
        <v>1</v>
      </c>
      <c r="F219" s="12">
        <f t="shared" si="0"/>
        <v>1</v>
      </c>
      <c r="G219" s="12">
        <f t="shared" si="0"/>
        <v>1</v>
      </c>
      <c r="H219" s="12">
        <f t="shared" si="0"/>
        <v>1</v>
      </c>
      <c r="I219" s="12">
        <f t="shared" si="0"/>
        <v>1</v>
      </c>
      <c r="J219" s="12">
        <f t="shared" si="0"/>
        <v>1</v>
      </c>
      <c r="K219" s="12">
        <f t="shared" si="0"/>
        <v>1</v>
      </c>
      <c r="L219" s="12">
        <f t="shared" si="1"/>
        <v>1</v>
      </c>
      <c r="M219" s="12">
        <f t="shared" si="1"/>
        <v>1</v>
      </c>
      <c r="N219" s="12">
        <f t="shared" si="1"/>
        <v>1</v>
      </c>
      <c r="O219" s="12">
        <f t="shared" si="1"/>
        <v>1</v>
      </c>
      <c r="P219" s="12">
        <f t="shared" si="1"/>
        <v>1</v>
      </c>
      <c r="Q219" s="12">
        <f t="shared" si="1"/>
        <v>1</v>
      </c>
      <c r="R219" s="12">
        <f t="shared" si="1"/>
        <v>1</v>
      </c>
      <c r="S219" s="12">
        <f t="shared" si="1"/>
        <v>1</v>
      </c>
      <c r="T219" s="12">
        <f t="shared" si="1"/>
        <v>1</v>
      </c>
      <c r="U219" s="12">
        <f t="shared" si="1"/>
        <v>1</v>
      </c>
      <c r="V219" s="12">
        <f t="shared" si="1"/>
        <v>1</v>
      </c>
    </row>
    <row r="220" spans="1:22">
      <c r="A220" s="9">
        <v>3</v>
      </c>
      <c r="B220" s="12">
        <f t="shared" si="0"/>
        <v>1</v>
      </c>
      <c r="C220" s="12">
        <f t="shared" si="0"/>
        <v>1</v>
      </c>
      <c r="D220" s="12" t="str">
        <f t="shared" si="0"/>
        <v/>
      </c>
      <c r="E220" s="12">
        <f t="shared" si="0"/>
        <v>1</v>
      </c>
      <c r="F220" s="12">
        <f t="shared" si="0"/>
        <v>1</v>
      </c>
      <c r="G220" s="12">
        <f t="shared" si="0"/>
        <v>1</v>
      </c>
      <c r="H220" s="12">
        <f t="shared" si="0"/>
        <v>1</v>
      </c>
      <c r="I220" s="12">
        <f t="shared" si="0"/>
        <v>1</v>
      </c>
      <c r="J220" s="12">
        <f t="shared" si="0"/>
        <v>1</v>
      </c>
      <c r="K220" s="12">
        <f t="shared" si="0"/>
        <v>1</v>
      </c>
      <c r="L220" s="12">
        <f t="shared" si="1"/>
        <v>1</v>
      </c>
      <c r="M220" s="12">
        <f t="shared" si="1"/>
        <v>1</v>
      </c>
      <c r="N220" s="12">
        <f t="shared" si="1"/>
        <v>1</v>
      </c>
      <c r="O220" s="12">
        <f t="shared" si="1"/>
        <v>1</v>
      </c>
      <c r="P220" s="12">
        <f t="shared" si="1"/>
        <v>1</v>
      </c>
      <c r="Q220" s="12">
        <f t="shared" si="1"/>
        <v>1</v>
      </c>
      <c r="R220" s="12">
        <f t="shared" si="1"/>
        <v>1</v>
      </c>
      <c r="S220" s="12">
        <f t="shared" si="1"/>
        <v>1</v>
      </c>
      <c r="T220" s="12">
        <f t="shared" si="1"/>
        <v>1</v>
      </c>
      <c r="U220" s="12">
        <f t="shared" si="1"/>
        <v>1</v>
      </c>
      <c r="V220" s="12">
        <f t="shared" si="1"/>
        <v>1</v>
      </c>
    </row>
    <row r="221" spans="1:22">
      <c r="A221" s="9">
        <v>4</v>
      </c>
      <c r="B221" s="12">
        <f t="shared" si="0"/>
        <v>1</v>
      </c>
      <c r="C221" s="12">
        <f t="shared" si="0"/>
        <v>1</v>
      </c>
      <c r="D221" s="12">
        <f t="shared" si="0"/>
        <v>1</v>
      </c>
      <c r="E221" s="12" t="str">
        <f t="shared" si="0"/>
        <v/>
      </c>
      <c r="F221" s="12">
        <f t="shared" si="0"/>
        <v>1</v>
      </c>
      <c r="G221" s="12">
        <f t="shared" si="0"/>
        <v>1</v>
      </c>
      <c r="H221" s="12">
        <f t="shared" si="0"/>
        <v>1</v>
      </c>
      <c r="I221" s="12">
        <f t="shared" si="0"/>
        <v>1</v>
      </c>
      <c r="J221" s="12">
        <f t="shared" si="0"/>
        <v>1</v>
      </c>
      <c r="K221" s="12">
        <f t="shared" si="0"/>
        <v>1</v>
      </c>
      <c r="L221" s="12">
        <f t="shared" si="1"/>
        <v>1</v>
      </c>
      <c r="M221" s="12">
        <f t="shared" si="1"/>
        <v>1</v>
      </c>
      <c r="N221" s="12">
        <f t="shared" si="1"/>
        <v>1</v>
      </c>
      <c r="O221" s="12">
        <f t="shared" si="1"/>
        <v>1</v>
      </c>
      <c r="P221" s="12">
        <f t="shared" si="1"/>
        <v>1</v>
      </c>
      <c r="Q221" s="12">
        <f t="shared" si="1"/>
        <v>1</v>
      </c>
      <c r="R221" s="12">
        <f t="shared" si="1"/>
        <v>1</v>
      </c>
      <c r="S221" s="12">
        <f t="shared" si="1"/>
        <v>1</v>
      </c>
      <c r="T221" s="12">
        <f t="shared" si="1"/>
        <v>1</v>
      </c>
      <c r="U221" s="12">
        <f t="shared" si="1"/>
        <v>1</v>
      </c>
      <c r="V221" s="12">
        <f t="shared" si="1"/>
        <v>1</v>
      </c>
    </row>
    <row r="222" spans="1:22">
      <c r="A222" s="9">
        <v>5</v>
      </c>
      <c r="B222" s="12">
        <f t="shared" si="0"/>
        <v>1</v>
      </c>
      <c r="C222" s="12">
        <f t="shared" si="0"/>
        <v>1</v>
      </c>
      <c r="D222" s="12">
        <f t="shared" si="0"/>
        <v>1</v>
      </c>
      <c r="E222" s="12">
        <f t="shared" si="0"/>
        <v>1</v>
      </c>
      <c r="F222" s="12" t="str">
        <f t="shared" si="0"/>
        <v/>
      </c>
      <c r="G222" s="12">
        <f t="shared" si="0"/>
        <v>1</v>
      </c>
      <c r="H222" s="12">
        <f t="shared" si="0"/>
        <v>1</v>
      </c>
      <c r="I222" s="12">
        <f t="shared" si="0"/>
        <v>1</v>
      </c>
      <c r="J222" s="12">
        <f t="shared" si="0"/>
        <v>1</v>
      </c>
      <c r="K222" s="12">
        <f t="shared" si="0"/>
        <v>1</v>
      </c>
      <c r="L222" s="12">
        <f t="shared" si="1"/>
        <v>1</v>
      </c>
      <c r="M222" s="12">
        <f t="shared" si="1"/>
        <v>1</v>
      </c>
      <c r="N222" s="12">
        <f t="shared" si="1"/>
        <v>1</v>
      </c>
      <c r="O222" s="12">
        <f t="shared" si="1"/>
        <v>1</v>
      </c>
      <c r="P222" s="12">
        <f t="shared" si="1"/>
        <v>1</v>
      </c>
      <c r="Q222" s="12">
        <f t="shared" si="1"/>
        <v>1</v>
      </c>
      <c r="R222" s="12">
        <f t="shared" si="1"/>
        <v>1</v>
      </c>
      <c r="S222" s="12">
        <f t="shared" si="1"/>
        <v>1</v>
      </c>
      <c r="T222" s="12">
        <f t="shared" si="1"/>
        <v>1</v>
      </c>
      <c r="U222" s="12">
        <f t="shared" si="1"/>
        <v>1</v>
      </c>
      <c r="V222" s="12">
        <f t="shared" si="1"/>
        <v>1</v>
      </c>
    </row>
    <row r="223" spans="1:22">
      <c r="A223" s="9">
        <v>6</v>
      </c>
      <c r="B223" s="12">
        <f t="shared" si="0"/>
        <v>1</v>
      </c>
      <c r="C223" s="12">
        <f t="shared" si="0"/>
        <v>1</v>
      </c>
      <c r="D223" s="12">
        <f t="shared" si="0"/>
        <v>1</v>
      </c>
      <c r="E223" s="12">
        <f t="shared" si="0"/>
        <v>1</v>
      </c>
      <c r="F223" s="12">
        <f t="shared" si="0"/>
        <v>1</v>
      </c>
      <c r="G223" s="12" t="str">
        <f t="shared" si="0"/>
        <v/>
      </c>
      <c r="H223" s="12">
        <f t="shared" si="0"/>
        <v>1</v>
      </c>
      <c r="I223" s="12">
        <f t="shared" si="0"/>
        <v>1</v>
      </c>
      <c r="J223" s="12">
        <f t="shared" si="0"/>
        <v>1</v>
      </c>
      <c r="K223" s="12">
        <f t="shared" si="0"/>
        <v>1</v>
      </c>
      <c r="L223" s="12">
        <f t="shared" si="1"/>
        <v>1</v>
      </c>
      <c r="M223" s="12">
        <f t="shared" si="1"/>
        <v>1</v>
      </c>
      <c r="N223" s="12">
        <f t="shared" si="1"/>
        <v>1</v>
      </c>
      <c r="O223" s="12">
        <f t="shared" si="1"/>
        <v>1</v>
      </c>
      <c r="P223" s="12">
        <f t="shared" si="1"/>
        <v>1</v>
      </c>
      <c r="Q223" s="12">
        <f t="shared" si="1"/>
        <v>1</v>
      </c>
      <c r="R223" s="12">
        <f t="shared" si="1"/>
        <v>1</v>
      </c>
      <c r="S223" s="12">
        <f t="shared" si="1"/>
        <v>1</v>
      </c>
      <c r="T223" s="12">
        <f t="shared" si="1"/>
        <v>1</v>
      </c>
      <c r="U223" s="12">
        <f t="shared" si="1"/>
        <v>1</v>
      </c>
      <c r="V223" s="12">
        <f t="shared" si="1"/>
        <v>1</v>
      </c>
    </row>
    <row r="224" spans="1:22">
      <c r="A224" s="9">
        <v>7</v>
      </c>
      <c r="B224" s="12">
        <f t="shared" si="0"/>
        <v>1</v>
      </c>
      <c r="C224" s="12">
        <f t="shared" si="0"/>
        <v>1</v>
      </c>
      <c r="D224" s="12">
        <f t="shared" si="0"/>
        <v>1</v>
      </c>
      <c r="E224" s="12">
        <f t="shared" si="0"/>
        <v>1</v>
      </c>
      <c r="F224" s="12">
        <f t="shared" si="0"/>
        <v>1</v>
      </c>
      <c r="G224" s="12">
        <f t="shared" si="0"/>
        <v>1</v>
      </c>
      <c r="H224" s="12" t="str">
        <f t="shared" si="0"/>
        <v/>
      </c>
      <c r="I224" s="12">
        <f t="shared" si="0"/>
        <v>1</v>
      </c>
      <c r="J224" s="12">
        <f t="shared" si="0"/>
        <v>1</v>
      </c>
      <c r="K224" s="12">
        <f t="shared" si="0"/>
        <v>1</v>
      </c>
      <c r="L224" s="12">
        <f t="shared" si="1"/>
        <v>1</v>
      </c>
      <c r="M224" s="12">
        <f t="shared" si="1"/>
        <v>1</v>
      </c>
      <c r="N224" s="12">
        <f t="shared" si="1"/>
        <v>1</v>
      </c>
      <c r="O224" s="12">
        <f t="shared" si="1"/>
        <v>1</v>
      </c>
      <c r="P224" s="12">
        <f t="shared" si="1"/>
        <v>1</v>
      </c>
      <c r="Q224" s="12">
        <f t="shared" si="1"/>
        <v>1</v>
      </c>
      <c r="R224" s="12">
        <f t="shared" si="1"/>
        <v>1</v>
      </c>
      <c r="S224" s="12">
        <f t="shared" si="1"/>
        <v>1</v>
      </c>
      <c r="T224" s="12">
        <f t="shared" si="1"/>
        <v>1</v>
      </c>
      <c r="U224" s="12">
        <f t="shared" si="1"/>
        <v>1</v>
      </c>
      <c r="V224" s="12">
        <f t="shared" si="1"/>
        <v>1</v>
      </c>
    </row>
    <row r="225" spans="1:22">
      <c r="A225" s="9">
        <v>8</v>
      </c>
      <c r="B225" s="12">
        <f t="shared" si="0"/>
        <v>1</v>
      </c>
      <c r="C225" s="12">
        <f t="shared" si="0"/>
        <v>1</v>
      </c>
      <c r="D225" s="12">
        <f t="shared" si="0"/>
        <v>1</v>
      </c>
      <c r="E225" s="12">
        <f t="shared" si="0"/>
        <v>1</v>
      </c>
      <c r="F225" s="12">
        <f t="shared" si="0"/>
        <v>1</v>
      </c>
      <c r="G225" s="12">
        <f t="shared" si="0"/>
        <v>1</v>
      </c>
      <c r="H225" s="12">
        <f t="shared" si="0"/>
        <v>1</v>
      </c>
      <c r="I225" s="12" t="str">
        <f t="shared" si="0"/>
        <v/>
      </c>
      <c r="J225" s="12">
        <f t="shared" si="0"/>
        <v>1</v>
      </c>
      <c r="K225" s="12">
        <f t="shared" si="0"/>
        <v>1</v>
      </c>
      <c r="L225" s="12">
        <f t="shared" si="1"/>
        <v>1</v>
      </c>
      <c r="M225" s="12">
        <f t="shared" si="1"/>
        <v>1</v>
      </c>
      <c r="N225" s="12">
        <f t="shared" si="1"/>
        <v>1</v>
      </c>
      <c r="O225" s="12">
        <f t="shared" si="1"/>
        <v>1</v>
      </c>
      <c r="P225" s="12">
        <f t="shared" si="1"/>
        <v>1</v>
      </c>
      <c r="Q225" s="12">
        <f t="shared" si="1"/>
        <v>1</v>
      </c>
      <c r="R225" s="12">
        <f t="shared" si="1"/>
        <v>1</v>
      </c>
      <c r="S225" s="12">
        <f t="shared" si="1"/>
        <v>1</v>
      </c>
      <c r="T225" s="12">
        <f t="shared" si="1"/>
        <v>1</v>
      </c>
      <c r="U225" s="12">
        <f t="shared" si="1"/>
        <v>1</v>
      </c>
      <c r="V225" s="12">
        <f t="shared" si="1"/>
        <v>1</v>
      </c>
    </row>
    <row r="226" spans="1:22">
      <c r="A226" s="9">
        <v>9</v>
      </c>
      <c r="B226" s="12">
        <f t="shared" si="0"/>
        <v>1</v>
      </c>
      <c r="C226" s="12">
        <f t="shared" si="0"/>
        <v>1</v>
      </c>
      <c r="D226" s="12">
        <f t="shared" si="0"/>
        <v>1</v>
      </c>
      <c r="E226" s="12">
        <f t="shared" si="0"/>
        <v>1</v>
      </c>
      <c r="F226" s="12">
        <f t="shared" si="0"/>
        <v>1</v>
      </c>
      <c r="G226" s="12">
        <f t="shared" si="0"/>
        <v>1</v>
      </c>
      <c r="H226" s="12">
        <f t="shared" si="0"/>
        <v>1</v>
      </c>
      <c r="I226" s="12">
        <f t="shared" si="0"/>
        <v>1</v>
      </c>
      <c r="J226" s="12" t="str">
        <f t="shared" si="0"/>
        <v/>
      </c>
      <c r="K226" s="12">
        <f t="shared" si="0"/>
        <v>1</v>
      </c>
      <c r="L226" s="12">
        <f t="shared" si="1"/>
        <v>1</v>
      </c>
      <c r="M226" s="12">
        <f t="shared" si="1"/>
        <v>1</v>
      </c>
      <c r="N226" s="12">
        <f t="shared" si="1"/>
        <v>1</v>
      </c>
      <c r="O226" s="12">
        <f t="shared" si="1"/>
        <v>1</v>
      </c>
      <c r="P226" s="12">
        <f t="shared" si="1"/>
        <v>1</v>
      </c>
      <c r="Q226" s="12">
        <f t="shared" si="1"/>
        <v>1</v>
      </c>
      <c r="R226" s="12">
        <f t="shared" si="1"/>
        <v>1</v>
      </c>
      <c r="S226" s="12">
        <f t="shared" si="1"/>
        <v>1</v>
      </c>
      <c r="T226" s="12">
        <f t="shared" si="1"/>
        <v>1</v>
      </c>
      <c r="U226" s="12">
        <f t="shared" si="1"/>
        <v>1</v>
      </c>
      <c r="V226" s="12">
        <f t="shared" si="1"/>
        <v>1</v>
      </c>
    </row>
    <row r="227" spans="1:22">
      <c r="A227" s="9">
        <v>10</v>
      </c>
      <c r="B227" s="12">
        <f t="shared" si="0"/>
        <v>1</v>
      </c>
      <c r="C227" s="12">
        <f t="shared" si="0"/>
        <v>1</v>
      </c>
      <c r="D227" s="12">
        <f t="shared" si="0"/>
        <v>1</v>
      </c>
      <c r="E227" s="12">
        <f t="shared" si="0"/>
        <v>1</v>
      </c>
      <c r="F227" s="12">
        <f t="shared" si="0"/>
        <v>1</v>
      </c>
      <c r="G227" s="12">
        <f t="shared" si="0"/>
        <v>1</v>
      </c>
      <c r="H227" s="12">
        <f t="shared" si="0"/>
        <v>1</v>
      </c>
      <c r="I227" s="12">
        <f t="shared" si="0"/>
        <v>1</v>
      </c>
      <c r="J227" s="12">
        <f t="shared" si="0"/>
        <v>1</v>
      </c>
      <c r="K227" s="12" t="str">
        <f t="shared" si="0"/>
        <v/>
      </c>
      <c r="L227" s="12">
        <f t="shared" si="1"/>
        <v>1</v>
      </c>
      <c r="M227" s="12">
        <f t="shared" si="1"/>
        <v>1</v>
      </c>
      <c r="N227" s="12">
        <f t="shared" si="1"/>
        <v>1</v>
      </c>
      <c r="O227" s="12">
        <f t="shared" si="1"/>
        <v>1</v>
      </c>
      <c r="P227" s="12">
        <f t="shared" si="1"/>
        <v>1</v>
      </c>
      <c r="Q227" s="12">
        <f t="shared" si="1"/>
        <v>1</v>
      </c>
      <c r="R227" s="12">
        <f t="shared" si="1"/>
        <v>1</v>
      </c>
      <c r="S227" s="12">
        <f t="shared" si="1"/>
        <v>1</v>
      </c>
      <c r="T227" s="12">
        <f t="shared" si="1"/>
        <v>1</v>
      </c>
      <c r="U227" s="12">
        <f t="shared" si="1"/>
        <v>1</v>
      </c>
      <c r="V227" s="12">
        <f t="shared" si="1"/>
        <v>1</v>
      </c>
    </row>
    <row r="228" spans="1:22">
      <c r="A228" s="9">
        <v>11</v>
      </c>
      <c r="B228" s="12">
        <f t="shared" ref="B228:K238" si="2">IF($A228=B$217,"",COUNTIF($D$4:$D$213,$A228&amp;" ضد "&amp;B$217)+COUNTIF($D$4:$D$213,B$217&amp;" ضد "&amp;$A228))</f>
        <v>1</v>
      </c>
      <c r="C228" s="12">
        <f t="shared" si="2"/>
        <v>1</v>
      </c>
      <c r="D228" s="12">
        <f t="shared" si="2"/>
        <v>1</v>
      </c>
      <c r="E228" s="12">
        <f t="shared" si="2"/>
        <v>1</v>
      </c>
      <c r="F228" s="12">
        <f t="shared" si="2"/>
        <v>1</v>
      </c>
      <c r="G228" s="12">
        <f t="shared" si="2"/>
        <v>1</v>
      </c>
      <c r="H228" s="12">
        <f t="shared" si="2"/>
        <v>1</v>
      </c>
      <c r="I228" s="12">
        <f t="shared" si="2"/>
        <v>1</v>
      </c>
      <c r="J228" s="12">
        <f t="shared" si="2"/>
        <v>1</v>
      </c>
      <c r="K228" s="12">
        <f t="shared" si="2"/>
        <v>1</v>
      </c>
      <c r="L228" s="12" t="str">
        <f t="shared" ref="L228:V238" si="3">IF($A228=L$217,"",COUNTIF($D$4:$D$213,$A228&amp;" ضد "&amp;L$217)+COUNTIF($D$4:$D$213,L$217&amp;" ضد "&amp;$A228))</f>
        <v/>
      </c>
      <c r="M228" s="12">
        <f t="shared" si="3"/>
        <v>1</v>
      </c>
      <c r="N228" s="12">
        <f t="shared" si="3"/>
        <v>1</v>
      </c>
      <c r="O228" s="12">
        <f t="shared" si="3"/>
        <v>1</v>
      </c>
      <c r="P228" s="12">
        <f t="shared" si="3"/>
        <v>1</v>
      </c>
      <c r="Q228" s="12">
        <f t="shared" si="3"/>
        <v>1</v>
      </c>
      <c r="R228" s="12">
        <f t="shared" si="3"/>
        <v>1</v>
      </c>
      <c r="S228" s="12">
        <f t="shared" si="3"/>
        <v>1</v>
      </c>
      <c r="T228" s="12">
        <f t="shared" si="3"/>
        <v>1</v>
      </c>
      <c r="U228" s="12">
        <f t="shared" si="3"/>
        <v>1</v>
      </c>
      <c r="V228" s="12">
        <f t="shared" si="3"/>
        <v>1</v>
      </c>
    </row>
    <row r="229" spans="1:22">
      <c r="A229" s="9">
        <v>12</v>
      </c>
      <c r="B229" s="12">
        <f t="shared" si="2"/>
        <v>1</v>
      </c>
      <c r="C229" s="12">
        <f t="shared" si="2"/>
        <v>1</v>
      </c>
      <c r="D229" s="12">
        <f t="shared" si="2"/>
        <v>1</v>
      </c>
      <c r="E229" s="12">
        <f t="shared" si="2"/>
        <v>1</v>
      </c>
      <c r="F229" s="12">
        <f t="shared" si="2"/>
        <v>1</v>
      </c>
      <c r="G229" s="12">
        <f t="shared" si="2"/>
        <v>1</v>
      </c>
      <c r="H229" s="12">
        <f t="shared" si="2"/>
        <v>1</v>
      </c>
      <c r="I229" s="12">
        <f t="shared" si="2"/>
        <v>1</v>
      </c>
      <c r="J229" s="12">
        <f t="shared" si="2"/>
        <v>1</v>
      </c>
      <c r="K229" s="12">
        <f t="shared" si="2"/>
        <v>1</v>
      </c>
      <c r="L229" s="12">
        <f t="shared" si="3"/>
        <v>1</v>
      </c>
      <c r="M229" s="12" t="str">
        <f t="shared" si="3"/>
        <v/>
      </c>
      <c r="N229" s="12">
        <f t="shared" si="3"/>
        <v>1</v>
      </c>
      <c r="O229" s="12">
        <f t="shared" si="3"/>
        <v>1</v>
      </c>
      <c r="P229" s="12">
        <f t="shared" si="3"/>
        <v>1</v>
      </c>
      <c r="Q229" s="12">
        <f t="shared" si="3"/>
        <v>1</v>
      </c>
      <c r="R229" s="12">
        <f t="shared" si="3"/>
        <v>1</v>
      </c>
      <c r="S229" s="12">
        <f t="shared" si="3"/>
        <v>1</v>
      </c>
      <c r="T229" s="12">
        <f t="shared" si="3"/>
        <v>1</v>
      </c>
      <c r="U229" s="12">
        <f t="shared" si="3"/>
        <v>1</v>
      </c>
      <c r="V229" s="12">
        <f t="shared" si="3"/>
        <v>1</v>
      </c>
    </row>
    <row r="230" spans="1:22">
      <c r="A230" s="9">
        <v>13</v>
      </c>
      <c r="B230" s="12">
        <f t="shared" si="2"/>
        <v>1</v>
      </c>
      <c r="C230" s="12">
        <f t="shared" si="2"/>
        <v>1</v>
      </c>
      <c r="D230" s="12">
        <f t="shared" si="2"/>
        <v>1</v>
      </c>
      <c r="E230" s="12">
        <f t="shared" si="2"/>
        <v>1</v>
      </c>
      <c r="F230" s="12">
        <f t="shared" si="2"/>
        <v>1</v>
      </c>
      <c r="G230" s="12">
        <f t="shared" si="2"/>
        <v>1</v>
      </c>
      <c r="H230" s="12">
        <f t="shared" si="2"/>
        <v>1</v>
      </c>
      <c r="I230" s="12">
        <f t="shared" si="2"/>
        <v>1</v>
      </c>
      <c r="J230" s="12">
        <f t="shared" si="2"/>
        <v>1</v>
      </c>
      <c r="K230" s="12">
        <f t="shared" si="2"/>
        <v>1</v>
      </c>
      <c r="L230" s="12">
        <f t="shared" si="3"/>
        <v>1</v>
      </c>
      <c r="M230" s="12">
        <f t="shared" si="3"/>
        <v>1</v>
      </c>
      <c r="N230" s="12" t="str">
        <f t="shared" si="3"/>
        <v/>
      </c>
      <c r="O230" s="12">
        <f t="shared" si="3"/>
        <v>1</v>
      </c>
      <c r="P230" s="12">
        <f t="shared" si="3"/>
        <v>1</v>
      </c>
      <c r="Q230" s="12">
        <f t="shared" si="3"/>
        <v>1</v>
      </c>
      <c r="R230" s="12">
        <f t="shared" si="3"/>
        <v>1</v>
      </c>
      <c r="S230" s="12">
        <f t="shared" si="3"/>
        <v>1</v>
      </c>
      <c r="T230" s="12">
        <f t="shared" si="3"/>
        <v>1</v>
      </c>
      <c r="U230" s="12">
        <f t="shared" si="3"/>
        <v>1</v>
      </c>
      <c r="V230" s="12">
        <f t="shared" si="3"/>
        <v>1</v>
      </c>
    </row>
    <row r="231" spans="1:22">
      <c r="A231" s="9">
        <v>14</v>
      </c>
      <c r="B231" s="12">
        <f t="shared" si="2"/>
        <v>1</v>
      </c>
      <c r="C231" s="12">
        <f t="shared" si="2"/>
        <v>1</v>
      </c>
      <c r="D231" s="12">
        <f t="shared" si="2"/>
        <v>1</v>
      </c>
      <c r="E231" s="12">
        <f t="shared" si="2"/>
        <v>1</v>
      </c>
      <c r="F231" s="12">
        <f t="shared" si="2"/>
        <v>1</v>
      </c>
      <c r="G231" s="12">
        <f t="shared" si="2"/>
        <v>1</v>
      </c>
      <c r="H231" s="12">
        <f t="shared" si="2"/>
        <v>1</v>
      </c>
      <c r="I231" s="12">
        <f t="shared" si="2"/>
        <v>1</v>
      </c>
      <c r="J231" s="12">
        <f t="shared" si="2"/>
        <v>1</v>
      </c>
      <c r="K231" s="12">
        <f t="shared" si="2"/>
        <v>1</v>
      </c>
      <c r="L231" s="12">
        <f t="shared" si="3"/>
        <v>1</v>
      </c>
      <c r="M231" s="12">
        <f t="shared" si="3"/>
        <v>1</v>
      </c>
      <c r="N231" s="12">
        <f t="shared" si="3"/>
        <v>1</v>
      </c>
      <c r="O231" s="12" t="str">
        <f t="shared" si="3"/>
        <v/>
      </c>
      <c r="P231" s="12">
        <f t="shared" si="3"/>
        <v>1</v>
      </c>
      <c r="Q231" s="12">
        <f t="shared" si="3"/>
        <v>1</v>
      </c>
      <c r="R231" s="12">
        <f t="shared" si="3"/>
        <v>1</v>
      </c>
      <c r="S231" s="12">
        <f t="shared" si="3"/>
        <v>1</v>
      </c>
      <c r="T231" s="12">
        <f t="shared" si="3"/>
        <v>1</v>
      </c>
      <c r="U231" s="12">
        <f t="shared" si="3"/>
        <v>1</v>
      </c>
      <c r="V231" s="12">
        <f t="shared" si="3"/>
        <v>1</v>
      </c>
    </row>
    <row r="232" spans="1:22">
      <c r="A232" s="9">
        <v>15</v>
      </c>
      <c r="B232" s="12">
        <f t="shared" si="2"/>
        <v>1</v>
      </c>
      <c r="C232" s="12">
        <f t="shared" si="2"/>
        <v>1</v>
      </c>
      <c r="D232" s="12">
        <f t="shared" si="2"/>
        <v>1</v>
      </c>
      <c r="E232" s="12">
        <f t="shared" si="2"/>
        <v>1</v>
      </c>
      <c r="F232" s="12">
        <f t="shared" si="2"/>
        <v>1</v>
      </c>
      <c r="G232" s="12">
        <f t="shared" si="2"/>
        <v>1</v>
      </c>
      <c r="H232" s="12">
        <f t="shared" si="2"/>
        <v>1</v>
      </c>
      <c r="I232" s="12">
        <f t="shared" si="2"/>
        <v>1</v>
      </c>
      <c r="J232" s="12">
        <f t="shared" si="2"/>
        <v>1</v>
      </c>
      <c r="K232" s="12">
        <f t="shared" si="2"/>
        <v>1</v>
      </c>
      <c r="L232" s="12">
        <f t="shared" si="3"/>
        <v>1</v>
      </c>
      <c r="M232" s="12">
        <f t="shared" si="3"/>
        <v>1</v>
      </c>
      <c r="N232" s="12">
        <f t="shared" si="3"/>
        <v>1</v>
      </c>
      <c r="O232" s="12">
        <f t="shared" si="3"/>
        <v>1</v>
      </c>
      <c r="P232" s="12" t="str">
        <f t="shared" si="3"/>
        <v/>
      </c>
      <c r="Q232" s="12">
        <f t="shared" si="3"/>
        <v>1</v>
      </c>
      <c r="R232" s="12">
        <f t="shared" si="3"/>
        <v>1</v>
      </c>
      <c r="S232" s="12">
        <f t="shared" si="3"/>
        <v>1</v>
      </c>
      <c r="T232" s="12">
        <f t="shared" si="3"/>
        <v>1</v>
      </c>
      <c r="U232" s="12">
        <f t="shared" si="3"/>
        <v>1</v>
      </c>
      <c r="V232" s="12">
        <f t="shared" si="3"/>
        <v>1</v>
      </c>
    </row>
    <row r="233" spans="1:22">
      <c r="A233" s="9">
        <v>16</v>
      </c>
      <c r="B233" s="12">
        <f t="shared" si="2"/>
        <v>1</v>
      </c>
      <c r="C233" s="12">
        <f t="shared" si="2"/>
        <v>1</v>
      </c>
      <c r="D233" s="12">
        <f t="shared" si="2"/>
        <v>1</v>
      </c>
      <c r="E233" s="12">
        <f t="shared" si="2"/>
        <v>1</v>
      </c>
      <c r="F233" s="12">
        <f t="shared" si="2"/>
        <v>1</v>
      </c>
      <c r="G233" s="12">
        <f t="shared" si="2"/>
        <v>1</v>
      </c>
      <c r="H233" s="12">
        <f t="shared" si="2"/>
        <v>1</v>
      </c>
      <c r="I233" s="12">
        <f t="shared" si="2"/>
        <v>1</v>
      </c>
      <c r="J233" s="12">
        <f t="shared" si="2"/>
        <v>1</v>
      </c>
      <c r="K233" s="12">
        <f t="shared" si="2"/>
        <v>1</v>
      </c>
      <c r="L233" s="12">
        <f t="shared" si="3"/>
        <v>1</v>
      </c>
      <c r="M233" s="12">
        <f t="shared" si="3"/>
        <v>1</v>
      </c>
      <c r="N233" s="12">
        <f t="shared" si="3"/>
        <v>1</v>
      </c>
      <c r="O233" s="12">
        <f t="shared" si="3"/>
        <v>1</v>
      </c>
      <c r="P233" s="12">
        <f t="shared" si="3"/>
        <v>1</v>
      </c>
      <c r="Q233" s="12" t="str">
        <f t="shared" si="3"/>
        <v/>
      </c>
      <c r="R233" s="12">
        <f t="shared" si="3"/>
        <v>1</v>
      </c>
      <c r="S233" s="12">
        <f t="shared" si="3"/>
        <v>1</v>
      </c>
      <c r="T233" s="12">
        <f t="shared" si="3"/>
        <v>1</v>
      </c>
      <c r="U233" s="12">
        <f t="shared" si="3"/>
        <v>1</v>
      </c>
      <c r="V233" s="12">
        <f t="shared" si="3"/>
        <v>1</v>
      </c>
    </row>
    <row r="234" spans="1:22">
      <c r="A234" s="9">
        <v>17</v>
      </c>
      <c r="B234" s="12">
        <f t="shared" si="2"/>
        <v>1</v>
      </c>
      <c r="C234" s="12">
        <f t="shared" si="2"/>
        <v>1</v>
      </c>
      <c r="D234" s="12">
        <f t="shared" si="2"/>
        <v>1</v>
      </c>
      <c r="E234" s="12">
        <f t="shared" si="2"/>
        <v>1</v>
      </c>
      <c r="F234" s="12">
        <f t="shared" si="2"/>
        <v>1</v>
      </c>
      <c r="G234" s="12">
        <f t="shared" si="2"/>
        <v>1</v>
      </c>
      <c r="H234" s="12">
        <f t="shared" si="2"/>
        <v>1</v>
      </c>
      <c r="I234" s="12">
        <f t="shared" si="2"/>
        <v>1</v>
      </c>
      <c r="J234" s="12">
        <f t="shared" si="2"/>
        <v>1</v>
      </c>
      <c r="K234" s="12">
        <f t="shared" si="2"/>
        <v>1</v>
      </c>
      <c r="L234" s="12">
        <f t="shared" si="3"/>
        <v>1</v>
      </c>
      <c r="M234" s="12">
        <f t="shared" si="3"/>
        <v>1</v>
      </c>
      <c r="N234" s="12">
        <f t="shared" si="3"/>
        <v>1</v>
      </c>
      <c r="O234" s="12">
        <f t="shared" si="3"/>
        <v>1</v>
      </c>
      <c r="P234" s="12">
        <f t="shared" si="3"/>
        <v>1</v>
      </c>
      <c r="Q234" s="12">
        <f t="shared" si="3"/>
        <v>1</v>
      </c>
      <c r="R234" s="12" t="str">
        <f t="shared" si="3"/>
        <v/>
      </c>
      <c r="S234" s="12">
        <f t="shared" si="3"/>
        <v>1</v>
      </c>
      <c r="T234" s="12">
        <f t="shared" si="3"/>
        <v>1</v>
      </c>
      <c r="U234" s="12">
        <f t="shared" si="3"/>
        <v>1</v>
      </c>
      <c r="V234" s="12">
        <f t="shared" si="3"/>
        <v>1</v>
      </c>
    </row>
    <row r="235" spans="1:22">
      <c r="A235" s="9">
        <v>18</v>
      </c>
      <c r="B235" s="12">
        <f t="shared" si="2"/>
        <v>1</v>
      </c>
      <c r="C235" s="12">
        <f t="shared" si="2"/>
        <v>1</v>
      </c>
      <c r="D235" s="12">
        <f t="shared" si="2"/>
        <v>1</v>
      </c>
      <c r="E235" s="12">
        <f t="shared" si="2"/>
        <v>1</v>
      </c>
      <c r="F235" s="12">
        <f t="shared" si="2"/>
        <v>1</v>
      </c>
      <c r="G235" s="12">
        <f t="shared" si="2"/>
        <v>1</v>
      </c>
      <c r="H235" s="12">
        <f t="shared" si="2"/>
        <v>1</v>
      </c>
      <c r="I235" s="12">
        <f t="shared" si="2"/>
        <v>1</v>
      </c>
      <c r="J235" s="12">
        <f t="shared" si="2"/>
        <v>1</v>
      </c>
      <c r="K235" s="12">
        <f t="shared" si="2"/>
        <v>1</v>
      </c>
      <c r="L235" s="12">
        <f t="shared" si="3"/>
        <v>1</v>
      </c>
      <c r="M235" s="12">
        <f t="shared" si="3"/>
        <v>1</v>
      </c>
      <c r="N235" s="12">
        <f t="shared" si="3"/>
        <v>1</v>
      </c>
      <c r="O235" s="12">
        <f t="shared" si="3"/>
        <v>1</v>
      </c>
      <c r="P235" s="12">
        <f t="shared" si="3"/>
        <v>1</v>
      </c>
      <c r="Q235" s="12">
        <f t="shared" si="3"/>
        <v>1</v>
      </c>
      <c r="R235" s="12">
        <f t="shared" si="3"/>
        <v>1</v>
      </c>
      <c r="S235" s="12" t="str">
        <f t="shared" si="3"/>
        <v/>
      </c>
      <c r="T235" s="12">
        <f t="shared" si="3"/>
        <v>1</v>
      </c>
      <c r="U235" s="12">
        <f t="shared" si="3"/>
        <v>1</v>
      </c>
      <c r="V235" s="12">
        <f t="shared" si="3"/>
        <v>1</v>
      </c>
    </row>
    <row r="236" spans="1:22">
      <c r="A236" s="9">
        <v>19</v>
      </c>
      <c r="B236" s="12">
        <f t="shared" si="2"/>
        <v>1</v>
      </c>
      <c r="C236" s="12">
        <f t="shared" si="2"/>
        <v>1</v>
      </c>
      <c r="D236" s="12">
        <f t="shared" si="2"/>
        <v>1</v>
      </c>
      <c r="E236" s="12">
        <f t="shared" si="2"/>
        <v>1</v>
      </c>
      <c r="F236" s="12">
        <f t="shared" si="2"/>
        <v>1</v>
      </c>
      <c r="G236" s="12">
        <f t="shared" si="2"/>
        <v>1</v>
      </c>
      <c r="H236" s="12">
        <f t="shared" si="2"/>
        <v>1</v>
      </c>
      <c r="I236" s="12">
        <f t="shared" si="2"/>
        <v>1</v>
      </c>
      <c r="J236" s="12">
        <f t="shared" si="2"/>
        <v>1</v>
      </c>
      <c r="K236" s="12">
        <f t="shared" si="2"/>
        <v>1</v>
      </c>
      <c r="L236" s="12">
        <f t="shared" si="3"/>
        <v>1</v>
      </c>
      <c r="M236" s="12">
        <f t="shared" si="3"/>
        <v>1</v>
      </c>
      <c r="N236" s="12">
        <f t="shared" si="3"/>
        <v>1</v>
      </c>
      <c r="O236" s="12">
        <f t="shared" si="3"/>
        <v>1</v>
      </c>
      <c r="P236" s="12">
        <f t="shared" si="3"/>
        <v>1</v>
      </c>
      <c r="Q236" s="12">
        <f t="shared" si="3"/>
        <v>1</v>
      </c>
      <c r="R236" s="12">
        <f t="shared" si="3"/>
        <v>1</v>
      </c>
      <c r="S236" s="12">
        <f t="shared" si="3"/>
        <v>1</v>
      </c>
      <c r="T236" s="12" t="str">
        <f t="shared" si="3"/>
        <v/>
      </c>
      <c r="U236" s="12">
        <f t="shared" si="3"/>
        <v>1</v>
      </c>
      <c r="V236" s="12">
        <f t="shared" si="3"/>
        <v>1</v>
      </c>
    </row>
    <row r="237" spans="1:22">
      <c r="A237" s="9">
        <v>20</v>
      </c>
      <c r="B237" s="12">
        <f t="shared" si="2"/>
        <v>1</v>
      </c>
      <c r="C237" s="12">
        <f t="shared" si="2"/>
        <v>1</v>
      </c>
      <c r="D237" s="12">
        <f t="shared" si="2"/>
        <v>1</v>
      </c>
      <c r="E237" s="12">
        <f t="shared" si="2"/>
        <v>1</v>
      </c>
      <c r="F237" s="12">
        <f t="shared" si="2"/>
        <v>1</v>
      </c>
      <c r="G237" s="12">
        <f t="shared" si="2"/>
        <v>1</v>
      </c>
      <c r="H237" s="12">
        <f t="shared" si="2"/>
        <v>1</v>
      </c>
      <c r="I237" s="12">
        <f t="shared" si="2"/>
        <v>1</v>
      </c>
      <c r="J237" s="12">
        <f t="shared" si="2"/>
        <v>1</v>
      </c>
      <c r="K237" s="12">
        <f t="shared" si="2"/>
        <v>1</v>
      </c>
      <c r="L237" s="12">
        <f t="shared" si="3"/>
        <v>1</v>
      </c>
      <c r="M237" s="12">
        <f t="shared" si="3"/>
        <v>1</v>
      </c>
      <c r="N237" s="12">
        <f t="shared" si="3"/>
        <v>1</v>
      </c>
      <c r="O237" s="12">
        <f t="shared" si="3"/>
        <v>1</v>
      </c>
      <c r="P237" s="12">
        <f t="shared" si="3"/>
        <v>1</v>
      </c>
      <c r="Q237" s="12">
        <f t="shared" si="3"/>
        <v>1</v>
      </c>
      <c r="R237" s="12">
        <f t="shared" si="3"/>
        <v>1</v>
      </c>
      <c r="S237" s="12">
        <f t="shared" si="3"/>
        <v>1</v>
      </c>
      <c r="T237" s="12">
        <f t="shared" si="3"/>
        <v>1</v>
      </c>
      <c r="U237" s="12" t="str">
        <f t="shared" si="3"/>
        <v/>
      </c>
      <c r="V237" s="12">
        <f t="shared" si="3"/>
        <v>1</v>
      </c>
    </row>
    <row r="238" spans="1:22">
      <c r="A238" s="9">
        <v>21</v>
      </c>
      <c r="B238" s="12">
        <f t="shared" si="2"/>
        <v>1</v>
      </c>
      <c r="C238" s="12">
        <f t="shared" si="2"/>
        <v>1</v>
      </c>
      <c r="D238" s="12">
        <f t="shared" si="2"/>
        <v>1</v>
      </c>
      <c r="E238" s="12">
        <f t="shared" si="2"/>
        <v>1</v>
      </c>
      <c r="F238" s="12">
        <f t="shared" si="2"/>
        <v>1</v>
      </c>
      <c r="G238" s="12">
        <f t="shared" si="2"/>
        <v>1</v>
      </c>
      <c r="H238" s="12">
        <f t="shared" si="2"/>
        <v>1</v>
      </c>
      <c r="I238" s="12">
        <f t="shared" si="2"/>
        <v>1</v>
      </c>
      <c r="J238" s="12">
        <f t="shared" si="2"/>
        <v>1</v>
      </c>
      <c r="K238" s="12">
        <f t="shared" si="2"/>
        <v>1</v>
      </c>
      <c r="L238" s="12">
        <f t="shared" si="3"/>
        <v>1</v>
      </c>
      <c r="M238" s="12">
        <f t="shared" si="3"/>
        <v>1</v>
      </c>
      <c r="N238" s="12">
        <f t="shared" si="3"/>
        <v>1</v>
      </c>
      <c r="O238" s="12">
        <f t="shared" si="3"/>
        <v>1</v>
      </c>
      <c r="P238" s="12">
        <f t="shared" si="3"/>
        <v>1</v>
      </c>
      <c r="Q238" s="12">
        <f t="shared" si="3"/>
        <v>1</v>
      </c>
      <c r="R238" s="12">
        <f t="shared" si="3"/>
        <v>1</v>
      </c>
      <c r="S238" s="12">
        <f t="shared" si="3"/>
        <v>1</v>
      </c>
      <c r="T238" s="12">
        <f t="shared" si="3"/>
        <v>1</v>
      </c>
      <c r="U238" s="12">
        <f t="shared" si="3"/>
        <v>1</v>
      </c>
      <c r="V238" s="12" t="str">
        <f t="shared" si="3"/>
        <v/>
      </c>
    </row>
    <row r="239" spans="1:22">
      <c r="A239" s="14" t="s">
        <v>361</v>
      </c>
      <c r="B239" s="14">
        <f>_xlfn.MINIFS(B218:V238,B218:V238,"&gt;0")</f>
        <v>1</v>
      </c>
      <c r="C239" s="5"/>
      <c r="D239" s="5"/>
      <c r="E239" s="5"/>
      <c r="F239" s="5"/>
      <c r="G239" s="5"/>
    </row>
    <row r="240" spans="1:22">
      <c r="A240" s="14" t="s">
        <v>360</v>
      </c>
      <c r="B240" s="14">
        <f>MAX(B218:V238)</f>
        <v>1</v>
      </c>
      <c r="C240" s="5"/>
      <c r="D240" s="5"/>
      <c r="E240" s="5"/>
      <c r="F240" s="5"/>
      <c r="G240" s="5"/>
    </row>
    <row r="241" s="5" customFormat="1"/>
    <row r="242" s="5" customFormat="1"/>
    <row r="243" s="5" customFormat="1"/>
    <row r="244" s="5" customFormat="1"/>
    <row r="245" s="5" customFormat="1"/>
    <row r="246" s="5" customFormat="1"/>
    <row r="247" s="5" customFormat="1"/>
    <row r="248" s="5" customFormat="1"/>
    <row r="249" s="5" customFormat="1"/>
    <row r="250" s="5" customFormat="1"/>
    <row r="251" s="5" customFormat="1"/>
    <row r="252" s="5" customFormat="1"/>
    <row r="253" s="5" customFormat="1"/>
    <row r="254" s="5" customFormat="1"/>
    <row r="255" s="5" customFormat="1"/>
    <row r="256" s="5" customFormat="1"/>
    <row r="257" s="5" customFormat="1"/>
    <row r="258" s="5" customFormat="1"/>
    <row r="259" s="5" customFormat="1"/>
    <row r="260" s="5" customFormat="1"/>
    <row r="261" s="5" customFormat="1"/>
    <row r="262" s="5" customFormat="1"/>
    <row r="263" s="5" customFormat="1"/>
    <row r="264" s="5" customFormat="1"/>
    <row r="265" s="5" customFormat="1"/>
    <row r="266" s="5" customFormat="1"/>
    <row r="267" s="5" customFormat="1"/>
    <row r="268" s="5" customFormat="1"/>
    <row r="269" s="5" customFormat="1"/>
    <row r="270" s="5" customFormat="1"/>
    <row r="271" s="5" customFormat="1"/>
    <row r="272" s="5" customFormat="1"/>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216:V2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9A701-B68A-4B9B-BCB7-0CFB3DA52A72}">
  <dimension ref="A1:W699"/>
  <sheetViews>
    <sheetView rightToLeft="1" workbookViewId="0">
      <pane ySplit="3" topLeftCell="A4" activePane="bottomLeft" state="frozen"/>
      <selection sqref="A1:G1"/>
      <selection pane="bottomLeft" sqref="A1:XFD1048576"/>
    </sheetView>
  </sheetViews>
  <sheetFormatPr defaultRowHeight="14.5"/>
  <cols>
    <col min="1" max="1" width="4.08984375" style="15" bestFit="1" customWidth="1"/>
    <col min="2" max="2" width="10.1796875" style="15" bestFit="1" customWidth="1"/>
    <col min="3" max="3" width="5.81640625" style="15" bestFit="1" customWidth="1"/>
    <col min="4" max="4" width="8.1796875" style="15" bestFit="1" customWidth="1"/>
    <col min="5" max="5" width="12.90625" style="15" bestFit="1" customWidth="1"/>
    <col min="6" max="6" width="5.08984375" style="15" bestFit="1" customWidth="1"/>
    <col min="7" max="7" width="10.90625" style="15" bestFit="1" customWidth="1"/>
    <col min="8" max="8" width="9.7265625" style="5" bestFit="1" customWidth="1"/>
    <col min="9" max="9" width="5.08984375" style="5" bestFit="1" customWidth="1"/>
    <col min="10" max="10" width="4.453125" style="5" bestFit="1" customWidth="1"/>
    <col min="11" max="11" width="10.1796875" style="5" bestFit="1" customWidth="1"/>
    <col min="12" max="12" width="9.7265625" style="5" bestFit="1" customWidth="1"/>
    <col min="13" max="14" width="8.7265625" style="5"/>
    <col min="15" max="15" width="4.453125" style="5" bestFit="1" customWidth="1"/>
    <col min="16" max="16" width="10.1796875" style="5" bestFit="1" customWidth="1"/>
    <col min="17" max="16384" width="8.7265625" style="5"/>
  </cols>
  <sheetData>
    <row r="1" spans="1:16" ht="18.5">
      <c r="A1" s="49" t="s">
        <v>447</v>
      </c>
      <c r="B1" s="49"/>
      <c r="C1" s="49"/>
      <c r="D1" s="49"/>
      <c r="E1" s="49"/>
      <c r="F1" s="49"/>
      <c r="G1" s="49"/>
      <c r="H1" s="4"/>
      <c r="I1" s="4"/>
      <c r="J1" s="4"/>
      <c r="K1" s="4"/>
      <c r="L1" s="4"/>
      <c r="M1" s="4"/>
      <c r="N1" s="4"/>
      <c r="O1" s="4"/>
      <c r="P1" s="4"/>
    </row>
    <row r="2" spans="1:16">
      <c r="A2" s="6"/>
      <c r="B2" s="6"/>
      <c r="C2" s="6"/>
      <c r="D2" s="6"/>
      <c r="E2" s="6"/>
      <c r="F2" s="6"/>
      <c r="G2" s="6"/>
      <c r="H2" s="7"/>
      <c r="I2" s="7"/>
      <c r="J2" s="7"/>
      <c r="K2" s="7"/>
      <c r="L2" s="8"/>
      <c r="M2" s="8"/>
      <c r="N2" s="8"/>
      <c r="O2" s="8"/>
      <c r="P2" s="8"/>
    </row>
    <row r="3" spans="1:16">
      <c r="A3" s="9" t="s">
        <v>11</v>
      </c>
      <c r="B3" s="9" t="s">
        <v>13</v>
      </c>
      <c r="C3" s="9" t="s">
        <v>14</v>
      </c>
      <c r="D3" s="9" t="s">
        <v>16</v>
      </c>
      <c r="E3" s="7"/>
      <c r="F3" s="5"/>
      <c r="G3" s="5"/>
    </row>
    <row r="4" spans="1:16">
      <c r="A4" s="11">
        <v>1</v>
      </c>
      <c r="B4" s="12" t="str">
        <f>المدخلات!$F$4</f>
        <v>4:00–5:30 م</v>
      </c>
      <c r="C4" s="12">
        <v>1</v>
      </c>
      <c r="D4" s="12" t="s">
        <v>243</v>
      </c>
      <c r="E4" s="7"/>
      <c r="F4" s="5"/>
      <c r="G4" s="5"/>
    </row>
    <row r="5" spans="1:16">
      <c r="A5" s="11">
        <v>1</v>
      </c>
      <c r="B5" s="12" t="str">
        <f>المدخلات!$F$4</f>
        <v>4:00–5:30 م</v>
      </c>
      <c r="C5" s="12">
        <v>2</v>
      </c>
      <c r="D5" s="12" t="s">
        <v>223</v>
      </c>
      <c r="E5" s="7"/>
      <c r="F5" s="5"/>
      <c r="G5" s="5"/>
    </row>
    <row r="6" spans="1:16">
      <c r="A6" s="11">
        <v>1</v>
      </c>
      <c r="B6" s="12" t="str">
        <f>المدخلات!$F$4</f>
        <v>4:00–5:30 م</v>
      </c>
      <c r="C6" s="12">
        <v>3</v>
      </c>
      <c r="D6" s="12" t="s">
        <v>222</v>
      </c>
      <c r="E6" s="7"/>
      <c r="F6" s="5"/>
      <c r="G6" s="5"/>
    </row>
    <row r="7" spans="1:16">
      <c r="A7" s="11">
        <v>1</v>
      </c>
      <c r="B7" s="12" t="str">
        <f>المدخلات!$F$4</f>
        <v>4:00–5:30 م</v>
      </c>
      <c r="C7" s="12">
        <v>4</v>
      </c>
      <c r="D7" s="12" t="s">
        <v>202</v>
      </c>
      <c r="E7" s="7"/>
      <c r="F7" s="5"/>
      <c r="G7" s="5"/>
    </row>
    <row r="8" spans="1:16">
      <c r="A8" s="11">
        <v>1</v>
      </c>
      <c r="B8" s="12" t="str">
        <f>المدخلات!$F$5</f>
        <v>5:40–7:10 م</v>
      </c>
      <c r="C8" s="12">
        <v>1</v>
      </c>
      <c r="D8" s="12" t="s">
        <v>203</v>
      </c>
      <c r="E8" s="7"/>
      <c r="F8" s="5"/>
      <c r="G8" s="5"/>
    </row>
    <row r="9" spans="1:16">
      <c r="A9" s="11">
        <v>1</v>
      </c>
      <c r="B9" s="12" t="str">
        <f>المدخلات!$F$5</f>
        <v>5:40–7:10 م</v>
      </c>
      <c r="C9" s="12">
        <v>2</v>
      </c>
      <c r="D9" s="12" t="s">
        <v>156</v>
      </c>
      <c r="E9" s="7"/>
      <c r="F9" s="5"/>
      <c r="G9" s="5"/>
    </row>
    <row r="10" spans="1:16">
      <c r="A10" s="11">
        <v>1</v>
      </c>
      <c r="B10" s="12" t="str">
        <f>المدخلات!$F$5</f>
        <v>5:40–7:10 م</v>
      </c>
      <c r="C10" s="12">
        <v>3</v>
      </c>
      <c r="D10" s="12" t="s">
        <v>157</v>
      </c>
      <c r="E10" s="7"/>
      <c r="F10" s="5"/>
      <c r="G10" s="5"/>
    </row>
    <row r="11" spans="1:16">
      <c r="A11" s="11">
        <v>1</v>
      </c>
      <c r="B11" s="12" t="str">
        <f>المدخلات!$F$5</f>
        <v>5:40–7:10 م</v>
      </c>
      <c r="C11" s="12">
        <v>4</v>
      </c>
      <c r="D11" s="12" t="s">
        <v>158</v>
      </c>
      <c r="E11" s="7"/>
      <c r="F11" s="5"/>
      <c r="G11" s="5"/>
    </row>
    <row r="12" spans="1:16">
      <c r="A12" s="11">
        <v>1</v>
      </c>
      <c r="B12" s="12" t="str">
        <f>المدخلات!$F$6</f>
        <v>7:20–8:50 م</v>
      </c>
      <c r="C12" s="12">
        <v>1</v>
      </c>
      <c r="D12" s="12" t="s">
        <v>98</v>
      </c>
      <c r="E12" s="7"/>
      <c r="F12" s="5"/>
      <c r="G12" s="5"/>
    </row>
    <row r="13" spans="1:16">
      <c r="A13" s="11">
        <v>1</v>
      </c>
      <c r="B13" s="12" t="str">
        <f>المدخلات!$F$6</f>
        <v>7:20–8:50 م</v>
      </c>
      <c r="C13" s="12">
        <v>2</v>
      </c>
      <c r="D13" s="12" t="s">
        <v>94</v>
      </c>
      <c r="E13" s="7"/>
      <c r="F13" s="5"/>
      <c r="G13" s="5"/>
    </row>
    <row r="14" spans="1:16">
      <c r="A14" s="11">
        <v>1</v>
      </c>
      <c r="B14" s="12" t="str">
        <f>المدخلات!$F$6</f>
        <v>7:20–8:50 م</v>
      </c>
      <c r="C14" s="12">
        <v>3</v>
      </c>
      <c r="D14" s="12" t="s">
        <v>84</v>
      </c>
      <c r="E14" s="7"/>
      <c r="F14" s="5"/>
      <c r="G14" s="5"/>
    </row>
    <row r="15" spans="1:16">
      <c r="A15" s="11">
        <v>2</v>
      </c>
      <c r="B15" s="12" t="str">
        <f>المدخلات!$F$4</f>
        <v>4:00–5:30 م</v>
      </c>
      <c r="C15" s="12">
        <v>1</v>
      </c>
      <c r="D15" s="12" t="s">
        <v>74</v>
      </c>
      <c r="E15" s="7"/>
      <c r="F15" s="5"/>
      <c r="G15" s="5"/>
    </row>
    <row r="16" spans="1:16">
      <c r="A16" s="11">
        <v>2</v>
      </c>
      <c r="B16" s="12" t="str">
        <f>المدخلات!$F$4</f>
        <v>4:00–5:30 م</v>
      </c>
      <c r="C16" s="12">
        <v>2</v>
      </c>
      <c r="D16" s="12" t="s">
        <v>160</v>
      </c>
      <c r="E16" s="7"/>
      <c r="F16" s="5"/>
      <c r="G16" s="5"/>
    </row>
    <row r="17" spans="1:7">
      <c r="A17" s="11">
        <v>2</v>
      </c>
      <c r="B17" s="12" t="str">
        <f>المدخلات!$F$4</f>
        <v>4:00–5:30 م</v>
      </c>
      <c r="C17" s="12">
        <v>3</v>
      </c>
      <c r="D17" s="12" t="s">
        <v>90</v>
      </c>
      <c r="E17" s="7"/>
      <c r="F17" s="5"/>
      <c r="G17" s="5"/>
    </row>
    <row r="18" spans="1:7">
      <c r="A18" s="11">
        <v>2</v>
      </c>
      <c r="B18" s="12" t="str">
        <f>المدخلات!$F$4</f>
        <v>4:00–5:30 م</v>
      </c>
      <c r="C18" s="12">
        <v>4</v>
      </c>
      <c r="D18" s="12" t="s">
        <v>162</v>
      </c>
      <c r="E18" s="7"/>
      <c r="F18" s="5"/>
      <c r="G18" s="5"/>
    </row>
    <row r="19" spans="1:7">
      <c r="A19" s="11">
        <v>2</v>
      </c>
      <c r="B19" s="12" t="str">
        <f>المدخلات!$F$5</f>
        <v>5:40–7:10 م</v>
      </c>
      <c r="C19" s="12">
        <v>1</v>
      </c>
      <c r="D19" s="12" t="s">
        <v>174</v>
      </c>
      <c r="E19" s="7"/>
      <c r="F19" s="5"/>
      <c r="G19" s="5"/>
    </row>
    <row r="20" spans="1:7">
      <c r="A20" s="11">
        <v>2</v>
      </c>
      <c r="B20" s="12" t="str">
        <f>المدخلات!$F$5</f>
        <v>5:40–7:10 م</v>
      </c>
      <c r="C20" s="12">
        <v>2</v>
      </c>
      <c r="D20" s="12" t="s">
        <v>244</v>
      </c>
      <c r="E20" s="7"/>
      <c r="F20" s="5"/>
      <c r="G20" s="5"/>
    </row>
    <row r="21" spans="1:7">
      <c r="A21" s="11">
        <v>2</v>
      </c>
      <c r="B21" s="12" t="str">
        <f>المدخلات!$F$5</f>
        <v>5:40–7:10 م</v>
      </c>
      <c r="C21" s="12">
        <v>3</v>
      </c>
      <c r="D21" s="12" t="s">
        <v>224</v>
      </c>
      <c r="E21" s="7"/>
      <c r="F21" s="5"/>
      <c r="G21" s="5"/>
    </row>
    <row r="22" spans="1:7">
      <c r="A22" s="11">
        <v>2</v>
      </c>
      <c r="B22" s="12" t="str">
        <f>المدخلات!$F$5</f>
        <v>5:40–7:10 م</v>
      </c>
      <c r="C22" s="12">
        <v>4</v>
      </c>
      <c r="D22" s="12" t="s">
        <v>85</v>
      </c>
      <c r="E22" s="7"/>
      <c r="F22" s="5"/>
      <c r="G22" s="5"/>
    </row>
    <row r="23" spans="1:7">
      <c r="A23" s="11">
        <v>2</v>
      </c>
      <c r="B23" s="12" t="str">
        <f>المدخلات!$F$6</f>
        <v>7:20–8:50 م</v>
      </c>
      <c r="C23" s="12">
        <v>1</v>
      </c>
      <c r="D23" s="12" t="s">
        <v>159</v>
      </c>
      <c r="E23" s="7"/>
      <c r="F23" s="5"/>
      <c r="G23" s="5"/>
    </row>
    <row r="24" spans="1:7">
      <c r="A24" s="11">
        <v>2</v>
      </c>
      <c r="B24" s="12" t="str">
        <f>المدخلات!$F$6</f>
        <v>7:20–8:50 م</v>
      </c>
      <c r="C24" s="12">
        <v>2</v>
      </c>
      <c r="D24" s="12" t="s">
        <v>175</v>
      </c>
      <c r="E24" s="7"/>
      <c r="F24" s="5"/>
      <c r="G24" s="5"/>
    </row>
    <row r="25" spans="1:7">
      <c r="A25" s="11">
        <v>2</v>
      </c>
      <c r="B25" s="12" t="str">
        <f>المدخلات!$F$6</f>
        <v>7:20–8:50 م</v>
      </c>
      <c r="C25" s="12">
        <v>3</v>
      </c>
      <c r="D25" s="12" t="s">
        <v>161</v>
      </c>
      <c r="E25" s="7"/>
      <c r="F25" s="5"/>
      <c r="G25" s="5"/>
    </row>
    <row r="26" spans="1:7">
      <c r="A26" s="11">
        <v>3</v>
      </c>
      <c r="B26" s="12" t="str">
        <f>المدخلات!$F$4</f>
        <v>4:00–5:30 م</v>
      </c>
      <c r="C26" s="12">
        <v>1</v>
      </c>
      <c r="D26" s="12" t="s">
        <v>86</v>
      </c>
      <c r="E26" s="7"/>
      <c r="F26" s="5"/>
      <c r="G26" s="5"/>
    </row>
    <row r="27" spans="1:7">
      <c r="A27" s="11">
        <v>3</v>
      </c>
      <c r="B27" s="12" t="str">
        <f>المدخلات!$F$4</f>
        <v>4:00–5:30 م</v>
      </c>
      <c r="C27" s="12">
        <v>2</v>
      </c>
      <c r="D27" s="12" t="s">
        <v>119</v>
      </c>
      <c r="E27" s="7"/>
      <c r="F27" s="5"/>
      <c r="G27" s="5"/>
    </row>
    <row r="28" spans="1:7">
      <c r="A28" s="11">
        <v>3</v>
      </c>
      <c r="B28" s="12" t="str">
        <f>المدخلات!$F$4</f>
        <v>4:00–5:30 م</v>
      </c>
      <c r="C28" s="12">
        <v>3</v>
      </c>
      <c r="D28" s="12" t="s">
        <v>64</v>
      </c>
      <c r="E28" s="7"/>
      <c r="F28" s="5"/>
      <c r="G28" s="5"/>
    </row>
    <row r="29" spans="1:7">
      <c r="A29" s="11">
        <v>3</v>
      </c>
      <c r="B29" s="12" t="str">
        <f>المدخلات!$F$4</f>
        <v>4:00–5:30 م</v>
      </c>
      <c r="C29" s="12">
        <v>4</v>
      </c>
      <c r="D29" s="12" t="s">
        <v>117</v>
      </c>
      <c r="E29" s="7"/>
      <c r="F29" s="5"/>
      <c r="G29" s="5"/>
    </row>
    <row r="30" spans="1:7">
      <c r="A30" s="11">
        <v>3</v>
      </c>
      <c r="B30" s="12" t="str">
        <f>المدخلات!$F$5</f>
        <v>5:40–7:10 م</v>
      </c>
      <c r="C30" s="12">
        <v>1</v>
      </c>
      <c r="D30" s="12" t="s">
        <v>118</v>
      </c>
      <c r="E30" s="7"/>
      <c r="F30" s="5"/>
      <c r="G30" s="5"/>
    </row>
    <row r="31" spans="1:7">
      <c r="A31" s="11">
        <v>3</v>
      </c>
      <c r="B31" s="12" t="str">
        <f>المدخلات!$F$5</f>
        <v>5:40–7:10 م</v>
      </c>
      <c r="C31" s="12">
        <v>2</v>
      </c>
      <c r="D31" s="12" t="s">
        <v>75</v>
      </c>
      <c r="E31" s="7"/>
      <c r="F31" s="5"/>
      <c r="G31" s="5"/>
    </row>
    <row r="32" spans="1:7">
      <c r="A32" s="11">
        <v>3</v>
      </c>
      <c r="B32" s="12" t="str">
        <f>المدخلات!$F$5</f>
        <v>5:40–7:10 م</v>
      </c>
      <c r="C32" s="12">
        <v>3</v>
      </c>
      <c r="D32" s="12" t="s">
        <v>120</v>
      </c>
      <c r="E32" s="7"/>
      <c r="F32" s="5"/>
      <c r="G32" s="5"/>
    </row>
    <row r="33" spans="1:7">
      <c r="A33" s="11">
        <v>3</v>
      </c>
      <c r="B33" s="12" t="str">
        <f>المدخلات!$F$5</f>
        <v>5:40–7:10 م</v>
      </c>
      <c r="C33" s="12">
        <v>4</v>
      </c>
      <c r="D33" s="12" t="s">
        <v>121</v>
      </c>
      <c r="E33" s="7"/>
      <c r="F33" s="5"/>
      <c r="G33" s="5"/>
    </row>
    <row r="34" spans="1:7">
      <c r="A34" s="11">
        <v>3</v>
      </c>
      <c r="B34" s="12" t="str">
        <f>المدخلات!$F$6</f>
        <v>7:20–8:50 م</v>
      </c>
      <c r="C34" s="12">
        <v>1</v>
      </c>
      <c r="D34" s="12" t="s">
        <v>204</v>
      </c>
      <c r="E34" s="7"/>
      <c r="F34" s="5"/>
      <c r="G34" s="5"/>
    </row>
    <row r="35" spans="1:7">
      <c r="A35" s="11">
        <v>3</v>
      </c>
      <c r="B35" s="12" t="str">
        <f>المدخلات!$F$6</f>
        <v>7:20–8:50 م</v>
      </c>
      <c r="C35" s="12">
        <v>2</v>
      </c>
      <c r="D35" s="12" t="s">
        <v>225</v>
      </c>
      <c r="E35" s="7"/>
      <c r="F35" s="5"/>
      <c r="G35" s="5"/>
    </row>
    <row r="36" spans="1:7">
      <c r="A36" s="11">
        <v>3</v>
      </c>
      <c r="B36" s="12" t="str">
        <f>المدخلات!$F$6</f>
        <v>7:20–8:50 م</v>
      </c>
      <c r="C36" s="12">
        <v>3</v>
      </c>
      <c r="D36" s="12" t="s">
        <v>245</v>
      </c>
      <c r="E36" s="7"/>
      <c r="F36" s="5"/>
      <c r="G36" s="5"/>
    </row>
    <row r="37" spans="1:7">
      <c r="A37" s="11">
        <v>4</v>
      </c>
      <c r="B37" s="12" t="str">
        <f>المدخلات!$F$4</f>
        <v>4:00–5:30 م</v>
      </c>
      <c r="C37" s="12">
        <v>1</v>
      </c>
      <c r="D37" s="12" t="s">
        <v>76</v>
      </c>
      <c r="E37" s="7"/>
      <c r="F37" s="5"/>
      <c r="G37" s="5"/>
    </row>
    <row r="38" spans="1:7">
      <c r="A38" s="11">
        <v>4</v>
      </c>
      <c r="B38" s="12" t="str">
        <f>المدخلات!$F$4</f>
        <v>4:00–5:30 م</v>
      </c>
      <c r="C38" s="12">
        <v>2</v>
      </c>
      <c r="D38" s="12" t="s">
        <v>56</v>
      </c>
      <c r="E38" s="7"/>
      <c r="F38" s="5"/>
      <c r="G38" s="5"/>
    </row>
    <row r="39" spans="1:7">
      <c r="A39" s="11">
        <v>4</v>
      </c>
      <c r="B39" s="12" t="str">
        <f>المدخلات!$F$4</f>
        <v>4:00–5:30 م</v>
      </c>
      <c r="C39" s="12">
        <v>3</v>
      </c>
      <c r="D39" s="12" t="s">
        <v>226</v>
      </c>
      <c r="E39" s="7"/>
      <c r="F39" s="5"/>
      <c r="G39" s="5"/>
    </row>
    <row r="40" spans="1:7">
      <c r="A40" s="11">
        <v>4</v>
      </c>
      <c r="B40" s="12" t="str">
        <f>المدخلات!$F$4</f>
        <v>4:00–5:30 م</v>
      </c>
      <c r="C40" s="12">
        <v>4</v>
      </c>
      <c r="D40" s="12" t="s">
        <v>205</v>
      </c>
      <c r="E40" s="7"/>
      <c r="F40" s="5"/>
      <c r="G40" s="5"/>
    </row>
    <row r="41" spans="1:7">
      <c r="A41" s="11">
        <v>4</v>
      </c>
      <c r="B41" s="12" t="str">
        <f>المدخلات!$F$5</f>
        <v>5:40–7:10 م</v>
      </c>
      <c r="C41" s="12">
        <v>1</v>
      </c>
      <c r="D41" s="12" t="s">
        <v>125</v>
      </c>
      <c r="E41" s="7"/>
      <c r="F41" s="5"/>
      <c r="G41" s="5"/>
    </row>
    <row r="42" spans="1:7">
      <c r="A42" s="11">
        <v>4</v>
      </c>
      <c r="B42" s="12" t="str">
        <f>المدخلات!$F$5</f>
        <v>5:40–7:10 م</v>
      </c>
      <c r="C42" s="12">
        <v>2</v>
      </c>
      <c r="D42" s="12" t="s">
        <v>65</v>
      </c>
      <c r="E42" s="7"/>
      <c r="F42" s="5"/>
      <c r="G42" s="5"/>
    </row>
    <row r="43" spans="1:7">
      <c r="A43" s="11">
        <v>4</v>
      </c>
      <c r="B43" s="12" t="str">
        <f>المدخلات!$F$5</f>
        <v>5:40–7:10 م</v>
      </c>
      <c r="C43" s="12">
        <v>3</v>
      </c>
      <c r="D43" s="12" t="s">
        <v>176</v>
      </c>
      <c r="E43" s="7"/>
      <c r="F43" s="5"/>
      <c r="G43" s="5"/>
    </row>
    <row r="44" spans="1:7">
      <c r="A44" s="11">
        <v>4</v>
      </c>
      <c r="B44" s="12" t="str">
        <f>المدخلات!$F$5</f>
        <v>5:40–7:10 م</v>
      </c>
      <c r="C44" s="12">
        <v>4</v>
      </c>
      <c r="D44" s="12" t="s">
        <v>124</v>
      </c>
      <c r="E44" s="7"/>
      <c r="F44" s="5"/>
      <c r="G44" s="5"/>
    </row>
    <row r="45" spans="1:7">
      <c r="A45" s="11">
        <v>4</v>
      </c>
      <c r="B45" s="12" t="str">
        <f>المدخلات!$F$6</f>
        <v>7:20–8:50 م</v>
      </c>
      <c r="C45" s="12">
        <v>1</v>
      </c>
      <c r="D45" s="12" t="s">
        <v>123</v>
      </c>
      <c r="E45" s="7"/>
      <c r="F45" s="5"/>
      <c r="G45" s="5"/>
    </row>
    <row r="46" spans="1:7">
      <c r="A46" s="11">
        <v>4</v>
      </c>
      <c r="B46" s="12" t="str">
        <f>المدخلات!$F$6</f>
        <v>7:20–8:50 م</v>
      </c>
      <c r="C46" s="12">
        <v>2</v>
      </c>
      <c r="D46" s="12" t="s">
        <v>87</v>
      </c>
      <c r="E46" s="7"/>
      <c r="F46" s="5"/>
      <c r="G46" s="5"/>
    </row>
    <row r="47" spans="1:7">
      <c r="A47" s="11">
        <v>4</v>
      </c>
      <c r="B47" s="12" t="str">
        <f>المدخلات!$F$6</f>
        <v>7:20–8:50 م</v>
      </c>
      <c r="C47" s="12">
        <v>3</v>
      </c>
      <c r="D47" s="12" t="s">
        <v>246</v>
      </c>
      <c r="E47" s="7"/>
      <c r="F47" s="5"/>
      <c r="G47" s="5"/>
    </row>
    <row r="48" spans="1:7">
      <c r="A48" s="11">
        <v>5</v>
      </c>
      <c r="B48" s="12" t="str">
        <f>المدخلات!$F$4</f>
        <v>4:00–5:30 م</v>
      </c>
      <c r="C48" s="12">
        <v>1</v>
      </c>
      <c r="D48" s="12" t="s">
        <v>88</v>
      </c>
      <c r="E48" s="7"/>
      <c r="F48" s="5"/>
      <c r="G48" s="5"/>
    </row>
    <row r="49" spans="1:7">
      <c r="A49" s="11">
        <v>5</v>
      </c>
      <c r="B49" s="12" t="str">
        <f>المدخلات!$F$4</f>
        <v>4:00–5:30 م</v>
      </c>
      <c r="C49" s="12">
        <v>2</v>
      </c>
      <c r="D49" s="12" t="s">
        <v>247</v>
      </c>
      <c r="E49" s="7"/>
      <c r="F49" s="5"/>
      <c r="G49" s="5"/>
    </row>
    <row r="50" spans="1:7">
      <c r="A50" s="11">
        <v>5</v>
      </c>
      <c r="B50" s="12" t="str">
        <f>المدخلات!$F$4</f>
        <v>4:00–5:30 م</v>
      </c>
      <c r="C50" s="12">
        <v>3</v>
      </c>
      <c r="D50" s="12" t="s">
        <v>57</v>
      </c>
      <c r="E50" s="7"/>
      <c r="F50" s="5"/>
      <c r="G50" s="5"/>
    </row>
    <row r="51" spans="1:7">
      <c r="A51" s="11">
        <v>5</v>
      </c>
      <c r="B51" s="12" t="str">
        <f>المدخلات!$F$4</f>
        <v>4:00–5:30 م</v>
      </c>
      <c r="C51" s="12">
        <v>4</v>
      </c>
      <c r="D51" s="12" t="s">
        <v>177</v>
      </c>
      <c r="E51" s="7"/>
      <c r="F51" s="5"/>
      <c r="G51" s="5"/>
    </row>
    <row r="52" spans="1:7">
      <c r="A52" s="11">
        <v>5</v>
      </c>
      <c r="B52" s="12" t="str">
        <f>المدخلات!$F$5</f>
        <v>5:40–7:10 م</v>
      </c>
      <c r="C52" s="12">
        <v>1</v>
      </c>
      <c r="D52" s="12" t="s">
        <v>227</v>
      </c>
      <c r="E52" s="7"/>
      <c r="F52" s="5"/>
      <c r="G52" s="5"/>
    </row>
    <row r="53" spans="1:7">
      <c r="A53" s="11">
        <v>5</v>
      </c>
      <c r="B53" s="12" t="str">
        <f>المدخلات!$F$5</f>
        <v>5:40–7:10 م</v>
      </c>
      <c r="C53" s="12">
        <v>2</v>
      </c>
      <c r="D53" s="12" t="s">
        <v>178</v>
      </c>
      <c r="E53" s="7"/>
      <c r="F53" s="5"/>
      <c r="G53" s="5"/>
    </row>
    <row r="54" spans="1:7">
      <c r="A54" s="11">
        <v>5</v>
      </c>
      <c r="B54" s="12" t="str">
        <f>المدخلات!$F$5</f>
        <v>5:40–7:10 م</v>
      </c>
      <c r="C54" s="12">
        <v>3</v>
      </c>
      <c r="D54" s="12" t="s">
        <v>77</v>
      </c>
      <c r="E54" s="7"/>
      <c r="F54" s="5"/>
      <c r="G54" s="5"/>
    </row>
    <row r="55" spans="1:7">
      <c r="A55" s="11">
        <v>5</v>
      </c>
      <c r="B55" s="12" t="str">
        <f>المدخلات!$F$5</f>
        <v>5:40–7:10 م</v>
      </c>
      <c r="C55" s="12">
        <v>4</v>
      </c>
      <c r="D55" s="12" t="s">
        <v>66</v>
      </c>
      <c r="E55" s="7"/>
      <c r="F55" s="5"/>
      <c r="G55" s="5"/>
    </row>
    <row r="56" spans="1:7">
      <c r="A56" s="11">
        <v>5</v>
      </c>
      <c r="B56" s="12" t="str">
        <f>المدخلات!$F$6</f>
        <v>7:20–8:50 م</v>
      </c>
      <c r="C56" s="12">
        <v>1</v>
      </c>
      <c r="D56" s="12" t="s">
        <v>48</v>
      </c>
      <c r="E56" s="7"/>
      <c r="F56" s="5"/>
      <c r="G56" s="5"/>
    </row>
    <row r="57" spans="1:7">
      <c r="A57" s="11">
        <v>5</v>
      </c>
      <c r="B57" s="12" t="str">
        <f>المدخلات!$F$6</f>
        <v>7:20–8:50 م</v>
      </c>
      <c r="C57" s="12">
        <v>2</v>
      </c>
      <c r="D57" s="12" t="s">
        <v>206</v>
      </c>
      <c r="E57" s="7"/>
      <c r="F57" s="5"/>
      <c r="G57" s="5"/>
    </row>
    <row r="58" spans="1:7">
      <c r="A58" s="11">
        <v>5</v>
      </c>
      <c r="B58" s="12" t="str">
        <f>المدخلات!$F$6</f>
        <v>7:20–8:50 م</v>
      </c>
      <c r="C58" s="12">
        <v>3</v>
      </c>
      <c r="D58" s="12" t="s">
        <v>128</v>
      </c>
      <c r="E58" s="7"/>
      <c r="F58" s="5"/>
      <c r="G58" s="5"/>
    </row>
    <row r="59" spans="1:7">
      <c r="A59" s="11">
        <v>6</v>
      </c>
      <c r="B59" s="12" t="str">
        <f>المدخلات!$F$4</f>
        <v>4:00–5:30 م</v>
      </c>
      <c r="C59" s="12">
        <v>1</v>
      </c>
      <c r="D59" s="12" t="s">
        <v>49</v>
      </c>
      <c r="E59" s="7"/>
      <c r="F59" s="5"/>
      <c r="G59" s="5"/>
    </row>
    <row r="60" spans="1:7">
      <c r="A60" s="11">
        <v>6</v>
      </c>
      <c r="B60" s="12" t="str">
        <f>المدخلات!$F$4</f>
        <v>4:00–5:30 م</v>
      </c>
      <c r="C60" s="12">
        <v>2</v>
      </c>
      <c r="D60" s="12" t="s">
        <v>165</v>
      </c>
      <c r="E60" s="7"/>
      <c r="F60" s="5"/>
      <c r="G60" s="5"/>
    </row>
    <row r="61" spans="1:7">
      <c r="A61" s="11">
        <v>6</v>
      </c>
      <c r="B61" s="12" t="str">
        <f>المدخلات!$F$4</f>
        <v>4:00–5:30 م</v>
      </c>
      <c r="C61" s="12">
        <v>3</v>
      </c>
      <c r="D61" s="12" t="s">
        <v>179</v>
      </c>
      <c r="E61" s="7"/>
      <c r="F61" s="5"/>
      <c r="G61" s="5"/>
    </row>
    <row r="62" spans="1:7">
      <c r="A62" s="11">
        <v>6</v>
      </c>
      <c r="B62" s="12" t="str">
        <f>المدخلات!$F$4</f>
        <v>4:00–5:30 م</v>
      </c>
      <c r="C62" s="12">
        <v>4</v>
      </c>
      <c r="D62" s="12" t="s">
        <v>228</v>
      </c>
      <c r="E62" s="7"/>
      <c r="F62" s="5"/>
      <c r="G62" s="5"/>
    </row>
    <row r="63" spans="1:7">
      <c r="A63" s="11">
        <v>6</v>
      </c>
      <c r="B63" s="12" t="str">
        <f>المدخلات!$F$5</f>
        <v>5:40–7:10 م</v>
      </c>
      <c r="C63" s="12">
        <v>1</v>
      </c>
      <c r="D63" s="12" t="s">
        <v>207</v>
      </c>
      <c r="E63" s="7"/>
      <c r="F63" s="5"/>
      <c r="G63" s="5"/>
    </row>
    <row r="64" spans="1:7">
      <c r="A64" s="11">
        <v>6</v>
      </c>
      <c r="B64" s="12" t="str">
        <f>المدخلات!$F$5</f>
        <v>5:40–7:10 م</v>
      </c>
      <c r="C64" s="12">
        <v>2</v>
      </c>
      <c r="D64" s="12" t="s">
        <v>68</v>
      </c>
      <c r="E64" s="7"/>
      <c r="F64" s="5"/>
      <c r="G64" s="5"/>
    </row>
    <row r="65" spans="1:7">
      <c r="A65" s="11">
        <v>6</v>
      </c>
      <c r="B65" s="12" t="str">
        <f>المدخلات!$F$5</f>
        <v>5:40–7:10 م</v>
      </c>
      <c r="C65" s="12">
        <v>3</v>
      </c>
      <c r="D65" s="12" t="s">
        <v>58</v>
      </c>
      <c r="E65" s="7"/>
      <c r="F65" s="5"/>
      <c r="G65" s="5"/>
    </row>
    <row r="66" spans="1:7">
      <c r="A66" s="11">
        <v>6</v>
      </c>
      <c r="B66" s="12" t="str">
        <f>المدخلات!$F$5</f>
        <v>5:40–7:10 م</v>
      </c>
      <c r="C66" s="12">
        <v>4</v>
      </c>
      <c r="D66" s="12" t="s">
        <v>248</v>
      </c>
      <c r="E66" s="7"/>
      <c r="F66" s="5"/>
      <c r="G66" s="5"/>
    </row>
    <row r="67" spans="1:7">
      <c r="A67" s="11">
        <v>6</v>
      </c>
      <c r="B67" s="12" t="str">
        <f>المدخلات!$F$6</f>
        <v>7:20–8:50 م</v>
      </c>
      <c r="C67" s="12">
        <v>1</v>
      </c>
      <c r="D67" s="12" t="s">
        <v>42</v>
      </c>
      <c r="E67" s="7"/>
      <c r="F67" s="5"/>
      <c r="G67" s="5"/>
    </row>
    <row r="68" spans="1:7">
      <c r="A68" s="11">
        <v>6</v>
      </c>
      <c r="B68" s="12" t="str">
        <f>المدخلات!$F$6</f>
        <v>7:20–8:50 م</v>
      </c>
      <c r="C68" s="12">
        <v>2</v>
      </c>
      <c r="D68" s="12" t="s">
        <v>122</v>
      </c>
      <c r="E68" s="7"/>
      <c r="F68" s="5"/>
      <c r="G68" s="5"/>
    </row>
    <row r="69" spans="1:7">
      <c r="A69" s="11">
        <v>6</v>
      </c>
      <c r="B69" s="12" t="str">
        <f>المدخلات!$F$6</f>
        <v>7:20–8:50 م</v>
      </c>
      <c r="C69" s="12">
        <v>3</v>
      </c>
      <c r="D69" s="12" t="s">
        <v>67</v>
      </c>
      <c r="E69" s="7"/>
      <c r="F69" s="5"/>
      <c r="G69" s="5"/>
    </row>
    <row r="70" spans="1:7">
      <c r="A70" s="11">
        <v>7</v>
      </c>
      <c r="B70" s="12" t="str">
        <f>المدخلات!$F$4</f>
        <v>4:00–5:30 م</v>
      </c>
      <c r="C70" s="12">
        <v>1</v>
      </c>
      <c r="D70" s="12" t="s">
        <v>180</v>
      </c>
      <c r="E70" s="7"/>
      <c r="F70" s="5"/>
      <c r="G70" s="5"/>
    </row>
    <row r="71" spans="1:7">
      <c r="A71" s="11">
        <v>7</v>
      </c>
      <c r="B71" s="12" t="str">
        <f>المدخلات!$F$4</f>
        <v>4:00–5:30 م</v>
      </c>
      <c r="C71" s="12">
        <v>2</v>
      </c>
      <c r="D71" s="12" t="s">
        <v>43</v>
      </c>
      <c r="E71" s="7"/>
      <c r="F71" s="5"/>
      <c r="G71" s="5"/>
    </row>
    <row r="72" spans="1:7">
      <c r="A72" s="11">
        <v>7</v>
      </c>
      <c r="B72" s="12" t="str">
        <f>المدخلات!$F$4</f>
        <v>4:00–5:30 م</v>
      </c>
      <c r="C72" s="12">
        <v>3</v>
      </c>
      <c r="D72" s="12" t="s">
        <v>29</v>
      </c>
      <c r="E72" s="7"/>
      <c r="F72" s="5"/>
      <c r="G72" s="5"/>
    </row>
    <row r="73" spans="1:7">
      <c r="A73" s="11">
        <v>7</v>
      </c>
      <c r="B73" s="12" t="str">
        <f>المدخلات!$F$4</f>
        <v>4:00–5:30 م</v>
      </c>
      <c r="C73" s="12">
        <v>4</v>
      </c>
      <c r="D73" s="12" t="s">
        <v>126</v>
      </c>
      <c r="E73" s="7"/>
      <c r="F73" s="5"/>
      <c r="G73" s="5"/>
    </row>
    <row r="74" spans="1:7">
      <c r="A74" s="11">
        <v>7</v>
      </c>
      <c r="B74" s="12" t="str">
        <f>المدخلات!$F$5</f>
        <v>5:40–7:10 م</v>
      </c>
      <c r="C74" s="12">
        <v>1</v>
      </c>
      <c r="D74" s="12" t="s">
        <v>249</v>
      </c>
      <c r="E74" s="7"/>
      <c r="F74" s="5"/>
      <c r="G74" s="5"/>
    </row>
    <row r="75" spans="1:7">
      <c r="A75" s="11">
        <v>7</v>
      </c>
      <c r="B75" s="12" t="str">
        <f>المدخلات!$F$5</f>
        <v>5:40–7:10 م</v>
      </c>
      <c r="C75" s="12">
        <v>2</v>
      </c>
      <c r="D75" s="12" t="s">
        <v>50</v>
      </c>
      <c r="E75" s="7"/>
      <c r="F75" s="5"/>
      <c r="G75" s="5"/>
    </row>
    <row r="76" spans="1:7">
      <c r="A76" s="11">
        <v>7</v>
      </c>
      <c r="B76" s="12" t="str">
        <f>المدخلات!$F$5</f>
        <v>5:40–7:10 م</v>
      </c>
      <c r="C76" s="12">
        <v>3</v>
      </c>
      <c r="D76" s="12" t="s">
        <v>208</v>
      </c>
      <c r="E76" s="7"/>
      <c r="F76" s="5"/>
      <c r="G76" s="5"/>
    </row>
    <row r="77" spans="1:7">
      <c r="A77" s="11">
        <v>7</v>
      </c>
      <c r="B77" s="12" t="str">
        <f>المدخلات!$F$5</f>
        <v>5:40–7:10 م</v>
      </c>
      <c r="C77" s="12">
        <v>4</v>
      </c>
      <c r="D77" s="12" t="s">
        <v>127</v>
      </c>
      <c r="E77" s="7"/>
      <c r="F77" s="5"/>
      <c r="G77" s="5"/>
    </row>
    <row r="78" spans="1:7">
      <c r="A78" s="11">
        <v>7</v>
      </c>
      <c r="B78" s="12" t="str">
        <f>المدخلات!$F$6</f>
        <v>7:20–8:50 م</v>
      </c>
      <c r="C78" s="12">
        <v>1</v>
      </c>
      <c r="D78" s="12" t="s">
        <v>229</v>
      </c>
      <c r="E78" s="7"/>
      <c r="F78" s="5"/>
      <c r="G78" s="5"/>
    </row>
    <row r="79" spans="1:7">
      <c r="A79" s="11">
        <v>7</v>
      </c>
      <c r="B79" s="12" t="str">
        <f>المدخلات!$F$6</f>
        <v>7:20–8:50 م</v>
      </c>
      <c r="C79" s="12">
        <v>2</v>
      </c>
      <c r="D79" s="12" t="s">
        <v>51</v>
      </c>
      <c r="E79" s="7"/>
      <c r="F79" s="5"/>
      <c r="G79" s="5"/>
    </row>
    <row r="80" spans="1:7">
      <c r="A80" s="11">
        <v>7</v>
      </c>
      <c r="B80" s="12" t="str">
        <f>المدخلات!$F$6</f>
        <v>7:20–8:50 م</v>
      </c>
      <c r="C80" s="12">
        <v>3</v>
      </c>
      <c r="D80" s="12" t="s">
        <v>166</v>
      </c>
      <c r="E80" s="7"/>
      <c r="F80" s="5"/>
      <c r="G80" s="5"/>
    </row>
    <row r="81" spans="1:7">
      <c r="A81" s="11">
        <v>8</v>
      </c>
      <c r="B81" s="12" t="str">
        <f>المدخلات!$F$4</f>
        <v>4:00–5:30 م</v>
      </c>
      <c r="C81" s="12">
        <v>1</v>
      </c>
      <c r="D81" s="12" t="s">
        <v>111</v>
      </c>
      <c r="E81" s="7"/>
      <c r="F81" s="5"/>
      <c r="G81" s="5"/>
    </row>
    <row r="82" spans="1:7">
      <c r="A82" s="11">
        <v>8</v>
      </c>
      <c r="B82" s="12" t="str">
        <f>المدخلات!$F$4</f>
        <v>4:00–5:30 م</v>
      </c>
      <c r="C82" s="12">
        <v>2</v>
      </c>
      <c r="D82" s="12" t="s">
        <v>129</v>
      </c>
      <c r="E82" s="7"/>
      <c r="F82" s="5"/>
      <c r="G82" s="5"/>
    </row>
    <row r="83" spans="1:7">
      <c r="A83" s="11">
        <v>8</v>
      </c>
      <c r="B83" s="12" t="str">
        <f>المدخلات!$F$4</f>
        <v>4:00–5:30 م</v>
      </c>
      <c r="C83" s="12">
        <v>3</v>
      </c>
      <c r="D83" s="12" t="s">
        <v>130</v>
      </c>
      <c r="E83" s="7"/>
      <c r="F83" s="5"/>
      <c r="G83" s="5"/>
    </row>
    <row r="84" spans="1:7">
      <c r="A84" s="11">
        <v>8</v>
      </c>
      <c r="B84" s="12" t="str">
        <f>المدخلات!$F$4</f>
        <v>4:00–5:30 م</v>
      </c>
      <c r="C84" s="12">
        <v>4</v>
      </c>
      <c r="D84" s="12" t="s">
        <v>209</v>
      </c>
      <c r="E84" s="7"/>
      <c r="F84" s="5"/>
      <c r="G84" s="5"/>
    </row>
    <row r="85" spans="1:7">
      <c r="A85" s="11">
        <v>8</v>
      </c>
      <c r="B85" s="12" t="str">
        <f>المدخلات!$F$5</f>
        <v>5:40–7:10 م</v>
      </c>
      <c r="C85" s="12">
        <v>1</v>
      </c>
      <c r="D85" s="12" t="s">
        <v>181</v>
      </c>
      <c r="E85" s="7"/>
      <c r="F85" s="5"/>
      <c r="G85" s="5"/>
    </row>
    <row r="86" spans="1:7">
      <c r="A86" s="11">
        <v>8</v>
      </c>
      <c r="B86" s="12" t="str">
        <f>المدخلات!$F$5</f>
        <v>5:40–7:10 م</v>
      </c>
      <c r="C86" s="12">
        <v>2</v>
      </c>
      <c r="D86" s="12" t="s">
        <v>31</v>
      </c>
      <c r="E86" s="7"/>
      <c r="F86" s="5"/>
      <c r="G86" s="5"/>
    </row>
    <row r="87" spans="1:7">
      <c r="A87" s="11">
        <v>8</v>
      </c>
      <c r="B87" s="12" t="str">
        <f>المدخلات!$F$5</f>
        <v>5:40–7:10 م</v>
      </c>
      <c r="C87" s="12">
        <v>3</v>
      </c>
      <c r="D87" s="12" t="s">
        <v>38</v>
      </c>
      <c r="E87" s="7"/>
      <c r="F87" s="5"/>
      <c r="G87" s="5"/>
    </row>
    <row r="88" spans="1:7">
      <c r="A88" s="11">
        <v>8</v>
      </c>
      <c r="B88" s="12" t="str">
        <f>المدخلات!$F$5</f>
        <v>5:40–7:10 م</v>
      </c>
      <c r="C88" s="12">
        <v>4</v>
      </c>
      <c r="D88" s="12" t="s">
        <v>230</v>
      </c>
      <c r="E88" s="7"/>
      <c r="F88" s="5"/>
      <c r="G88" s="5"/>
    </row>
    <row r="89" spans="1:7">
      <c r="A89" s="11">
        <v>8</v>
      </c>
      <c r="B89" s="12" t="str">
        <f>المدخلات!$F$6</f>
        <v>7:20–8:50 م</v>
      </c>
      <c r="C89" s="12">
        <v>1</v>
      </c>
      <c r="D89" s="12" t="s">
        <v>32</v>
      </c>
      <c r="E89" s="7"/>
      <c r="F89" s="5"/>
      <c r="G89" s="5"/>
    </row>
    <row r="90" spans="1:7">
      <c r="A90" s="11">
        <v>8</v>
      </c>
      <c r="B90" s="12" t="str">
        <f>المدخلات!$F$6</f>
        <v>7:20–8:50 م</v>
      </c>
      <c r="C90" s="12">
        <v>2</v>
      </c>
      <c r="D90" s="12" t="s">
        <v>182</v>
      </c>
      <c r="E90" s="7"/>
      <c r="F90" s="5"/>
      <c r="G90" s="5"/>
    </row>
    <row r="91" spans="1:7">
      <c r="A91" s="11">
        <v>8</v>
      </c>
      <c r="B91" s="12" t="str">
        <f>المدخلات!$F$6</f>
        <v>7:20–8:50 م</v>
      </c>
      <c r="C91" s="12">
        <v>3</v>
      </c>
      <c r="D91" s="12" t="s">
        <v>250</v>
      </c>
      <c r="E91" s="7"/>
      <c r="F91" s="5"/>
      <c r="G91" s="5"/>
    </row>
    <row r="92" spans="1:7">
      <c r="A92" s="11">
        <v>9</v>
      </c>
      <c r="B92" s="12" t="str">
        <f>المدخلات!$F$4</f>
        <v>4:00–5:30 م</v>
      </c>
      <c r="C92" s="12">
        <v>1</v>
      </c>
      <c r="D92" s="12" t="s">
        <v>132</v>
      </c>
      <c r="E92" s="7"/>
      <c r="F92" s="5"/>
      <c r="G92" s="5"/>
    </row>
    <row r="93" spans="1:7">
      <c r="A93" s="11">
        <v>9</v>
      </c>
      <c r="B93" s="12" t="str">
        <f>المدخلات!$F$4</f>
        <v>4:00–5:30 م</v>
      </c>
      <c r="C93" s="12">
        <v>2</v>
      </c>
      <c r="D93" s="12" t="s">
        <v>251</v>
      </c>
      <c r="E93" s="7"/>
      <c r="F93" s="5"/>
      <c r="G93" s="5"/>
    </row>
    <row r="94" spans="1:7">
      <c r="A94" s="11">
        <v>9</v>
      </c>
      <c r="B94" s="12" t="str">
        <f>المدخلات!$F$4</f>
        <v>4:00–5:30 م</v>
      </c>
      <c r="C94" s="12">
        <v>3</v>
      </c>
      <c r="D94" s="12" t="s">
        <v>19</v>
      </c>
      <c r="E94" s="7"/>
      <c r="F94" s="5"/>
      <c r="G94" s="5"/>
    </row>
    <row r="95" spans="1:7">
      <c r="A95" s="11">
        <v>9</v>
      </c>
      <c r="B95" s="12" t="str">
        <f>المدخلات!$F$4</f>
        <v>4:00–5:30 م</v>
      </c>
      <c r="C95" s="12">
        <v>4</v>
      </c>
      <c r="D95" s="12" t="s">
        <v>20</v>
      </c>
      <c r="E95" s="7"/>
      <c r="F95" s="5"/>
      <c r="G95" s="5"/>
    </row>
    <row r="96" spans="1:7">
      <c r="A96" s="11">
        <v>9</v>
      </c>
      <c r="B96" s="12" t="str">
        <f>المدخلات!$F$5</f>
        <v>5:40–7:10 م</v>
      </c>
      <c r="C96" s="12">
        <v>1</v>
      </c>
      <c r="D96" s="12" t="s">
        <v>183</v>
      </c>
      <c r="E96" s="7"/>
      <c r="F96" s="5"/>
      <c r="G96" s="5"/>
    </row>
    <row r="97" spans="1:7">
      <c r="A97" s="11">
        <v>9</v>
      </c>
      <c r="B97" s="12" t="str">
        <f>المدخلات!$F$5</f>
        <v>5:40–7:10 م</v>
      </c>
      <c r="C97" s="12">
        <v>2</v>
      </c>
      <c r="D97" s="12" t="s">
        <v>106</v>
      </c>
      <c r="E97" s="7"/>
      <c r="F97" s="5"/>
      <c r="G97" s="5"/>
    </row>
    <row r="98" spans="1:7">
      <c r="A98" s="11">
        <v>9</v>
      </c>
      <c r="B98" s="12" t="str">
        <f>المدخلات!$F$5</f>
        <v>5:40–7:10 م</v>
      </c>
      <c r="C98" s="12">
        <v>3</v>
      </c>
      <c r="D98" s="12" t="s">
        <v>131</v>
      </c>
      <c r="E98" s="7"/>
      <c r="F98" s="5"/>
      <c r="G98" s="5"/>
    </row>
    <row r="99" spans="1:7">
      <c r="A99" s="11">
        <v>9</v>
      </c>
      <c r="B99" s="12" t="str">
        <f>المدخلات!$F$5</f>
        <v>5:40–7:10 م</v>
      </c>
      <c r="C99" s="12">
        <v>4</v>
      </c>
      <c r="D99" s="12" t="s">
        <v>231</v>
      </c>
      <c r="E99" s="7"/>
      <c r="F99" s="5"/>
      <c r="G99" s="5"/>
    </row>
    <row r="100" spans="1:7">
      <c r="A100" s="11">
        <v>9</v>
      </c>
      <c r="B100" s="12" t="str">
        <f>المدخلات!$F$6</f>
        <v>7:20–8:50 م</v>
      </c>
      <c r="C100" s="12">
        <v>1</v>
      </c>
      <c r="D100" s="12" t="s">
        <v>184</v>
      </c>
      <c r="E100" s="7"/>
      <c r="F100" s="5"/>
      <c r="G100" s="5"/>
    </row>
    <row r="101" spans="1:7">
      <c r="A101" s="11">
        <v>9</v>
      </c>
      <c r="B101" s="12" t="str">
        <f>المدخلات!$F$6</f>
        <v>7:20–8:50 م</v>
      </c>
      <c r="C101" s="12">
        <v>2</v>
      </c>
      <c r="D101" s="12" t="s">
        <v>112</v>
      </c>
      <c r="E101" s="7"/>
      <c r="F101" s="5"/>
      <c r="G101" s="5"/>
    </row>
    <row r="102" spans="1:7">
      <c r="A102" s="11">
        <v>9</v>
      </c>
      <c r="B102" s="12" t="str">
        <f>المدخلات!$F$6</f>
        <v>7:20–8:50 م</v>
      </c>
      <c r="C102" s="12">
        <v>3</v>
      </c>
      <c r="D102" s="12" t="s">
        <v>210</v>
      </c>
      <c r="E102" s="7"/>
      <c r="F102" s="5"/>
      <c r="G102" s="5"/>
    </row>
    <row r="103" spans="1:7">
      <c r="A103" s="11">
        <v>10</v>
      </c>
      <c r="B103" s="12" t="str">
        <f>المدخلات!$F$4</f>
        <v>4:00–5:30 م</v>
      </c>
      <c r="C103" s="12">
        <v>1</v>
      </c>
      <c r="D103" s="12" t="s">
        <v>23</v>
      </c>
      <c r="E103" s="7"/>
      <c r="F103" s="5"/>
      <c r="G103" s="5"/>
    </row>
    <row r="104" spans="1:7">
      <c r="A104" s="11">
        <v>10</v>
      </c>
      <c r="B104" s="12" t="str">
        <f>المدخلات!$F$4</f>
        <v>4:00–5:30 م</v>
      </c>
      <c r="C104" s="12">
        <v>2</v>
      </c>
      <c r="D104" s="12" t="s">
        <v>100</v>
      </c>
      <c r="E104" s="7"/>
      <c r="F104" s="5"/>
      <c r="G104" s="5"/>
    </row>
    <row r="105" spans="1:7">
      <c r="A105" s="11">
        <v>10</v>
      </c>
      <c r="B105" s="12" t="str">
        <f>المدخلات!$F$4</f>
        <v>4:00–5:30 م</v>
      </c>
      <c r="C105" s="12">
        <v>3</v>
      </c>
      <c r="D105" s="12" t="s">
        <v>186</v>
      </c>
      <c r="E105" s="7"/>
      <c r="F105" s="5"/>
      <c r="G105" s="5"/>
    </row>
    <row r="106" spans="1:7">
      <c r="A106" s="11">
        <v>10</v>
      </c>
      <c r="B106" s="12" t="str">
        <f>المدخلات!$F$4</f>
        <v>4:00–5:30 م</v>
      </c>
      <c r="C106" s="12">
        <v>4</v>
      </c>
      <c r="D106" s="12" t="s">
        <v>107</v>
      </c>
      <c r="E106" s="7"/>
      <c r="F106" s="5"/>
      <c r="G106" s="5"/>
    </row>
    <row r="107" spans="1:7">
      <c r="A107" s="11">
        <v>10</v>
      </c>
      <c r="B107" s="12" t="str">
        <f>المدخلات!$F$5</f>
        <v>5:40–7:10 م</v>
      </c>
      <c r="C107" s="12">
        <v>1</v>
      </c>
      <c r="D107" s="12" t="s">
        <v>134</v>
      </c>
      <c r="E107" s="7"/>
      <c r="F107" s="5"/>
      <c r="G107" s="5"/>
    </row>
    <row r="108" spans="1:7">
      <c r="A108" s="11">
        <v>10</v>
      </c>
      <c r="B108" s="12" t="str">
        <f>المدخلات!$F$5</f>
        <v>5:40–7:10 م</v>
      </c>
      <c r="C108" s="12">
        <v>2</v>
      </c>
      <c r="D108" s="12" t="s">
        <v>252</v>
      </c>
      <c r="E108" s="7"/>
      <c r="F108" s="5"/>
      <c r="G108" s="5"/>
    </row>
    <row r="109" spans="1:7">
      <c r="A109" s="11">
        <v>10</v>
      </c>
      <c r="B109" s="12" t="str">
        <f>المدخلات!$F$5</f>
        <v>5:40–7:10 م</v>
      </c>
      <c r="C109" s="12">
        <v>3</v>
      </c>
      <c r="D109" s="12" t="s">
        <v>185</v>
      </c>
      <c r="E109" s="7"/>
      <c r="F109" s="5"/>
      <c r="G109" s="5"/>
    </row>
    <row r="110" spans="1:7">
      <c r="A110" s="11">
        <v>10</v>
      </c>
      <c r="B110" s="12" t="str">
        <f>المدخلات!$F$5</f>
        <v>5:40–7:10 م</v>
      </c>
      <c r="C110" s="12">
        <v>4</v>
      </c>
      <c r="D110" s="12" t="s">
        <v>211</v>
      </c>
      <c r="E110" s="7"/>
      <c r="F110" s="5"/>
      <c r="G110" s="5"/>
    </row>
    <row r="111" spans="1:7">
      <c r="A111" s="11">
        <v>10</v>
      </c>
      <c r="B111" s="12" t="str">
        <f>المدخلات!$F$6</f>
        <v>7:20–8:50 م</v>
      </c>
      <c r="C111" s="12">
        <v>1</v>
      </c>
      <c r="D111" s="12" t="s">
        <v>133</v>
      </c>
      <c r="E111" s="7"/>
      <c r="F111" s="5"/>
      <c r="G111" s="5"/>
    </row>
    <row r="112" spans="1:7">
      <c r="A112" s="11">
        <v>10</v>
      </c>
      <c r="B112" s="12" t="str">
        <f>المدخلات!$F$6</f>
        <v>7:20–8:50 م</v>
      </c>
      <c r="C112" s="12">
        <v>2</v>
      </c>
      <c r="D112" s="12" t="s">
        <v>232</v>
      </c>
      <c r="E112" s="7"/>
      <c r="F112" s="5"/>
      <c r="G112" s="5"/>
    </row>
    <row r="113" spans="1:7">
      <c r="A113" s="11">
        <v>10</v>
      </c>
      <c r="B113" s="12" t="str">
        <f>المدخلات!$F$6</f>
        <v>7:20–8:50 م</v>
      </c>
      <c r="C113" s="12">
        <v>3</v>
      </c>
      <c r="D113" s="12" t="s">
        <v>113</v>
      </c>
      <c r="E113" s="7"/>
      <c r="F113" s="5"/>
      <c r="G113" s="5"/>
    </row>
    <row r="114" spans="1:7">
      <c r="A114" s="11">
        <v>11</v>
      </c>
      <c r="B114" s="12" t="str">
        <f>المدخلات!$F$4</f>
        <v>4:00–5:30 م</v>
      </c>
      <c r="C114" s="12">
        <v>1</v>
      </c>
      <c r="D114" s="12" t="s">
        <v>187</v>
      </c>
      <c r="E114" s="7"/>
      <c r="F114" s="5"/>
      <c r="G114" s="5"/>
    </row>
    <row r="115" spans="1:7">
      <c r="A115" s="11">
        <v>11</v>
      </c>
      <c r="B115" s="12" t="str">
        <f>المدخلات!$F$4</f>
        <v>4:00–5:30 م</v>
      </c>
      <c r="C115" s="12">
        <v>2</v>
      </c>
      <c r="D115" s="12" t="s">
        <v>212</v>
      </c>
      <c r="E115" s="7"/>
      <c r="F115" s="5"/>
      <c r="G115" s="5"/>
    </row>
    <row r="116" spans="1:7">
      <c r="A116" s="11">
        <v>11</v>
      </c>
      <c r="B116" s="12" t="str">
        <f>المدخلات!$F$4</f>
        <v>4:00–5:30 م</v>
      </c>
      <c r="C116" s="12">
        <v>3</v>
      </c>
      <c r="D116" s="12" t="s">
        <v>233</v>
      </c>
      <c r="E116" s="7"/>
      <c r="F116" s="5"/>
      <c r="G116" s="5"/>
    </row>
    <row r="117" spans="1:7">
      <c r="A117" s="11">
        <v>11</v>
      </c>
      <c r="B117" s="12" t="str">
        <f>المدخلات!$F$4</f>
        <v>4:00–5:30 م</v>
      </c>
      <c r="C117" s="12">
        <v>4</v>
      </c>
      <c r="D117" s="12" t="s">
        <v>253</v>
      </c>
      <c r="E117" s="7"/>
      <c r="F117" s="5"/>
      <c r="G117" s="5"/>
    </row>
    <row r="118" spans="1:7">
      <c r="A118" s="11">
        <v>11</v>
      </c>
      <c r="B118" s="12" t="str">
        <f>المدخلات!$F$5</f>
        <v>5:40–7:10 م</v>
      </c>
      <c r="C118" s="12">
        <v>1</v>
      </c>
      <c r="D118" s="12" t="s">
        <v>135</v>
      </c>
      <c r="E118" s="7"/>
      <c r="F118" s="5"/>
      <c r="G118" s="5"/>
    </row>
    <row r="119" spans="1:7">
      <c r="A119" s="11">
        <v>11</v>
      </c>
      <c r="B119" s="12" t="str">
        <f>المدخلات!$F$5</f>
        <v>5:40–7:10 م</v>
      </c>
      <c r="C119" s="12">
        <v>2</v>
      </c>
      <c r="D119" s="12" t="s">
        <v>91</v>
      </c>
      <c r="E119" s="7"/>
      <c r="F119" s="5"/>
      <c r="G119" s="5"/>
    </row>
    <row r="120" spans="1:7">
      <c r="A120" s="11">
        <v>11</v>
      </c>
      <c r="B120" s="12" t="str">
        <f>المدخلات!$F$5</f>
        <v>5:40–7:10 م</v>
      </c>
      <c r="C120" s="12">
        <v>3</v>
      </c>
      <c r="D120" s="12" t="s">
        <v>78</v>
      </c>
      <c r="E120" s="7"/>
      <c r="F120" s="5"/>
      <c r="G120" s="5"/>
    </row>
    <row r="121" spans="1:7">
      <c r="A121" s="11">
        <v>11</v>
      </c>
      <c r="B121" s="12" t="str">
        <f>المدخلات!$F$5</f>
        <v>5:40–7:10 م</v>
      </c>
      <c r="C121" s="12">
        <v>4</v>
      </c>
      <c r="D121" s="12" t="s">
        <v>188</v>
      </c>
      <c r="E121" s="7"/>
      <c r="F121" s="5"/>
      <c r="G121" s="5"/>
    </row>
    <row r="122" spans="1:7">
      <c r="A122" s="11">
        <v>11</v>
      </c>
      <c r="B122" s="12" t="str">
        <f>المدخلات!$F$6</f>
        <v>7:20–8:50 م</v>
      </c>
      <c r="C122" s="12">
        <v>1</v>
      </c>
      <c r="D122" s="12" t="s">
        <v>105</v>
      </c>
      <c r="E122" s="7"/>
      <c r="F122" s="5"/>
      <c r="G122" s="5"/>
    </row>
    <row r="123" spans="1:7">
      <c r="A123" s="11">
        <v>11</v>
      </c>
      <c r="B123" s="12" t="str">
        <f>المدخلات!$F$6</f>
        <v>7:20–8:50 م</v>
      </c>
      <c r="C123" s="12">
        <v>2</v>
      </c>
      <c r="D123" s="12" t="s">
        <v>101</v>
      </c>
      <c r="E123" s="7"/>
      <c r="F123" s="5"/>
      <c r="G123" s="5"/>
    </row>
    <row r="124" spans="1:7">
      <c r="A124" s="11">
        <v>11</v>
      </c>
      <c r="B124" s="12" t="str">
        <f>المدخلات!$F$6</f>
        <v>7:20–8:50 م</v>
      </c>
      <c r="C124" s="12">
        <v>3</v>
      </c>
      <c r="D124" s="12" t="s">
        <v>136</v>
      </c>
      <c r="E124" s="7"/>
      <c r="F124" s="5"/>
      <c r="G124" s="5"/>
    </row>
    <row r="125" spans="1:7">
      <c r="A125" s="11">
        <v>12</v>
      </c>
      <c r="B125" s="12" t="str">
        <f>المدخلات!$F$4</f>
        <v>4:00–5:30 م</v>
      </c>
      <c r="C125" s="12">
        <v>1</v>
      </c>
      <c r="D125" s="12" t="s">
        <v>254</v>
      </c>
      <c r="E125" s="7"/>
      <c r="F125" s="5"/>
      <c r="G125" s="5"/>
    </row>
    <row r="126" spans="1:7">
      <c r="A126" s="11">
        <v>12</v>
      </c>
      <c r="B126" s="12" t="str">
        <f>المدخلات!$F$4</f>
        <v>4:00–5:30 م</v>
      </c>
      <c r="C126" s="12">
        <v>2</v>
      </c>
      <c r="D126" s="12" t="s">
        <v>92</v>
      </c>
      <c r="E126" s="7"/>
      <c r="F126" s="5"/>
      <c r="G126" s="5"/>
    </row>
    <row r="127" spans="1:7">
      <c r="A127" s="11">
        <v>12</v>
      </c>
      <c r="B127" s="12" t="str">
        <f>المدخلات!$F$4</f>
        <v>4:00–5:30 م</v>
      </c>
      <c r="C127" s="12">
        <v>3</v>
      </c>
      <c r="D127" s="12" t="s">
        <v>79</v>
      </c>
      <c r="E127" s="7"/>
      <c r="F127" s="5"/>
      <c r="G127" s="5"/>
    </row>
    <row r="128" spans="1:7">
      <c r="A128" s="11">
        <v>12</v>
      </c>
      <c r="B128" s="12" t="str">
        <f>المدخلات!$F$4</f>
        <v>4:00–5:30 م</v>
      </c>
      <c r="C128" s="12">
        <v>4</v>
      </c>
      <c r="D128" s="12" t="s">
        <v>99</v>
      </c>
      <c r="E128" s="7"/>
      <c r="F128" s="5"/>
      <c r="G128" s="5"/>
    </row>
    <row r="129" spans="1:7">
      <c r="A129" s="11">
        <v>12</v>
      </c>
      <c r="B129" s="12" t="str">
        <f>المدخلات!$F$5</f>
        <v>5:40–7:10 م</v>
      </c>
      <c r="C129" s="12">
        <v>1</v>
      </c>
      <c r="D129" s="12" t="s">
        <v>213</v>
      </c>
      <c r="E129" s="7"/>
      <c r="F129" s="5"/>
      <c r="G129" s="5"/>
    </row>
    <row r="130" spans="1:7">
      <c r="A130" s="11">
        <v>12</v>
      </c>
      <c r="B130" s="12" t="str">
        <f>المدخلات!$F$5</f>
        <v>5:40–7:10 م</v>
      </c>
      <c r="C130" s="12">
        <v>2</v>
      </c>
      <c r="D130" s="12" t="s">
        <v>139</v>
      </c>
      <c r="E130" s="7"/>
      <c r="F130" s="5"/>
      <c r="G130" s="5"/>
    </row>
    <row r="131" spans="1:7">
      <c r="A131" s="11">
        <v>12</v>
      </c>
      <c r="B131" s="12" t="str">
        <f>المدخلات!$F$5</f>
        <v>5:40–7:10 م</v>
      </c>
      <c r="C131" s="12">
        <v>3</v>
      </c>
      <c r="D131" s="12" t="s">
        <v>69</v>
      </c>
      <c r="E131" s="7"/>
      <c r="F131" s="5"/>
      <c r="G131" s="5"/>
    </row>
    <row r="132" spans="1:7">
      <c r="A132" s="11">
        <v>12</v>
      </c>
      <c r="B132" s="12" t="str">
        <f>المدخلات!$F$5</f>
        <v>5:40–7:10 م</v>
      </c>
      <c r="C132" s="12">
        <v>4</v>
      </c>
      <c r="D132" s="12" t="s">
        <v>138</v>
      </c>
      <c r="E132" s="7"/>
      <c r="F132" s="5"/>
      <c r="G132" s="5"/>
    </row>
    <row r="133" spans="1:7">
      <c r="A133" s="11">
        <v>12</v>
      </c>
      <c r="B133" s="12" t="str">
        <f>المدخلات!$F$6</f>
        <v>7:20–8:50 م</v>
      </c>
      <c r="C133" s="12">
        <v>1</v>
      </c>
      <c r="D133" s="12" t="s">
        <v>190</v>
      </c>
      <c r="E133" s="7"/>
      <c r="F133" s="5"/>
      <c r="G133" s="5"/>
    </row>
    <row r="134" spans="1:7">
      <c r="A134" s="11">
        <v>12</v>
      </c>
      <c r="B134" s="12" t="str">
        <f>المدخلات!$F$6</f>
        <v>7:20–8:50 م</v>
      </c>
      <c r="C134" s="12">
        <v>2</v>
      </c>
      <c r="D134" s="12" t="s">
        <v>137</v>
      </c>
      <c r="E134" s="7"/>
      <c r="F134" s="5"/>
      <c r="G134" s="5"/>
    </row>
    <row r="135" spans="1:7">
      <c r="A135" s="11">
        <v>12</v>
      </c>
      <c r="B135" s="12" t="str">
        <f>المدخلات!$F$6</f>
        <v>7:20–8:50 م</v>
      </c>
      <c r="C135" s="12">
        <v>3</v>
      </c>
      <c r="D135" s="12" t="s">
        <v>189</v>
      </c>
      <c r="E135" s="7"/>
      <c r="F135" s="5"/>
      <c r="G135" s="5"/>
    </row>
    <row r="136" spans="1:7">
      <c r="A136" s="11">
        <v>13</v>
      </c>
      <c r="B136" s="12" t="str">
        <f>المدخلات!$F$4</f>
        <v>4:00–5:30 م</v>
      </c>
      <c r="C136" s="12">
        <v>1</v>
      </c>
      <c r="D136" s="12" t="s">
        <v>80</v>
      </c>
      <c r="E136" s="7"/>
      <c r="F136" s="5"/>
      <c r="G136" s="5"/>
    </row>
    <row r="137" spans="1:7">
      <c r="A137" s="11">
        <v>13</v>
      </c>
      <c r="B137" s="12" t="str">
        <f>المدخلات!$F$4</f>
        <v>4:00–5:30 م</v>
      </c>
      <c r="C137" s="12">
        <v>2</v>
      </c>
      <c r="D137" s="12" t="s">
        <v>59</v>
      </c>
      <c r="E137" s="7"/>
      <c r="F137" s="5"/>
      <c r="G137" s="5"/>
    </row>
    <row r="138" spans="1:7">
      <c r="A138" s="11">
        <v>13</v>
      </c>
      <c r="B138" s="12" t="str">
        <f>المدخلات!$F$4</f>
        <v>4:00–5:30 م</v>
      </c>
      <c r="C138" s="12">
        <v>3</v>
      </c>
      <c r="D138" s="12" t="s">
        <v>142</v>
      </c>
      <c r="E138" s="7"/>
      <c r="F138" s="5"/>
      <c r="G138" s="5"/>
    </row>
    <row r="139" spans="1:7">
      <c r="A139" s="11">
        <v>13</v>
      </c>
      <c r="B139" s="12" t="str">
        <f>المدخلات!$F$4</f>
        <v>4:00–5:30 م</v>
      </c>
      <c r="C139" s="12">
        <v>4</v>
      </c>
      <c r="D139" s="12" t="s">
        <v>70</v>
      </c>
      <c r="E139" s="7"/>
      <c r="F139" s="5"/>
      <c r="G139" s="5"/>
    </row>
    <row r="140" spans="1:7">
      <c r="A140" s="11">
        <v>13</v>
      </c>
      <c r="B140" s="12" t="str">
        <f>المدخلات!$F$5</f>
        <v>5:40–7:10 م</v>
      </c>
      <c r="C140" s="12">
        <v>1</v>
      </c>
      <c r="D140" s="12" t="s">
        <v>143</v>
      </c>
      <c r="E140" s="7"/>
      <c r="F140" s="5"/>
      <c r="G140" s="5"/>
    </row>
    <row r="141" spans="1:7">
      <c r="A141" s="11">
        <v>13</v>
      </c>
      <c r="B141" s="12" t="str">
        <f>المدخلات!$F$5</f>
        <v>5:40–7:10 م</v>
      </c>
      <c r="C141" s="12">
        <v>2</v>
      </c>
      <c r="D141" s="12" t="s">
        <v>191</v>
      </c>
      <c r="E141" s="7"/>
      <c r="F141" s="5"/>
      <c r="G141" s="5"/>
    </row>
    <row r="142" spans="1:7">
      <c r="A142" s="11">
        <v>13</v>
      </c>
      <c r="B142" s="12" t="str">
        <f>المدخلات!$F$5</f>
        <v>5:40–7:10 م</v>
      </c>
      <c r="C142" s="12">
        <v>3</v>
      </c>
      <c r="D142" s="12" t="s">
        <v>255</v>
      </c>
      <c r="E142" s="7"/>
      <c r="F142" s="5"/>
      <c r="G142" s="5"/>
    </row>
    <row r="143" spans="1:7">
      <c r="A143" s="11">
        <v>13</v>
      </c>
      <c r="B143" s="12" t="str">
        <f>المدخلات!$F$5</f>
        <v>5:40–7:10 م</v>
      </c>
      <c r="C143" s="12">
        <v>4</v>
      </c>
      <c r="D143" s="12" t="s">
        <v>140</v>
      </c>
      <c r="E143" s="7"/>
      <c r="F143" s="5"/>
      <c r="G143" s="5"/>
    </row>
    <row r="144" spans="1:7">
      <c r="A144" s="11">
        <v>13</v>
      </c>
      <c r="B144" s="12" t="str">
        <f>المدخلات!$F$6</f>
        <v>7:20–8:50 م</v>
      </c>
      <c r="C144" s="12">
        <v>1</v>
      </c>
      <c r="D144" s="12" t="s">
        <v>234</v>
      </c>
      <c r="E144" s="7"/>
      <c r="F144" s="5"/>
      <c r="G144" s="5"/>
    </row>
    <row r="145" spans="1:7">
      <c r="A145" s="11">
        <v>13</v>
      </c>
      <c r="B145" s="12" t="str">
        <f>المدخلات!$F$6</f>
        <v>7:20–8:50 م</v>
      </c>
      <c r="C145" s="12">
        <v>2</v>
      </c>
      <c r="D145" s="12" t="s">
        <v>141</v>
      </c>
      <c r="E145" s="7"/>
      <c r="F145" s="5"/>
      <c r="G145" s="5"/>
    </row>
    <row r="146" spans="1:7">
      <c r="A146" s="11">
        <v>13</v>
      </c>
      <c r="B146" s="12" t="str">
        <f>المدخلات!$F$6</f>
        <v>7:20–8:50 م</v>
      </c>
      <c r="C146" s="12">
        <v>3</v>
      </c>
      <c r="D146" s="12" t="s">
        <v>144</v>
      </c>
      <c r="E146" s="7"/>
      <c r="F146" s="5"/>
      <c r="G146" s="5"/>
    </row>
    <row r="147" spans="1:7">
      <c r="A147" s="11">
        <v>14</v>
      </c>
      <c r="B147" s="12" t="str">
        <f>المدخلات!$F$4</f>
        <v>4:00–5:30 م</v>
      </c>
      <c r="C147" s="12">
        <v>1</v>
      </c>
      <c r="D147" s="12" t="s">
        <v>256</v>
      </c>
      <c r="E147" s="7"/>
      <c r="F147" s="5"/>
      <c r="G147" s="5"/>
    </row>
    <row r="148" spans="1:7">
      <c r="A148" s="11">
        <v>14</v>
      </c>
      <c r="B148" s="12" t="str">
        <f>المدخلات!$F$4</f>
        <v>4:00–5:30 م</v>
      </c>
      <c r="C148" s="12">
        <v>2</v>
      </c>
      <c r="D148" s="12" t="s">
        <v>214</v>
      </c>
      <c r="E148" s="7"/>
      <c r="F148" s="5"/>
      <c r="G148" s="5"/>
    </row>
    <row r="149" spans="1:7">
      <c r="A149" s="11">
        <v>14</v>
      </c>
      <c r="B149" s="12" t="str">
        <f>المدخلات!$F$4</f>
        <v>4:00–5:30 م</v>
      </c>
      <c r="C149" s="12">
        <v>3</v>
      </c>
      <c r="D149" s="12" t="s">
        <v>71</v>
      </c>
      <c r="E149" s="7"/>
      <c r="F149" s="5"/>
      <c r="G149" s="5"/>
    </row>
    <row r="150" spans="1:7">
      <c r="A150" s="11">
        <v>14</v>
      </c>
      <c r="B150" s="12" t="str">
        <f>المدخلات!$F$4</f>
        <v>4:00–5:30 م</v>
      </c>
      <c r="C150" s="12">
        <v>4</v>
      </c>
      <c r="D150" s="12" t="s">
        <v>148</v>
      </c>
      <c r="E150" s="7"/>
      <c r="F150" s="5"/>
      <c r="G150" s="5"/>
    </row>
    <row r="151" spans="1:7">
      <c r="A151" s="11">
        <v>14</v>
      </c>
      <c r="B151" s="12" t="str">
        <f>المدخلات!$F$5</f>
        <v>5:40–7:10 م</v>
      </c>
      <c r="C151" s="12">
        <v>1</v>
      </c>
      <c r="D151" s="12" t="s">
        <v>147</v>
      </c>
      <c r="E151" s="7"/>
      <c r="F151" s="5"/>
      <c r="G151" s="5"/>
    </row>
    <row r="152" spans="1:7">
      <c r="A152" s="11">
        <v>14</v>
      </c>
      <c r="B152" s="12" t="str">
        <f>المدخلات!$F$5</f>
        <v>5:40–7:10 م</v>
      </c>
      <c r="C152" s="12">
        <v>2</v>
      </c>
      <c r="D152" s="12" t="s">
        <v>235</v>
      </c>
      <c r="E152" s="7"/>
      <c r="F152" s="5"/>
      <c r="G152" s="5"/>
    </row>
    <row r="153" spans="1:7">
      <c r="A153" s="11">
        <v>14</v>
      </c>
      <c r="B153" s="12" t="str">
        <f>المدخلات!$F$5</f>
        <v>5:40–7:10 م</v>
      </c>
      <c r="C153" s="12">
        <v>3</v>
      </c>
      <c r="D153" s="12" t="s">
        <v>146</v>
      </c>
      <c r="E153" s="7"/>
      <c r="F153" s="5"/>
      <c r="G153" s="5"/>
    </row>
    <row r="154" spans="1:7">
      <c r="A154" s="11">
        <v>14</v>
      </c>
      <c r="B154" s="12" t="str">
        <f>المدخلات!$F$5</f>
        <v>5:40–7:10 م</v>
      </c>
      <c r="C154" s="12">
        <v>4</v>
      </c>
      <c r="D154" s="12" t="s">
        <v>60</v>
      </c>
      <c r="E154" s="7"/>
      <c r="F154" s="5"/>
      <c r="G154" s="5"/>
    </row>
    <row r="155" spans="1:7">
      <c r="A155" s="11">
        <v>14</v>
      </c>
      <c r="B155" s="12" t="str">
        <f>المدخلات!$F$6</f>
        <v>7:20–8:50 م</v>
      </c>
      <c r="C155" s="12">
        <v>1</v>
      </c>
      <c r="D155" s="12" t="s">
        <v>145</v>
      </c>
      <c r="E155" s="7"/>
      <c r="F155" s="5"/>
      <c r="G155" s="5"/>
    </row>
    <row r="156" spans="1:7">
      <c r="A156" s="11">
        <v>14</v>
      </c>
      <c r="B156" s="12" t="str">
        <f>المدخلات!$F$6</f>
        <v>7:20–8:50 م</v>
      </c>
      <c r="C156" s="12">
        <v>2</v>
      </c>
      <c r="D156" s="12" t="s">
        <v>52</v>
      </c>
      <c r="E156" s="7"/>
      <c r="F156" s="5"/>
      <c r="G156" s="5"/>
    </row>
    <row r="157" spans="1:7">
      <c r="A157" s="11">
        <v>14</v>
      </c>
      <c r="B157" s="12" t="str">
        <f>المدخلات!$F$6</f>
        <v>7:20–8:50 م</v>
      </c>
      <c r="C157" s="12">
        <v>3</v>
      </c>
      <c r="D157" s="12" t="s">
        <v>81</v>
      </c>
      <c r="E157" s="7"/>
      <c r="F157" s="5"/>
      <c r="G157" s="5"/>
    </row>
    <row r="158" spans="1:7">
      <c r="A158" s="11">
        <v>15</v>
      </c>
      <c r="B158" s="12" t="str">
        <f>المدخلات!$F$4</f>
        <v>4:00–5:30 م</v>
      </c>
      <c r="C158" s="12">
        <v>1</v>
      </c>
      <c r="D158" s="12" t="s">
        <v>61</v>
      </c>
      <c r="E158" s="7"/>
      <c r="F158" s="5"/>
      <c r="G158" s="5"/>
    </row>
    <row r="159" spans="1:7">
      <c r="A159" s="11">
        <v>15</v>
      </c>
      <c r="B159" s="12" t="str">
        <f>المدخلات!$F$4</f>
        <v>4:00–5:30 م</v>
      </c>
      <c r="C159" s="12">
        <v>2</v>
      </c>
      <c r="D159" s="12" t="s">
        <v>82</v>
      </c>
      <c r="E159" s="7"/>
      <c r="F159" s="5"/>
      <c r="G159" s="5"/>
    </row>
    <row r="160" spans="1:7">
      <c r="A160" s="11">
        <v>15</v>
      </c>
      <c r="B160" s="12" t="str">
        <f>المدخلات!$F$4</f>
        <v>4:00–5:30 م</v>
      </c>
      <c r="C160" s="12">
        <v>3</v>
      </c>
      <c r="D160" s="12" t="s">
        <v>236</v>
      </c>
      <c r="E160" s="7"/>
      <c r="F160" s="5"/>
      <c r="G160" s="5"/>
    </row>
    <row r="161" spans="1:7">
      <c r="A161" s="11">
        <v>15</v>
      </c>
      <c r="B161" s="12" t="str">
        <f>المدخلات!$F$4</f>
        <v>4:00–5:30 م</v>
      </c>
      <c r="C161" s="12">
        <v>4</v>
      </c>
      <c r="D161" s="12" t="s">
        <v>192</v>
      </c>
      <c r="E161" s="7"/>
      <c r="F161" s="5"/>
      <c r="G161" s="5"/>
    </row>
    <row r="162" spans="1:7">
      <c r="A162" s="11">
        <v>15</v>
      </c>
      <c r="B162" s="12" t="str">
        <f>المدخلات!$F$5</f>
        <v>5:40–7:10 م</v>
      </c>
      <c r="C162" s="12">
        <v>1</v>
      </c>
      <c r="D162" s="12" t="s">
        <v>53</v>
      </c>
      <c r="E162" s="7"/>
      <c r="F162" s="5"/>
      <c r="G162" s="5"/>
    </row>
    <row r="163" spans="1:7">
      <c r="A163" s="11">
        <v>15</v>
      </c>
      <c r="B163" s="12" t="str">
        <f>المدخلات!$F$5</f>
        <v>5:40–7:10 م</v>
      </c>
      <c r="C163" s="12">
        <v>2</v>
      </c>
      <c r="D163" s="12" t="s">
        <v>149</v>
      </c>
      <c r="E163" s="7"/>
      <c r="F163" s="5"/>
      <c r="G163" s="5"/>
    </row>
    <row r="164" spans="1:7">
      <c r="A164" s="11">
        <v>15</v>
      </c>
      <c r="B164" s="12" t="str">
        <f>المدخلات!$F$5</f>
        <v>5:40–7:10 م</v>
      </c>
      <c r="C164" s="12">
        <v>3</v>
      </c>
      <c r="D164" s="12" t="s">
        <v>215</v>
      </c>
      <c r="E164" s="7"/>
      <c r="F164" s="5"/>
      <c r="G164" s="5"/>
    </row>
    <row r="165" spans="1:7">
      <c r="A165" s="11">
        <v>15</v>
      </c>
      <c r="B165" s="12" t="str">
        <f>المدخلات!$F$5</f>
        <v>5:40–7:10 م</v>
      </c>
      <c r="C165" s="12">
        <v>4</v>
      </c>
      <c r="D165" s="12" t="s">
        <v>72</v>
      </c>
      <c r="E165" s="7"/>
      <c r="F165" s="5"/>
      <c r="G165" s="5"/>
    </row>
    <row r="166" spans="1:7">
      <c r="A166" s="11">
        <v>15</v>
      </c>
      <c r="B166" s="12" t="str">
        <f>المدخلات!$F$6</f>
        <v>7:20–8:50 م</v>
      </c>
      <c r="C166" s="12">
        <v>1</v>
      </c>
      <c r="D166" s="12" t="s">
        <v>150</v>
      </c>
      <c r="E166" s="7"/>
      <c r="F166" s="5"/>
      <c r="G166" s="5"/>
    </row>
    <row r="167" spans="1:7">
      <c r="A167" s="11">
        <v>15</v>
      </c>
      <c r="B167" s="12" t="str">
        <f>المدخلات!$F$6</f>
        <v>7:20–8:50 م</v>
      </c>
      <c r="C167" s="12">
        <v>2</v>
      </c>
      <c r="D167" s="12" t="s">
        <v>44</v>
      </c>
      <c r="E167" s="7"/>
      <c r="F167" s="5"/>
      <c r="G167" s="5"/>
    </row>
    <row r="168" spans="1:7">
      <c r="A168" s="11">
        <v>15</v>
      </c>
      <c r="B168" s="12" t="str">
        <f>المدخلات!$F$6</f>
        <v>7:20–8:50 م</v>
      </c>
      <c r="C168" s="12">
        <v>3</v>
      </c>
      <c r="D168" s="12" t="s">
        <v>257</v>
      </c>
      <c r="E168" s="7"/>
      <c r="F168" s="5"/>
      <c r="G168" s="5"/>
    </row>
    <row r="169" spans="1:7">
      <c r="A169" s="11">
        <v>16</v>
      </c>
      <c r="B169" s="12" t="str">
        <f>المدخلات!$F$4</f>
        <v>4:00–5:30 م</v>
      </c>
      <c r="C169" s="12">
        <v>1</v>
      </c>
      <c r="D169" s="12" t="s">
        <v>39</v>
      </c>
      <c r="E169" s="7"/>
      <c r="F169" s="5"/>
      <c r="G169" s="5"/>
    </row>
    <row r="170" spans="1:7">
      <c r="A170" s="11">
        <v>16</v>
      </c>
      <c r="B170" s="12" t="str">
        <f>المدخلات!$F$4</f>
        <v>4:00–5:30 م</v>
      </c>
      <c r="C170" s="12">
        <v>2</v>
      </c>
      <c r="D170" s="12" t="s">
        <v>216</v>
      </c>
      <c r="E170" s="7"/>
      <c r="F170" s="5"/>
      <c r="G170" s="5"/>
    </row>
    <row r="171" spans="1:7">
      <c r="A171" s="11">
        <v>16</v>
      </c>
      <c r="B171" s="12" t="str">
        <f>المدخلات!$F$4</f>
        <v>4:00–5:30 م</v>
      </c>
      <c r="C171" s="12">
        <v>3</v>
      </c>
      <c r="D171" s="12" t="s">
        <v>54</v>
      </c>
      <c r="E171" s="7"/>
      <c r="F171" s="5"/>
      <c r="G171" s="5"/>
    </row>
    <row r="172" spans="1:7">
      <c r="A172" s="11">
        <v>16</v>
      </c>
      <c r="B172" s="12" t="str">
        <f>المدخلات!$F$4</f>
        <v>4:00–5:30 م</v>
      </c>
      <c r="C172" s="12">
        <v>4</v>
      </c>
      <c r="D172" s="12" t="s">
        <v>167</v>
      </c>
      <c r="E172" s="7"/>
      <c r="F172" s="5"/>
      <c r="G172" s="5"/>
    </row>
    <row r="173" spans="1:7">
      <c r="A173" s="11">
        <v>16</v>
      </c>
      <c r="B173" s="12" t="str">
        <f>المدخلات!$F$5</f>
        <v>5:40–7:10 م</v>
      </c>
      <c r="C173" s="12">
        <v>1</v>
      </c>
      <c r="D173" s="12" t="s">
        <v>237</v>
      </c>
      <c r="E173" s="7"/>
      <c r="F173" s="5"/>
      <c r="G173" s="5"/>
    </row>
    <row r="174" spans="1:7">
      <c r="A174" s="11">
        <v>16</v>
      </c>
      <c r="B174" s="12" t="str">
        <f>المدخلات!$F$5</f>
        <v>5:40–7:10 م</v>
      </c>
      <c r="C174" s="12">
        <v>2</v>
      </c>
      <c r="D174" s="12" t="s">
        <v>193</v>
      </c>
      <c r="E174" s="7"/>
      <c r="F174" s="5"/>
      <c r="G174" s="5"/>
    </row>
    <row r="175" spans="1:7">
      <c r="A175" s="11">
        <v>16</v>
      </c>
      <c r="B175" s="12" t="str">
        <f>المدخلات!$F$5</f>
        <v>5:40–7:10 م</v>
      </c>
      <c r="C175" s="12">
        <v>3</v>
      </c>
      <c r="D175" s="12" t="s">
        <v>258</v>
      </c>
      <c r="E175" s="7"/>
      <c r="F175" s="5"/>
      <c r="G175" s="5"/>
    </row>
    <row r="176" spans="1:7">
      <c r="A176" s="11">
        <v>16</v>
      </c>
      <c r="B176" s="12" t="str">
        <f>المدخلات!$F$5</f>
        <v>5:40–7:10 م</v>
      </c>
      <c r="C176" s="12">
        <v>4</v>
      </c>
      <c r="D176" s="12" t="s">
        <v>83</v>
      </c>
      <c r="E176" s="7"/>
      <c r="F176" s="5"/>
      <c r="G176" s="5"/>
    </row>
    <row r="177" spans="1:7">
      <c r="A177" s="11">
        <v>16</v>
      </c>
      <c r="B177" s="12" t="str">
        <f>المدخلات!$F$6</f>
        <v>7:20–8:50 م</v>
      </c>
      <c r="C177" s="12">
        <v>1</v>
      </c>
      <c r="D177" s="12" t="s">
        <v>62</v>
      </c>
      <c r="E177" s="7"/>
      <c r="F177" s="5"/>
      <c r="G177" s="5"/>
    </row>
    <row r="178" spans="1:7">
      <c r="A178" s="11">
        <v>16</v>
      </c>
      <c r="B178" s="12" t="str">
        <f>المدخلات!$F$6</f>
        <v>7:20–8:50 م</v>
      </c>
      <c r="C178" s="12">
        <v>2</v>
      </c>
      <c r="D178" s="12" t="s">
        <v>45</v>
      </c>
      <c r="E178" s="7"/>
      <c r="F178" s="5"/>
      <c r="G178" s="5"/>
    </row>
    <row r="179" spans="1:7">
      <c r="A179" s="11">
        <v>16</v>
      </c>
      <c r="B179" s="12" t="str">
        <f>المدخلات!$F$6</f>
        <v>7:20–8:50 م</v>
      </c>
      <c r="C179" s="12">
        <v>3</v>
      </c>
      <c r="D179" s="12" t="s">
        <v>73</v>
      </c>
      <c r="E179" s="7"/>
      <c r="F179" s="5"/>
      <c r="G179" s="5"/>
    </row>
    <row r="180" spans="1:7">
      <c r="A180" s="11">
        <v>17</v>
      </c>
      <c r="B180" s="12" t="str">
        <f>المدخلات!$F$4</f>
        <v>4:00–5:30 م</v>
      </c>
      <c r="C180" s="12">
        <v>1</v>
      </c>
      <c r="D180" s="12" t="s">
        <v>217</v>
      </c>
      <c r="E180" s="7"/>
      <c r="F180" s="5"/>
      <c r="G180" s="5"/>
    </row>
    <row r="181" spans="1:7">
      <c r="A181" s="11">
        <v>17</v>
      </c>
      <c r="B181" s="12" t="str">
        <f>المدخلات!$F$4</f>
        <v>4:00–5:30 م</v>
      </c>
      <c r="C181" s="12">
        <v>2</v>
      </c>
      <c r="D181" s="12" t="s">
        <v>55</v>
      </c>
      <c r="E181" s="7"/>
      <c r="F181" s="5"/>
      <c r="G181" s="5"/>
    </row>
    <row r="182" spans="1:7">
      <c r="A182" s="11">
        <v>17</v>
      </c>
      <c r="B182" s="12" t="str">
        <f>المدخلات!$F$4</f>
        <v>4:00–5:30 م</v>
      </c>
      <c r="C182" s="12">
        <v>3</v>
      </c>
      <c r="D182" s="12" t="s">
        <v>194</v>
      </c>
      <c r="E182" s="7"/>
      <c r="F182" s="5"/>
      <c r="G182" s="5"/>
    </row>
    <row r="183" spans="1:7">
      <c r="A183" s="11">
        <v>17</v>
      </c>
      <c r="B183" s="12" t="str">
        <f>المدخلات!$F$4</f>
        <v>4:00–5:30 م</v>
      </c>
      <c r="C183" s="12">
        <v>4</v>
      </c>
      <c r="D183" s="12" t="s">
        <v>46</v>
      </c>
      <c r="E183" s="7"/>
      <c r="F183" s="5"/>
      <c r="G183" s="5"/>
    </row>
    <row r="184" spans="1:7">
      <c r="A184" s="11">
        <v>17</v>
      </c>
      <c r="B184" s="12" t="str">
        <f>المدخلات!$F$5</f>
        <v>5:40–7:10 م</v>
      </c>
      <c r="C184" s="12">
        <v>1</v>
      </c>
      <c r="D184" s="12" t="s">
        <v>168</v>
      </c>
      <c r="E184" s="7"/>
      <c r="F184" s="5"/>
      <c r="G184" s="5"/>
    </row>
    <row r="185" spans="1:7">
      <c r="A185" s="11">
        <v>17</v>
      </c>
      <c r="B185" s="12" t="str">
        <f>المدخلات!$F$5</f>
        <v>5:40–7:10 م</v>
      </c>
      <c r="C185" s="12">
        <v>2</v>
      </c>
      <c r="D185" s="12" t="s">
        <v>259</v>
      </c>
      <c r="E185" s="7"/>
      <c r="F185" s="5"/>
      <c r="G185" s="5"/>
    </row>
    <row r="186" spans="1:7">
      <c r="A186" s="11">
        <v>17</v>
      </c>
      <c r="B186" s="12" t="str">
        <f>المدخلات!$F$5</f>
        <v>5:40–7:10 م</v>
      </c>
      <c r="C186" s="12">
        <v>3</v>
      </c>
      <c r="D186" s="12" t="s">
        <v>63</v>
      </c>
      <c r="E186" s="7"/>
      <c r="F186" s="5"/>
      <c r="G186" s="5"/>
    </row>
    <row r="187" spans="1:7">
      <c r="A187" s="11">
        <v>17</v>
      </c>
      <c r="B187" s="12" t="str">
        <f>المدخلات!$F$5</f>
        <v>5:40–7:10 م</v>
      </c>
      <c r="C187" s="12">
        <v>4</v>
      </c>
      <c r="D187" s="12" t="s">
        <v>18</v>
      </c>
      <c r="E187" s="7"/>
      <c r="F187" s="5"/>
      <c r="G187" s="5"/>
    </row>
    <row r="188" spans="1:7">
      <c r="A188" s="11">
        <v>17</v>
      </c>
      <c r="B188" s="12" t="str">
        <f>المدخلات!$F$6</f>
        <v>7:20–8:50 م</v>
      </c>
      <c r="C188" s="12">
        <v>1</v>
      </c>
      <c r="D188" s="12" t="s">
        <v>151</v>
      </c>
      <c r="E188" s="7"/>
      <c r="F188" s="5"/>
      <c r="G188" s="5"/>
    </row>
    <row r="189" spans="1:7">
      <c r="A189" s="11">
        <v>17</v>
      </c>
      <c r="B189" s="12" t="str">
        <f>المدخلات!$F$6</f>
        <v>7:20–8:50 م</v>
      </c>
      <c r="C189" s="12">
        <v>2</v>
      </c>
      <c r="D189" s="12" t="s">
        <v>40</v>
      </c>
      <c r="E189" s="7"/>
      <c r="F189" s="5"/>
      <c r="G189" s="5"/>
    </row>
    <row r="190" spans="1:7">
      <c r="A190" s="11">
        <v>17</v>
      </c>
      <c r="B190" s="12" t="str">
        <f>المدخلات!$F$6</f>
        <v>7:20–8:50 م</v>
      </c>
      <c r="C190" s="12">
        <v>3</v>
      </c>
      <c r="D190" s="12" t="s">
        <v>238</v>
      </c>
      <c r="E190" s="7"/>
      <c r="F190" s="5"/>
      <c r="G190" s="5"/>
    </row>
    <row r="191" spans="1:7">
      <c r="A191" s="11">
        <v>18</v>
      </c>
      <c r="B191" s="12" t="str">
        <f>المدخلات!$F$4</f>
        <v>4:00–5:30 م</v>
      </c>
      <c r="C191" s="12">
        <v>1</v>
      </c>
      <c r="D191" s="12" t="s">
        <v>21</v>
      </c>
      <c r="E191" s="7"/>
      <c r="F191" s="5"/>
      <c r="G191" s="5"/>
    </row>
    <row r="192" spans="1:7">
      <c r="A192" s="11">
        <v>18</v>
      </c>
      <c r="B192" s="12" t="str">
        <f>المدخلات!$F$4</f>
        <v>4:00–5:30 م</v>
      </c>
      <c r="C192" s="12">
        <v>2</v>
      </c>
      <c r="D192" s="12" t="s">
        <v>239</v>
      </c>
      <c r="E192" s="7"/>
      <c r="F192" s="5"/>
      <c r="G192" s="5"/>
    </row>
    <row r="193" spans="1:7">
      <c r="A193" s="11">
        <v>18</v>
      </c>
      <c r="B193" s="12" t="str">
        <f>المدخلات!$F$4</f>
        <v>4:00–5:30 م</v>
      </c>
      <c r="C193" s="12">
        <v>3</v>
      </c>
      <c r="D193" s="12" t="s">
        <v>47</v>
      </c>
      <c r="E193" s="7"/>
      <c r="F193" s="5"/>
      <c r="G193" s="5"/>
    </row>
    <row r="194" spans="1:7">
      <c r="A194" s="11">
        <v>18</v>
      </c>
      <c r="B194" s="12" t="str">
        <f>المدخلات!$F$4</f>
        <v>4:00–5:30 م</v>
      </c>
      <c r="C194" s="12">
        <v>4</v>
      </c>
      <c r="D194" s="12" t="s">
        <v>41</v>
      </c>
      <c r="E194" s="7"/>
      <c r="F194" s="5"/>
      <c r="G194" s="5"/>
    </row>
    <row r="195" spans="1:7">
      <c r="A195" s="11">
        <v>18</v>
      </c>
      <c r="B195" s="12" t="str">
        <f>المدخلات!$F$5</f>
        <v>5:40–7:10 م</v>
      </c>
      <c r="C195" s="12">
        <v>1</v>
      </c>
      <c r="D195" s="12" t="s">
        <v>195</v>
      </c>
      <c r="E195" s="7"/>
      <c r="F195" s="5"/>
      <c r="G195" s="5"/>
    </row>
    <row r="196" spans="1:7">
      <c r="A196" s="11">
        <v>18</v>
      </c>
      <c r="B196" s="12" t="str">
        <f>المدخلات!$F$5</f>
        <v>5:40–7:10 م</v>
      </c>
      <c r="C196" s="12">
        <v>2</v>
      </c>
      <c r="D196" s="12" t="s">
        <v>152</v>
      </c>
      <c r="E196" s="7"/>
      <c r="F196" s="5"/>
      <c r="G196" s="5"/>
    </row>
    <row r="197" spans="1:7">
      <c r="A197" s="11">
        <v>18</v>
      </c>
      <c r="B197" s="12" t="str">
        <f>المدخلات!$F$5</f>
        <v>5:40–7:10 م</v>
      </c>
      <c r="C197" s="12">
        <v>3</v>
      </c>
      <c r="D197" s="12" t="s">
        <v>114</v>
      </c>
      <c r="E197" s="7"/>
      <c r="F197" s="5"/>
      <c r="G197" s="5"/>
    </row>
    <row r="198" spans="1:7">
      <c r="A198" s="11">
        <v>18</v>
      </c>
      <c r="B198" s="12" t="str">
        <f>المدخلات!$F$5</f>
        <v>5:40–7:10 م</v>
      </c>
      <c r="C198" s="12">
        <v>4</v>
      </c>
      <c r="D198" s="12" t="s">
        <v>260</v>
      </c>
      <c r="E198" s="7"/>
      <c r="F198" s="5"/>
      <c r="G198" s="5"/>
    </row>
    <row r="199" spans="1:7">
      <c r="A199" s="11">
        <v>18</v>
      </c>
      <c r="B199" s="12" t="str">
        <f>المدخلات!$F$6</f>
        <v>7:20–8:50 م</v>
      </c>
      <c r="C199" s="12">
        <v>1</v>
      </c>
      <c r="D199" s="12" t="s">
        <v>218</v>
      </c>
      <c r="E199" s="7"/>
      <c r="F199" s="5"/>
      <c r="G199" s="5"/>
    </row>
    <row r="200" spans="1:7">
      <c r="A200" s="11">
        <v>18</v>
      </c>
      <c r="B200" s="12" t="str">
        <f>المدخلات!$F$6</f>
        <v>7:20–8:50 م</v>
      </c>
      <c r="C200" s="12">
        <v>2</v>
      </c>
      <c r="D200" s="12" t="s">
        <v>164</v>
      </c>
      <c r="E200" s="7"/>
      <c r="F200" s="5"/>
      <c r="G200" s="5"/>
    </row>
    <row r="201" spans="1:7">
      <c r="A201" s="11">
        <v>18</v>
      </c>
      <c r="B201" s="12" t="str">
        <f>المدخلات!$F$6</f>
        <v>7:20–8:50 م</v>
      </c>
      <c r="C201" s="12">
        <v>3</v>
      </c>
      <c r="D201" s="12" t="s">
        <v>22</v>
      </c>
      <c r="E201" s="7"/>
      <c r="F201" s="5"/>
      <c r="G201" s="5"/>
    </row>
    <row r="202" spans="1:7">
      <c r="A202" s="11">
        <v>19</v>
      </c>
      <c r="B202" s="12" t="str">
        <f>المدخلات!$F$4</f>
        <v>4:00–5:30 م</v>
      </c>
      <c r="C202" s="12">
        <v>1</v>
      </c>
      <c r="D202" s="12" t="s">
        <v>108</v>
      </c>
      <c r="E202" s="7"/>
      <c r="F202" s="5"/>
      <c r="G202" s="5"/>
    </row>
    <row r="203" spans="1:7">
      <c r="A203" s="11">
        <v>19</v>
      </c>
      <c r="B203" s="12" t="str">
        <f>المدخلات!$F$4</f>
        <v>4:00–5:30 م</v>
      </c>
      <c r="C203" s="12">
        <v>2</v>
      </c>
      <c r="D203" s="12" t="s">
        <v>153</v>
      </c>
      <c r="E203" s="7"/>
      <c r="F203" s="5"/>
      <c r="G203" s="5"/>
    </row>
    <row r="204" spans="1:7">
      <c r="A204" s="11">
        <v>19</v>
      </c>
      <c r="B204" s="12" t="str">
        <f>المدخلات!$F$4</f>
        <v>4:00–5:30 م</v>
      </c>
      <c r="C204" s="12">
        <v>3</v>
      </c>
      <c r="D204" s="12" t="s">
        <v>197</v>
      </c>
      <c r="E204" s="7"/>
      <c r="F204" s="5"/>
      <c r="G204" s="5"/>
    </row>
    <row r="205" spans="1:7">
      <c r="A205" s="11">
        <v>19</v>
      </c>
      <c r="B205" s="12" t="str">
        <f>المدخلات!$F$4</f>
        <v>4:00–5:30 م</v>
      </c>
      <c r="C205" s="12">
        <v>4</v>
      </c>
      <c r="D205" s="12" t="s">
        <v>115</v>
      </c>
      <c r="E205" s="7"/>
      <c r="F205" s="5"/>
      <c r="G205" s="5"/>
    </row>
    <row r="206" spans="1:7">
      <c r="A206" s="11">
        <v>19</v>
      </c>
      <c r="B206" s="12" t="str">
        <f>المدخلات!$F$5</f>
        <v>5:40–7:10 م</v>
      </c>
      <c r="C206" s="12">
        <v>1</v>
      </c>
      <c r="D206" s="12" t="s">
        <v>240</v>
      </c>
      <c r="E206" s="7"/>
      <c r="F206" s="5"/>
      <c r="G206" s="5"/>
    </row>
    <row r="207" spans="1:7">
      <c r="A207" s="11">
        <v>19</v>
      </c>
      <c r="B207" s="12" t="str">
        <f>المدخلات!$F$5</f>
        <v>5:40–7:10 م</v>
      </c>
      <c r="C207" s="12">
        <v>2</v>
      </c>
      <c r="D207" s="12" t="s">
        <v>24</v>
      </c>
      <c r="E207" s="7"/>
      <c r="F207" s="5"/>
      <c r="G207" s="5"/>
    </row>
    <row r="208" spans="1:7">
      <c r="A208" s="11">
        <v>19</v>
      </c>
      <c r="B208" s="12" t="str">
        <f>المدخلات!$F$5</f>
        <v>5:40–7:10 م</v>
      </c>
      <c r="C208" s="12">
        <v>3</v>
      </c>
      <c r="D208" s="12" t="s">
        <v>219</v>
      </c>
      <c r="E208" s="7"/>
      <c r="F208" s="5"/>
      <c r="G208" s="5"/>
    </row>
    <row r="209" spans="1:7">
      <c r="A209" s="11">
        <v>19</v>
      </c>
      <c r="B209" s="12" t="str">
        <f>المدخلات!$F$5</f>
        <v>5:40–7:10 م</v>
      </c>
      <c r="C209" s="12">
        <v>4</v>
      </c>
      <c r="D209" s="12" t="s">
        <v>25</v>
      </c>
      <c r="E209" s="7"/>
      <c r="F209" s="5"/>
      <c r="G209" s="5"/>
    </row>
    <row r="210" spans="1:7">
      <c r="A210" s="11">
        <v>19</v>
      </c>
      <c r="B210" s="12" t="str">
        <f>المدخلات!$F$6</f>
        <v>7:20–8:50 م</v>
      </c>
      <c r="C210" s="12">
        <v>1</v>
      </c>
      <c r="D210" s="12" t="s">
        <v>26</v>
      </c>
      <c r="E210" s="7"/>
      <c r="F210" s="5"/>
      <c r="G210" s="5"/>
    </row>
    <row r="211" spans="1:7">
      <c r="A211" s="11">
        <v>19</v>
      </c>
      <c r="B211" s="12" t="str">
        <f>المدخلات!$F$6</f>
        <v>7:20–8:50 م</v>
      </c>
      <c r="C211" s="12">
        <v>2</v>
      </c>
      <c r="D211" s="12" t="s">
        <v>261</v>
      </c>
      <c r="E211" s="7"/>
      <c r="F211" s="5"/>
      <c r="G211" s="5"/>
    </row>
    <row r="212" spans="1:7">
      <c r="A212" s="11">
        <v>19</v>
      </c>
      <c r="B212" s="12" t="str">
        <f>المدخلات!$F$6</f>
        <v>7:20–8:50 م</v>
      </c>
      <c r="C212" s="12">
        <v>3</v>
      </c>
      <c r="D212" s="12" t="s">
        <v>196</v>
      </c>
      <c r="E212" s="7"/>
      <c r="F212" s="5"/>
      <c r="G212" s="5"/>
    </row>
    <row r="213" spans="1:7">
      <c r="A213" s="11">
        <v>20</v>
      </c>
      <c r="B213" s="12" t="str">
        <f>المدخلات!$F$4</f>
        <v>4:00–5:30 م</v>
      </c>
      <c r="C213" s="12">
        <v>1</v>
      </c>
      <c r="D213" s="12" t="s">
        <v>262</v>
      </c>
      <c r="E213" s="7"/>
      <c r="F213" s="5"/>
      <c r="G213" s="5"/>
    </row>
    <row r="214" spans="1:7">
      <c r="A214" s="11">
        <v>20</v>
      </c>
      <c r="B214" s="12" t="str">
        <f>المدخلات!$F$4</f>
        <v>4:00–5:30 م</v>
      </c>
      <c r="C214" s="12">
        <v>2</v>
      </c>
      <c r="D214" s="12" t="s">
        <v>241</v>
      </c>
      <c r="E214" s="7"/>
      <c r="F214" s="5"/>
      <c r="G214" s="5"/>
    </row>
    <row r="215" spans="1:7">
      <c r="A215" s="11">
        <v>20</v>
      </c>
      <c r="B215" s="12" t="str">
        <f>المدخلات!$F$4</f>
        <v>4:00–5:30 م</v>
      </c>
      <c r="C215" s="12">
        <v>3</v>
      </c>
      <c r="D215" s="12" t="s">
        <v>199</v>
      </c>
      <c r="E215" s="7"/>
      <c r="F215" s="5"/>
      <c r="G215" s="5"/>
    </row>
    <row r="216" spans="1:7">
      <c r="A216" s="11">
        <v>20</v>
      </c>
      <c r="B216" s="12" t="str">
        <f>المدخلات!$F$4</f>
        <v>4:00–5:30 م</v>
      </c>
      <c r="C216" s="12">
        <v>4</v>
      </c>
      <c r="D216" s="12" t="s">
        <v>109</v>
      </c>
      <c r="E216" s="7"/>
      <c r="F216" s="5"/>
      <c r="G216" s="5"/>
    </row>
    <row r="217" spans="1:7">
      <c r="A217" s="11">
        <v>20</v>
      </c>
      <c r="B217" s="12" t="str">
        <f>المدخلات!$F$5</f>
        <v>5:40–7:10 م</v>
      </c>
      <c r="C217" s="12">
        <v>1</v>
      </c>
      <c r="D217" s="12" t="s">
        <v>116</v>
      </c>
      <c r="E217" s="7"/>
      <c r="F217" s="5"/>
      <c r="G217" s="5"/>
    </row>
    <row r="218" spans="1:7">
      <c r="A218" s="11">
        <v>20</v>
      </c>
      <c r="B218" s="12" t="str">
        <f>المدخلات!$F$5</f>
        <v>5:40–7:10 م</v>
      </c>
      <c r="C218" s="12">
        <v>2</v>
      </c>
      <c r="D218" s="12" t="s">
        <v>220</v>
      </c>
      <c r="E218" s="7"/>
      <c r="F218" s="5"/>
      <c r="G218" s="5"/>
    </row>
    <row r="219" spans="1:7">
      <c r="A219" s="11">
        <v>20</v>
      </c>
      <c r="B219" s="12" t="str">
        <f>المدخلات!$F$5</f>
        <v>5:40–7:10 م</v>
      </c>
      <c r="C219" s="12">
        <v>3</v>
      </c>
      <c r="D219" s="12" t="s">
        <v>102</v>
      </c>
      <c r="E219" s="7"/>
      <c r="F219" s="5"/>
      <c r="G219" s="5"/>
    </row>
    <row r="220" spans="1:7">
      <c r="A220" s="11">
        <v>20</v>
      </c>
      <c r="B220" s="12" t="str">
        <f>المدخلات!$F$5</f>
        <v>5:40–7:10 م</v>
      </c>
      <c r="C220" s="12">
        <v>4</v>
      </c>
      <c r="D220" s="12" t="s">
        <v>154</v>
      </c>
      <c r="E220" s="7"/>
      <c r="F220" s="5"/>
      <c r="G220" s="5"/>
    </row>
    <row r="221" spans="1:7">
      <c r="A221" s="11">
        <v>20</v>
      </c>
      <c r="B221" s="12" t="str">
        <f>المدخلات!$F$6</f>
        <v>7:20–8:50 م</v>
      </c>
      <c r="C221" s="12">
        <v>1</v>
      </c>
      <c r="D221" s="12" t="s">
        <v>198</v>
      </c>
      <c r="E221" s="7"/>
      <c r="F221" s="5"/>
      <c r="G221" s="5"/>
    </row>
    <row r="222" spans="1:7">
      <c r="A222" s="11">
        <v>20</v>
      </c>
      <c r="B222" s="12" t="str">
        <f>المدخلات!$F$6</f>
        <v>7:20–8:50 م</v>
      </c>
      <c r="C222" s="12">
        <v>2</v>
      </c>
      <c r="D222" s="12" t="s">
        <v>28</v>
      </c>
      <c r="E222" s="7"/>
      <c r="F222" s="5"/>
      <c r="G222" s="5"/>
    </row>
    <row r="223" spans="1:7">
      <c r="A223" s="11">
        <v>20</v>
      </c>
      <c r="B223" s="12" t="str">
        <f>المدخلات!$F$6</f>
        <v>7:20–8:50 م</v>
      </c>
      <c r="C223" s="12">
        <v>3</v>
      </c>
      <c r="D223" s="12" t="s">
        <v>27</v>
      </c>
      <c r="E223" s="7"/>
      <c r="F223" s="5"/>
      <c r="G223" s="5"/>
    </row>
    <row r="224" spans="1:7">
      <c r="A224" s="11">
        <v>21</v>
      </c>
      <c r="B224" s="12" t="str">
        <f>المدخلات!$F$4</f>
        <v>4:00–5:30 م</v>
      </c>
      <c r="C224" s="12">
        <v>1</v>
      </c>
      <c r="D224" s="12" t="s">
        <v>263</v>
      </c>
      <c r="E224" s="7"/>
      <c r="F224" s="5"/>
      <c r="G224" s="5"/>
    </row>
    <row r="225" spans="1:23">
      <c r="A225" s="11">
        <v>21</v>
      </c>
      <c r="B225" s="12" t="str">
        <f>المدخلات!$F$4</f>
        <v>4:00–5:30 م</v>
      </c>
      <c r="C225" s="12">
        <v>2</v>
      </c>
      <c r="D225" s="12" t="s">
        <v>103</v>
      </c>
      <c r="E225" s="7"/>
      <c r="F225" s="5"/>
      <c r="G225" s="5"/>
    </row>
    <row r="226" spans="1:23">
      <c r="A226" s="11">
        <v>21</v>
      </c>
      <c r="B226" s="12" t="str">
        <f>المدخلات!$F$4</f>
        <v>4:00–5:30 م</v>
      </c>
      <c r="C226" s="12">
        <v>3</v>
      </c>
      <c r="D226" s="12" t="s">
        <v>155</v>
      </c>
      <c r="E226" s="7"/>
      <c r="F226" s="5"/>
      <c r="G226" s="5"/>
    </row>
    <row r="227" spans="1:23">
      <c r="A227" s="11">
        <v>21</v>
      </c>
      <c r="B227" s="12" t="str">
        <f>المدخلات!$F$4</f>
        <v>4:00–5:30 م</v>
      </c>
      <c r="C227" s="12">
        <v>4</v>
      </c>
      <c r="D227" s="12" t="s">
        <v>30</v>
      </c>
      <c r="E227" s="7"/>
      <c r="F227" s="5"/>
      <c r="G227" s="5"/>
    </row>
    <row r="228" spans="1:23">
      <c r="A228" s="11">
        <v>21</v>
      </c>
      <c r="B228" s="12" t="str">
        <f>المدخلات!$F$5</f>
        <v>5:40–7:10 م</v>
      </c>
      <c r="C228" s="12">
        <v>1</v>
      </c>
      <c r="D228" s="12" t="s">
        <v>201</v>
      </c>
      <c r="E228" s="7"/>
      <c r="F228" s="5"/>
      <c r="G228" s="5"/>
    </row>
    <row r="229" spans="1:23">
      <c r="A229" s="11">
        <v>21</v>
      </c>
      <c r="B229" s="12" t="str">
        <f>المدخلات!$F$5</f>
        <v>5:40–7:10 م</v>
      </c>
      <c r="C229" s="12">
        <v>2</v>
      </c>
      <c r="D229" s="12" t="s">
        <v>104</v>
      </c>
      <c r="E229" s="7"/>
      <c r="F229" s="5"/>
      <c r="G229" s="5"/>
    </row>
    <row r="230" spans="1:23">
      <c r="A230" s="11">
        <v>21</v>
      </c>
      <c r="B230" s="12" t="str">
        <f>المدخلات!$F$5</f>
        <v>5:40–7:10 م</v>
      </c>
      <c r="C230" s="12">
        <v>3</v>
      </c>
      <c r="D230" s="12" t="s">
        <v>242</v>
      </c>
      <c r="E230" s="7"/>
      <c r="F230" s="5"/>
      <c r="G230" s="5"/>
    </row>
    <row r="231" spans="1:23">
      <c r="A231" s="11">
        <v>21</v>
      </c>
      <c r="B231" s="12" t="str">
        <f>المدخلات!$F$5</f>
        <v>5:40–7:10 م</v>
      </c>
      <c r="C231" s="12">
        <v>4</v>
      </c>
      <c r="D231" s="12" t="s">
        <v>200</v>
      </c>
      <c r="E231" s="7"/>
      <c r="F231" s="5"/>
      <c r="G231" s="5"/>
    </row>
    <row r="232" spans="1:23">
      <c r="A232" s="11">
        <v>21</v>
      </c>
      <c r="B232" s="12" t="str">
        <f>المدخلات!$F$6</f>
        <v>7:20–8:50 م</v>
      </c>
      <c r="C232" s="12">
        <v>1</v>
      </c>
      <c r="D232" s="12" t="s">
        <v>93</v>
      </c>
      <c r="E232" s="7"/>
      <c r="F232" s="5"/>
      <c r="G232" s="5"/>
    </row>
    <row r="233" spans="1:23">
      <c r="A233" s="11">
        <v>21</v>
      </c>
      <c r="B233" s="12" t="str">
        <f>المدخلات!$F$6</f>
        <v>7:20–8:50 م</v>
      </c>
      <c r="C233" s="12">
        <v>2</v>
      </c>
      <c r="D233" s="12" t="s">
        <v>110</v>
      </c>
      <c r="E233" s="7"/>
      <c r="F233" s="5"/>
      <c r="G233" s="5"/>
    </row>
    <row r="234" spans="1:23">
      <c r="A234" s="11">
        <v>21</v>
      </c>
      <c r="B234" s="12" t="str">
        <f>المدخلات!$F$6</f>
        <v>7:20–8:50 م</v>
      </c>
      <c r="C234" s="12">
        <v>3</v>
      </c>
      <c r="D234" s="12" t="s">
        <v>221</v>
      </c>
      <c r="E234" s="7"/>
      <c r="F234" s="5"/>
      <c r="G234" s="5"/>
    </row>
    <row r="235" spans="1:23">
      <c r="A235" s="5"/>
      <c r="B235" s="5"/>
      <c r="C235" s="5"/>
      <c r="D235" s="5"/>
      <c r="E235" s="5"/>
      <c r="F235" s="5"/>
      <c r="G235" s="5"/>
    </row>
    <row r="236" spans="1:23">
      <c r="A236" s="5"/>
      <c r="B236" s="5"/>
      <c r="C236" s="5"/>
      <c r="D236" s="5"/>
      <c r="E236" s="5"/>
      <c r="F236" s="5"/>
      <c r="G236" s="5"/>
    </row>
    <row r="237" spans="1:23" ht="15.5">
      <c r="A237" s="52" t="s">
        <v>363</v>
      </c>
      <c r="B237" s="52"/>
      <c r="C237" s="52"/>
      <c r="D237" s="52"/>
      <c r="E237" s="52"/>
      <c r="F237" s="52"/>
      <c r="G237" s="52"/>
      <c r="H237" s="52"/>
      <c r="I237" s="52"/>
      <c r="J237" s="52"/>
      <c r="K237" s="52"/>
      <c r="L237" s="52"/>
      <c r="M237" s="52"/>
      <c r="N237" s="52"/>
      <c r="O237" s="52"/>
      <c r="P237" s="52"/>
      <c r="Q237" s="52"/>
      <c r="R237" s="52"/>
      <c r="S237" s="52"/>
      <c r="T237" s="52"/>
      <c r="U237" s="52"/>
      <c r="V237" s="52"/>
      <c r="W237" s="52"/>
    </row>
    <row r="238" spans="1:23">
      <c r="A238" s="9" t="s">
        <v>362</v>
      </c>
      <c r="B238" s="9">
        <v>1</v>
      </c>
      <c r="C238" s="9">
        <v>2</v>
      </c>
      <c r="D238" s="9">
        <v>3</v>
      </c>
      <c r="E238" s="9">
        <v>4</v>
      </c>
      <c r="F238" s="9">
        <v>5</v>
      </c>
      <c r="G238" s="9">
        <v>6</v>
      </c>
      <c r="H238" s="9">
        <v>7</v>
      </c>
      <c r="I238" s="9">
        <v>8</v>
      </c>
      <c r="J238" s="9">
        <v>9</v>
      </c>
      <c r="K238" s="9">
        <v>10</v>
      </c>
      <c r="L238" s="9">
        <v>11</v>
      </c>
      <c r="M238" s="9">
        <v>12</v>
      </c>
      <c r="N238" s="9">
        <v>13</v>
      </c>
      <c r="O238" s="9">
        <v>14</v>
      </c>
      <c r="P238" s="9">
        <v>15</v>
      </c>
      <c r="Q238" s="9">
        <v>16</v>
      </c>
      <c r="R238" s="9">
        <v>17</v>
      </c>
      <c r="S238" s="9">
        <v>18</v>
      </c>
      <c r="T238" s="9">
        <v>19</v>
      </c>
      <c r="U238" s="9">
        <v>20</v>
      </c>
      <c r="V238" s="9">
        <v>21</v>
      </c>
      <c r="W238" s="9">
        <v>22</v>
      </c>
    </row>
    <row r="239" spans="1:23">
      <c r="A239" s="9">
        <v>1</v>
      </c>
      <c r="B239" s="12" t="str">
        <f t="shared" ref="B239:K248" si="0">IF($A239=B$238,"",COUNTIF($D$4:$D$234,$A239&amp;" ضد "&amp;B$238)+COUNTIF($D$4:$D$234,B$238&amp;" ضد "&amp;$A239))</f>
        <v/>
      </c>
      <c r="C239" s="12">
        <f t="shared" si="0"/>
        <v>1</v>
      </c>
      <c r="D239" s="12">
        <f t="shared" si="0"/>
        <v>1</v>
      </c>
      <c r="E239" s="12">
        <f t="shared" si="0"/>
        <v>1</v>
      </c>
      <c r="F239" s="12">
        <f t="shared" si="0"/>
        <v>1</v>
      </c>
      <c r="G239" s="12">
        <f t="shared" si="0"/>
        <v>1</v>
      </c>
      <c r="H239" s="12">
        <f t="shared" si="0"/>
        <v>1</v>
      </c>
      <c r="I239" s="12">
        <f t="shared" si="0"/>
        <v>1</v>
      </c>
      <c r="J239" s="12">
        <f t="shared" si="0"/>
        <v>1</v>
      </c>
      <c r="K239" s="12">
        <f t="shared" si="0"/>
        <v>1</v>
      </c>
      <c r="L239" s="12">
        <f t="shared" ref="L239:W248" si="1">IF($A239=L$238,"",COUNTIF($D$4:$D$234,$A239&amp;" ضد "&amp;L$238)+COUNTIF($D$4:$D$234,L$238&amp;" ضد "&amp;$A239))</f>
        <v>1</v>
      </c>
      <c r="M239" s="12">
        <f t="shared" si="1"/>
        <v>1</v>
      </c>
      <c r="N239" s="12">
        <f t="shared" si="1"/>
        <v>1</v>
      </c>
      <c r="O239" s="12">
        <f t="shared" si="1"/>
        <v>1</v>
      </c>
      <c r="P239" s="12">
        <f t="shared" si="1"/>
        <v>1</v>
      </c>
      <c r="Q239" s="12">
        <f t="shared" si="1"/>
        <v>1</v>
      </c>
      <c r="R239" s="12">
        <f t="shared" si="1"/>
        <v>1</v>
      </c>
      <c r="S239" s="12">
        <f t="shared" si="1"/>
        <v>1</v>
      </c>
      <c r="T239" s="12">
        <f t="shared" si="1"/>
        <v>1</v>
      </c>
      <c r="U239" s="12">
        <f t="shared" si="1"/>
        <v>1</v>
      </c>
      <c r="V239" s="12">
        <f t="shared" si="1"/>
        <v>1</v>
      </c>
      <c r="W239" s="12">
        <f t="shared" si="1"/>
        <v>1</v>
      </c>
    </row>
    <row r="240" spans="1:23">
      <c r="A240" s="9">
        <v>2</v>
      </c>
      <c r="B240" s="12">
        <f t="shared" si="0"/>
        <v>1</v>
      </c>
      <c r="C240" s="12" t="str">
        <f t="shared" si="0"/>
        <v/>
      </c>
      <c r="D240" s="12">
        <f t="shared" si="0"/>
        <v>1</v>
      </c>
      <c r="E240" s="12">
        <f t="shared" si="0"/>
        <v>1</v>
      </c>
      <c r="F240" s="12">
        <f t="shared" si="0"/>
        <v>1</v>
      </c>
      <c r="G240" s="12">
        <f t="shared" si="0"/>
        <v>1</v>
      </c>
      <c r="H240" s="12">
        <f t="shared" si="0"/>
        <v>1</v>
      </c>
      <c r="I240" s="12">
        <f t="shared" si="0"/>
        <v>1</v>
      </c>
      <c r="J240" s="12">
        <f t="shared" si="0"/>
        <v>1</v>
      </c>
      <c r="K240" s="12">
        <f t="shared" si="0"/>
        <v>1</v>
      </c>
      <c r="L240" s="12">
        <f t="shared" si="1"/>
        <v>1</v>
      </c>
      <c r="M240" s="12">
        <f t="shared" si="1"/>
        <v>1</v>
      </c>
      <c r="N240" s="12">
        <f t="shared" si="1"/>
        <v>1</v>
      </c>
      <c r="O240" s="12">
        <f t="shared" si="1"/>
        <v>1</v>
      </c>
      <c r="P240" s="12">
        <f t="shared" si="1"/>
        <v>1</v>
      </c>
      <c r="Q240" s="12">
        <f t="shared" si="1"/>
        <v>1</v>
      </c>
      <c r="R240" s="12">
        <f t="shared" si="1"/>
        <v>1</v>
      </c>
      <c r="S240" s="12">
        <f t="shared" si="1"/>
        <v>1</v>
      </c>
      <c r="T240" s="12">
        <f t="shared" si="1"/>
        <v>1</v>
      </c>
      <c r="U240" s="12">
        <f t="shared" si="1"/>
        <v>1</v>
      </c>
      <c r="V240" s="12">
        <f t="shared" si="1"/>
        <v>1</v>
      </c>
      <c r="W240" s="12">
        <f t="shared" si="1"/>
        <v>1</v>
      </c>
    </row>
    <row r="241" spans="1:23">
      <c r="A241" s="9">
        <v>3</v>
      </c>
      <c r="B241" s="12">
        <f t="shared" si="0"/>
        <v>1</v>
      </c>
      <c r="C241" s="12">
        <f t="shared" si="0"/>
        <v>1</v>
      </c>
      <c r="D241" s="12" t="str">
        <f t="shared" si="0"/>
        <v/>
      </c>
      <c r="E241" s="12">
        <f t="shared" si="0"/>
        <v>1</v>
      </c>
      <c r="F241" s="12">
        <f t="shared" si="0"/>
        <v>1</v>
      </c>
      <c r="G241" s="12">
        <f t="shared" si="0"/>
        <v>1</v>
      </c>
      <c r="H241" s="12">
        <f t="shared" si="0"/>
        <v>1</v>
      </c>
      <c r="I241" s="12">
        <f t="shared" si="0"/>
        <v>1</v>
      </c>
      <c r="J241" s="12">
        <f t="shared" si="0"/>
        <v>1</v>
      </c>
      <c r="K241" s="12">
        <f t="shared" si="0"/>
        <v>1</v>
      </c>
      <c r="L241" s="12">
        <f t="shared" si="1"/>
        <v>1</v>
      </c>
      <c r="M241" s="12">
        <f t="shared" si="1"/>
        <v>1</v>
      </c>
      <c r="N241" s="12">
        <f t="shared" si="1"/>
        <v>1</v>
      </c>
      <c r="O241" s="12">
        <f t="shared" si="1"/>
        <v>1</v>
      </c>
      <c r="P241" s="12">
        <f t="shared" si="1"/>
        <v>1</v>
      </c>
      <c r="Q241" s="12">
        <f t="shared" si="1"/>
        <v>1</v>
      </c>
      <c r="R241" s="12">
        <f t="shared" si="1"/>
        <v>1</v>
      </c>
      <c r="S241" s="12">
        <f t="shared" si="1"/>
        <v>1</v>
      </c>
      <c r="T241" s="12">
        <f t="shared" si="1"/>
        <v>1</v>
      </c>
      <c r="U241" s="12">
        <f t="shared" si="1"/>
        <v>1</v>
      </c>
      <c r="V241" s="12">
        <f t="shared" si="1"/>
        <v>1</v>
      </c>
      <c r="W241" s="12">
        <f t="shared" si="1"/>
        <v>1</v>
      </c>
    </row>
    <row r="242" spans="1:23">
      <c r="A242" s="9">
        <v>4</v>
      </c>
      <c r="B242" s="12">
        <f t="shared" si="0"/>
        <v>1</v>
      </c>
      <c r="C242" s="12">
        <f t="shared" si="0"/>
        <v>1</v>
      </c>
      <c r="D242" s="12">
        <f t="shared" si="0"/>
        <v>1</v>
      </c>
      <c r="E242" s="12" t="str">
        <f t="shared" si="0"/>
        <v/>
      </c>
      <c r="F242" s="12">
        <f t="shared" si="0"/>
        <v>1</v>
      </c>
      <c r="G242" s="12">
        <f t="shared" si="0"/>
        <v>1</v>
      </c>
      <c r="H242" s="12">
        <f t="shared" si="0"/>
        <v>1</v>
      </c>
      <c r="I242" s="12">
        <f t="shared" si="0"/>
        <v>1</v>
      </c>
      <c r="J242" s="12">
        <f t="shared" si="0"/>
        <v>1</v>
      </c>
      <c r="K242" s="12">
        <f t="shared" si="0"/>
        <v>1</v>
      </c>
      <c r="L242" s="12">
        <f t="shared" si="1"/>
        <v>1</v>
      </c>
      <c r="M242" s="12">
        <f t="shared" si="1"/>
        <v>1</v>
      </c>
      <c r="N242" s="12">
        <f t="shared" si="1"/>
        <v>1</v>
      </c>
      <c r="O242" s="12">
        <f t="shared" si="1"/>
        <v>1</v>
      </c>
      <c r="P242" s="12">
        <f t="shared" si="1"/>
        <v>1</v>
      </c>
      <c r="Q242" s="12">
        <f t="shared" si="1"/>
        <v>1</v>
      </c>
      <c r="R242" s="12">
        <f t="shared" si="1"/>
        <v>1</v>
      </c>
      <c r="S242" s="12">
        <f t="shared" si="1"/>
        <v>1</v>
      </c>
      <c r="T242" s="12">
        <f t="shared" si="1"/>
        <v>1</v>
      </c>
      <c r="U242" s="12">
        <f t="shared" si="1"/>
        <v>1</v>
      </c>
      <c r="V242" s="12">
        <f t="shared" si="1"/>
        <v>1</v>
      </c>
      <c r="W242" s="12">
        <f t="shared" si="1"/>
        <v>1</v>
      </c>
    </row>
    <row r="243" spans="1:23">
      <c r="A243" s="9">
        <v>5</v>
      </c>
      <c r="B243" s="12">
        <f t="shared" si="0"/>
        <v>1</v>
      </c>
      <c r="C243" s="12">
        <f t="shared" si="0"/>
        <v>1</v>
      </c>
      <c r="D243" s="12">
        <f t="shared" si="0"/>
        <v>1</v>
      </c>
      <c r="E243" s="12">
        <f t="shared" si="0"/>
        <v>1</v>
      </c>
      <c r="F243" s="12" t="str">
        <f t="shared" si="0"/>
        <v/>
      </c>
      <c r="G243" s="12">
        <f t="shared" si="0"/>
        <v>1</v>
      </c>
      <c r="H243" s="12">
        <f t="shared" si="0"/>
        <v>1</v>
      </c>
      <c r="I243" s="12">
        <f t="shared" si="0"/>
        <v>1</v>
      </c>
      <c r="J243" s="12">
        <f t="shared" si="0"/>
        <v>1</v>
      </c>
      <c r="K243" s="12">
        <f t="shared" si="0"/>
        <v>1</v>
      </c>
      <c r="L243" s="12">
        <f t="shared" si="1"/>
        <v>1</v>
      </c>
      <c r="M243" s="12">
        <f t="shared" si="1"/>
        <v>1</v>
      </c>
      <c r="N243" s="12">
        <f t="shared" si="1"/>
        <v>1</v>
      </c>
      <c r="O243" s="12">
        <f t="shared" si="1"/>
        <v>1</v>
      </c>
      <c r="P243" s="12">
        <f t="shared" si="1"/>
        <v>1</v>
      </c>
      <c r="Q243" s="12">
        <f t="shared" si="1"/>
        <v>1</v>
      </c>
      <c r="R243" s="12">
        <f t="shared" si="1"/>
        <v>1</v>
      </c>
      <c r="S243" s="12">
        <f t="shared" si="1"/>
        <v>1</v>
      </c>
      <c r="T243" s="12">
        <f t="shared" si="1"/>
        <v>1</v>
      </c>
      <c r="U243" s="12">
        <f t="shared" si="1"/>
        <v>1</v>
      </c>
      <c r="V243" s="12">
        <f t="shared" si="1"/>
        <v>1</v>
      </c>
      <c r="W243" s="12">
        <f t="shared" si="1"/>
        <v>1</v>
      </c>
    </row>
    <row r="244" spans="1:23">
      <c r="A244" s="9">
        <v>6</v>
      </c>
      <c r="B244" s="12">
        <f t="shared" si="0"/>
        <v>1</v>
      </c>
      <c r="C244" s="12">
        <f t="shared" si="0"/>
        <v>1</v>
      </c>
      <c r="D244" s="12">
        <f t="shared" si="0"/>
        <v>1</v>
      </c>
      <c r="E244" s="12">
        <f t="shared" si="0"/>
        <v>1</v>
      </c>
      <c r="F244" s="12">
        <f t="shared" si="0"/>
        <v>1</v>
      </c>
      <c r="G244" s="12" t="str">
        <f t="shared" si="0"/>
        <v/>
      </c>
      <c r="H244" s="12">
        <f t="shared" si="0"/>
        <v>1</v>
      </c>
      <c r="I244" s="12">
        <f t="shared" si="0"/>
        <v>1</v>
      </c>
      <c r="J244" s="12">
        <f t="shared" si="0"/>
        <v>1</v>
      </c>
      <c r="K244" s="12">
        <f t="shared" si="0"/>
        <v>1</v>
      </c>
      <c r="L244" s="12">
        <f t="shared" si="1"/>
        <v>1</v>
      </c>
      <c r="M244" s="12">
        <f t="shared" si="1"/>
        <v>1</v>
      </c>
      <c r="N244" s="12">
        <f t="shared" si="1"/>
        <v>1</v>
      </c>
      <c r="O244" s="12">
        <f t="shared" si="1"/>
        <v>1</v>
      </c>
      <c r="P244" s="12">
        <f t="shared" si="1"/>
        <v>1</v>
      </c>
      <c r="Q244" s="12">
        <f t="shared" si="1"/>
        <v>1</v>
      </c>
      <c r="R244" s="12">
        <f t="shared" si="1"/>
        <v>1</v>
      </c>
      <c r="S244" s="12">
        <f t="shared" si="1"/>
        <v>1</v>
      </c>
      <c r="T244" s="12">
        <f t="shared" si="1"/>
        <v>1</v>
      </c>
      <c r="U244" s="12">
        <f t="shared" si="1"/>
        <v>1</v>
      </c>
      <c r="V244" s="12">
        <f t="shared" si="1"/>
        <v>1</v>
      </c>
      <c r="W244" s="12">
        <f t="shared" si="1"/>
        <v>1</v>
      </c>
    </row>
    <row r="245" spans="1:23">
      <c r="A245" s="9">
        <v>7</v>
      </c>
      <c r="B245" s="12">
        <f t="shared" si="0"/>
        <v>1</v>
      </c>
      <c r="C245" s="12">
        <f t="shared" si="0"/>
        <v>1</v>
      </c>
      <c r="D245" s="12">
        <f t="shared" si="0"/>
        <v>1</v>
      </c>
      <c r="E245" s="12">
        <f t="shared" si="0"/>
        <v>1</v>
      </c>
      <c r="F245" s="12">
        <f t="shared" si="0"/>
        <v>1</v>
      </c>
      <c r="G245" s="12">
        <f t="shared" si="0"/>
        <v>1</v>
      </c>
      <c r="H245" s="12" t="str">
        <f t="shared" si="0"/>
        <v/>
      </c>
      <c r="I245" s="12">
        <f t="shared" si="0"/>
        <v>1</v>
      </c>
      <c r="J245" s="12">
        <f t="shared" si="0"/>
        <v>1</v>
      </c>
      <c r="K245" s="12">
        <f t="shared" si="0"/>
        <v>1</v>
      </c>
      <c r="L245" s="12">
        <f t="shared" si="1"/>
        <v>1</v>
      </c>
      <c r="M245" s="12">
        <f t="shared" si="1"/>
        <v>1</v>
      </c>
      <c r="N245" s="12">
        <f t="shared" si="1"/>
        <v>1</v>
      </c>
      <c r="O245" s="12">
        <f t="shared" si="1"/>
        <v>1</v>
      </c>
      <c r="P245" s="12">
        <f t="shared" si="1"/>
        <v>1</v>
      </c>
      <c r="Q245" s="12">
        <f t="shared" si="1"/>
        <v>1</v>
      </c>
      <c r="R245" s="12">
        <f t="shared" si="1"/>
        <v>1</v>
      </c>
      <c r="S245" s="12">
        <f t="shared" si="1"/>
        <v>1</v>
      </c>
      <c r="T245" s="12">
        <f t="shared" si="1"/>
        <v>1</v>
      </c>
      <c r="U245" s="12">
        <f t="shared" si="1"/>
        <v>1</v>
      </c>
      <c r="V245" s="12">
        <f t="shared" si="1"/>
        <v>1</v>
      </c>
      <c r="W245" s="12">
        <f t="shared" si="1"/>
        <v>1</v>
      </c>
    </row>
    <row r="246" spans="1:23">
      <c r="A246" s="9">
        <v>8</v>
      </c>
      <c r="B246" s="12">
        <f t="shared" si="0"/>
        <v>1</v>
      </c>
      <c r="C246" s="12">
        <f t="shared" si="0"/>
        <v>1</v>
      </c>
      <c r="D246" s="12">
        <f t="shared" si="0"/>
        <v>1</v>
      </c>
      <c r="E246" s="12">
        <f t="shared" si="0"/>
        <v>1</v>
      </c>
      <c r="F246" s="12">
        <f t="shared" si="0"/>
        <v>1</v>
      </c>
      <c r="G246" s="12">
        <f t="shared" si="0"/>
        <v>1</v>
      </c>
      <c r="H246" s="12">
        <f t="shared" si="0"/>
        <v>1</v>
      </c>
      <c r="I246" s="12" t="str">
        <f t="shared" si="0"/>
        <v/>
      </c>
      <c r="J246" s="12">
        <f t="shared" si="0"/>
        <v>1</v>
      </c>
      <c r="K246" s="12">
        <f t="shared" si="0"/>
        <v>1</v>
      </c>
      <c r="L246" s="12">
        <f t="shared" si="1"/>
        <v>1</v>
      </c>
      <c r="M246" s="12">
        <f t="shared" si="1"/>
        <v>1</v>
      </c>
      <c r="N246" s="12">
        <f t="shared" si="1"/>
        <v>1</v>
      </c>
      <c r="O246" s="12">
        <f t="shared" si="1"/>
        <v>1</v>
      </c>
      <c r="P246" s="12">
        <f t="shared" si="1"/>
        <v>1</v>
      </c>
      <c r="Q246" s="12">
        <f t="shared" si="1"/>
        <v>1</v>
      </c>
      <c r="R246" s="12">
        <f t="shared" si="1"/>
        <v>1</v>
      </c>
      <c r="S246" s="12">
        <f t="shared" si="1"/>
        <v>1</v>
      </c>
      <c r="T246" s="12">
        <f t="shared" si="1"/>
        <v>1</v>
      </c>
      <c r="U246" s="12">
        <f t="shared" si="1"/>
        <v>1</v>
      </c>
      <c r="V246" s="12">
        <f t="shared" si="1"/>
        <v>1</v>
      </c>
      <c r="W246" s="12">
        <f t="shared" si="1"/>
        <v>1</v>
      </c>
    </row>
    <row r="247" spans="1:23">
      <c r="A247" s="9">
        <v>9</v>
      </c>
      <c r="B247" s="12">
        <f t="shared" si="0"/>
        <v>1</v>
      </c>
      <c r="C247" s="12">
        <f t="shared" si="0"/>
        <v>1</v>
      </c>
      <c r="D247" s="12">
        <f t="shared" si="0"/>
        <v>1</v>
      </c>
      <c r="E247" s="12">
        <f t="shared" si="0"/>
        <v>1</v>
      </c>
      <c r="F247" s="12">
        <f t="shared" si="0"/>
        <v>1</v>
      </c>
      <c r="G247" s="12">
        <f t="shared" si="0"/>
        <v>1</v>
      </c>
      <c r="H247" s="12">
        <f t="shared" si="0"/>
        <v>1</v>
      </c>
      <c r="I247" s="12">
        <f t="shared" si="0"/>
        <v>1</v>
      </c>
      <c r="J247" s="12" t="str">
        <f t="shared" si="0"/>
        <v/>
      </c>
      <c r="K247" s="12">
        <f t="shared" si="0"/>
        <v>1</v>
      </c>
      <c r="L247" s="12">
        <f t="shared" si="1"/>
        <v>1</v>
      </c>
      <c r="M247" s="12">
        <f t="shared" si="1"/>
        <v>1</v>
      </c>
      <c r="N247" s="12">
        <f t="shared" si="1"/>
        <v>1</v>
      </c>
      <c r="O247" s="12">
        <f t="shared" si="1"/>
        <v>1</v>
      </c>
      <c r="P247" s="12">
        <f t="shared" si="1"/>
        <v>1</v>
      </c>
      <c r="Q247" s="12">
        <f t="shared" si="1"/>
        <v>1</v>
      </c>
      <c r="R247" s="12">
        <f t="shared" si="1"/>
        <v>1</v>
      </c>
      <c r="S247" s="12">
        <f t="shared" si="1"/>
        <v>1</v>
      </c>
      <c r="T247" s="12">
        <f t="shared" si="1"/>
        <v>1</v>
      </c>
      <c r="U247" s="12">
        <f t="shared" si="1"/>
        <v>1</v>
      </c>
      <c r="V247" s="12">
        <f t="shared" si="1"/>
        <v>1</v>
      </c>
      <c r="W247" s="12">
        <f t="shared" si="1"/>
        <v>1</v>
      </c>
    </row>
    <row r="248" spans="1:23">
      <c r="A248" s="9">
        <v>10</v>
      </c>
      <c r="B248" s="12">
        <f t="shared" si="0"/>
        <v>1</v>
      </c>
      <c r="C248" s="12">
        <f t="shared" si="0"/>
        <v>1</v>
      </c>
      <c r="D248" s="12">
        <f t="shared" si="0"/>
        <v>1</v>
      </c>
      <c r="E248" s="12">
        <f t="shared" si="0"/>
        <v>1</v>
      </c>
      <c r="F248" s="12">
        <f t="shared" si="0"/>
        <v>1</v>
      </c>
      <c r="G248" s="12">
        <f t="shared" si="0"/>
        <v>1</v>
      </c>
      <c r="H248" s="12">
        <f t="shared" si="0"/>
        <v>1</v>
      </c>
      <c r="I248" s="12">
        <f t="shared" si="0"/>
        <v>1</v>
      </c>
      <c r="J248" s="12">
        <f t="shared" si="0"/>
        <v>1</v>
      </c>
      <c r="K248" s="12" t="str">
        <f t="shared" si="0"/>
        <v/>
      </c>
      <c r="L248" s="12">
        <f t="shared" si="1"/>
        <v>1</v>
      </c>
      <c r="M248" s="12">
        <f t="shared" si="1"/>
        <v>1</v>
      </c>
      <c r="N248" s="12">
        <f t="shared" si="1"/>
        <v>1</v>
      </c>
      <c r="O248" s="12">
        <f t="shared" si="1"/>
        <v>1</v>
      </c>
      <c r="P248" s="12">
        <f t="shared" si="1"/>
        <v>1</v>
      </c>
      <c r="Q248" s="12">
        <f t="shared" si="1"/>
        <v>1</v>
      </c>
      <c r="R248" s="12">
        <f t="shared" si="1"/>
        <v>1</v>
      </c>
      <c r="S248" s="12">
        <f t="shared" si="1"/>
        <v>1</v>
      </c>
      <c r="T248" s="12">
        <f t="shared" si="1"/>
        <v>1</v>
      </c>
      <c r="U248" s="12">
        <f t="shared" si="1"/>
        <v>1</v>
      </c>
      <c r="V248" s="12">
        <f t="shared" si="1"/>
        <v>1</v>
      </c>
      <c r="W248" s="12">
        <f t="shared" si="1"/>
        <v>1</v>
      </c>
    </row>
    <row r="249" spans="1:23">
      <c r="A249" s="9">
        <v>11</v>
      </c>
      <c r="B249" s="12">
        <f t="shared" ref="B249:K260" si="2">IF($A249=B$238,"",COUNTIF($D$4:$D$234,$A249&amp;" ضد "&amp;B$238)+COUNTIF($D$4:$D$234,B$238&amp;" ضد "&amp;$A249))</f>
        <v>1</v>
      </c>
      <c r="C249" s="12">
        <f t="shared" si="2"/>
        <v>1</v>
      </c>
      <c r="D249" s="12">
        <f t="shared" si="2"/>
        <v>1</v>
      </c>
      <c r="E249" s="12">
        <f t="shared" si="2"/>
        <v>1</v>
      </c>
      <c r="F249" s="12">
        <f t="shared" si="2"/>
        <v>1</v>
      </c>
      <c r="G249" s="12">
        <f t="shared" si="2"/>
        <v>1</v>
      </c>
      <c r="H249" s="12">
        <f t="shared" si="2"/>
        <v>1</v>
      </c>
      <c r="I249" s="12">
        <f t="shared" si="2"/>
        <v>1</v>
      </c>
      <c r="J249" s="12">
        <f t="shared" si="2"/>
        <v>1</v>
      </c>
      <c r="K249" s="12">
        <f t="shared" si="2"/>
        <v>1</v>
      </c>
      <c r="L249" s="12" t="str">
        <f t="shared" ref="L249:W260" si="3">IF($A249=L$238,"",COUNTIF($D$4:$D$234,$A249&amp;" ضد "&amp;L$238)+COUNTIF($D$4:$D$234,L$238&amp;" ضد "&amp;$A249))</f>
        <v/>
      </c>
      <c r="M249" s="12">
        <f t="shared" si="3"/>
        <v>1</v>
      </c>
      <c r="N249" s="12">
        <f t="shared" si="3"/>
        <v>1</v>
      </c>
      <c r="O249" s="12">
        <f t="shared" si="3"/>
        <v>1</v>
      </c>
      <c r="P249" s="12">
        <f t="shared" si="3"/>
        <v>1</v>
      </c>
      <c r="Q249" s="12">
        <f t="shared" si="3"/>
        <v>1</v>
      </c>
      <c r="R249" s="12">
        <f t="shared" si="3"/>
        <v>1</v>
      </c>
      <c r="S249" s="12">
        <f t="shared" si="3"/>
        <v>1</v>
      </c>
      <c r="T249" s="12">
        <f t="shared" si="3"/>
        <v>1</v>
      </c>
      <c r="U249" s="12">
        <f t="shared" si="3"/>
        <v>1</v>
      </c>
      <c r="V249" s="12">
        <f t="shared" si="3"/>
        <v>1</v>
      </c>
      <c r="W249" s="12">
        <f t="shared" si="3"/>
        <v>1</v>
      </c>
    </row>
    <row r="250" spans="1:23">
      <c r="A250" s="9">
        <v>12</v>
      </c>
      <c r="B250" s="12">
        <f t="shared" si="2"/>
        <v>1</v>
      </c>
      <c r="C250" s="12">
        <f t="shared" si="2"/>
        <v>1</v>
      </c>
      <c r="D250" s="12">
        <f t="shared" si="2"/>
        <v>1</v>
      </c>
      <c r="E250" s="12">
        <f t="shared" si="2"/>
        <v>1</v>
      </c>
      <c r="F250" s="12">
        <f t="shared" si="2"/>
        <v>1</v>
      </c>
      <c r="G250" s="12">
        <f t="shared" si="2"/>
        <v>1</v>
      </c>
      <c r="H250" s="12">
        <f t="shared" si="2"/>
        <v>1</v>
      </c>
      <c r="I250" s="12">
        <f t="shared" si="2"/>
        <v>1</v>
      </c>
      <c r="J250" s="12">
        <f t="shared" si="2"/>
        <v>1</v>
      </c>
      <c r="K250" s="12">
        <f t="shared" si="2"/>
        <v>1</v>
      </c>
      <c r="L250" s="12">
        <f t="shared" si="3"/>
        <v>1</v>
      </c>
      <c r="M250" s="12" t="str">
        <f t="shared" si="3"/>
        <v/>
      </c>
      <c r="N250" s="12">
        <f t="shared" si="3"/>
        <v>1</v>
      </c>
      <c r="O250" s="12">
        <f t="shared" si="3"/>
        <v>1</v>
      </c>
      <c r="P250" s="12">
        <f t="shared" si="3"/>
        <v>1</v>
      </c>
      <c r="Q250" s="12">
        <f t="shared" si="3"/>
        <v>1</v>
      </c>
      <c r="R250" s="12">
        <f t="shared" si="3"/>
        <v>1</v>
      </c>
      <c r="S250" s="12">
        <f t="shared" si="3"/>
        <v>1</v>
      </c>
      <c r="T250" s="12">
        <f t="shared" si="3"/>
        <v>1</v>
      </c>
      <c r="U250" s="12">
        <f t="shared" si="3"/>
        <v>1</v>
      </c>
      <c r="V250" s="12">
        <f t="shared" si="3"/>
        <v>1</v>
      </c>
      <c r="W250" s="12">
        <f t="shared" si="3"/>
        <v>1</v>
      </c>
    </row>
    <row r="251" spans="1:23">
      <c r="A251" s="9">
        <v>13</v>
      </c>
      <c r="B251" s="12">
        <f t="shared" si="2"/>
        <v>1</v>
      </c>
      <c r="C251" s="12">
        <f t="shared" si="2"/>
        <v>1</v>
      </c>
      <c r="D251" s="12">
        <f t="shared" si="2"/>
        <v>1</v>
      </c>
      <c r="E251" s="12">
        <f t="shared" si="2"/>
        <v>1</v>
      </c>
      <c r="F251" s="12">
        <f t="shared" si="2"/>
        <v>1</v>
      </c>
      <c r="G251" s="12">
        <f t="shared" si="2"/>
        <v>1</v>
      </c>
      <c r="H251" s="12">
        <f t="shared" si="2"/>
        <v>1</v>
      </c>
      <c r="I251" s="12">
        <f t="shared" si="2"/>
        <v>1</v>
      </c>
      <c r="J251" s="12">
        <f t="shared" si="2"/>
        <v>1</v>
      </c>
      <c r="K251" s="12">
        <f t="shared" si="2"/>
        <v>1</v>
      </c>
      <c r="L251" s="12">
        <f t="shared" si="3"/>
        <v>1</v>
      </c>
      <c r="M251" s="12">
        <f t="shared" si="3"/>
        <v>1</v>
      </c>
      <c r="N251" s="12" t="str">
        <f t="shared" si="3"/>
        <v/>
      </c>
      <c r="O251" s="12">
        <f t="shared" si="3"/>
        <v>1</v>
      </c>
      <c r="P251" s="12">
        <f t="shared" si="3"/>
        <v>1</v>
      </c>
      <c r="Q251" s="12">
        <f t="shared" si="3"/>
        <v>1</v>
      </c>
      <c r="R251" s="12">
        <f t="shared" si="3"/>
        <v>1</v>
      </c>
      <c r="S251" s="12">
        <f t="shared" si="3"/>
        <v>1</v>
      </c>
      <c r="T251" s="12">
        <f t="shared" si="3"/>
        <v>1</v>
      </c>
      <c r="U251" s="12">
        <f t="shared" si="3"/>
        <v>1</v>
      </c>
      <c r="V251" s="12">
        <f t="shared" si="3"/>
        <v>1</v>
      </c>
      <c r="W251" s="12">
        <f t="shared" si="3"/>
        <v>1</v>
      </c>
    </row>
    <row r="252" spans="1:23">
      <c r="A252" s="9">
        <v>14</v>
      </c>
      <c r="B252" s="12">
        <f t="shared" si="2"/>
        <v>1</v>
      </c>
      <c r="C252" s="12">
        <f t="shared" si="2"/>
        <v>1</v>
      </c>
      <c r="D252" s="12">
        <f t="shared" si="2"/>
        <v>1</v>
      </c>
      <c r="E252" s="12">
        <f t="shared" si="2"/>
        <v>1</v>
      </c>
      <c r="F252" s="12">
        <f t="shared" si="2"/>
        <v>1</v>
      </c>
      <c r="G252" s="12">
        <f t="shared" si="2"/>
        <v>1</v>
      </c>
      <c r="H252" s="12">
        <f t="shared" si="2"/>
        <v>1</v>
      </c>
      <c r="I252" s="12">
        <f t="shared" si="2"/>
        <v>1</v>
      </c>
      <c r="J252" s="12">
        <f t="shared" si="2"/>
        <v>1</v>
      </c>
      <c r="K252" s="12">
        <f t="shared" si="2"/>
        <v>1</v>
      </c>
      <c r="L252" s="12">
        <f t="shared" si="3"/>
        <v>1</v>
      </c>
      <c r="M252" s="12">
        <f t="shared" si="3"/>
        <v>1</v>
      </c>
      <c r="N252" s="12">
        <f t="shared" si="3"/>
        <v>1</v>
      </c>
      <c r="O252" s="12" t="str">
        <f t="shared" si="3"/>
        <v/>
      </c>
      <c r="P252" s="12">
        <f t="shared" si="3"/>
        <v>1</v>
      </c>
      <c r="Q252" s="12">
        <f t="shared" si="3"/>
        <v>1</v>
      </c>
      <c r="R252" s="12">
        <f t="shared" si="3"/>
        <v>1</v>
      </c>
      <c r="S252" s="12">
        <f t="shared" si="3"/>
        <v>1</v>
      </c>
      <c r="T252" s="12">
        <f t="shared" si="3"/>
        <v>1</v>
      </c>
      <c r="U252" s="12">
        <f t="shared" si="3"/>
        <v>1</v>
      </c>
      <c r="V252" s="12">
        <f t="shared" si="3"/>
        <v>1</v>
      </c>
      <c r="W252" s="12">
        <f t="shared" si="3"/>
        <v>1</v>
      </c>
    </row>
    <row r="253" spans="1:23">
      <c r="A253" s="9">
        <v>15</v>
      </c>
      <c r="B253" s="12">
        <f t="shared" si="2"/>
        <v>1</v>
      </c>
      <c r="C253" s="12">
        <f t="shared" si="2"/>
        <v>1</v>
      </c>
      <c r="D253" s="12">
        <f t="shared" si="2"/>
        <v>1</v>
      </c>
      <c r="E253" s="12">
        <f t="shared" si="2"/>
        <v>1</v>
      </c>
      <c r="F253" s="12">
        <f t="shared" si="2"/>
        <v>1</v>
      </c>
      <c r="G253" s="12">
        <f t="shared" si="2"/>
        <v>1</v>
      </c>
      <c r="H253" s="12">
        <f t="shared" si="2"/>
        <v>1</v>
      </c>
      <c r="I253" s="12">
        <f t="shared" si="2"/>
        <v>1</v>
      </c>
      <c r="J253" s="12">
        <f t="shared" si="2"/>
        <v>1</v>
      </c>
      <c r="K253" s="12">
        <f t="shared" si="2"/>
        <v>1</v>
      </c>
      <c r="L253" s="12">
        <f t="shared" si="3"/>
        <v>1</v>
      </c>
      <c r="M253" s="12">
        <f t="shared" si="3"/>
        <v>1</v>
      </c>
      <c r="N253" s="12">
        <f t="shared" si="3"/>
        <v>1</v>
      </c>
      <c r="O253" s="12">
        <f t="shared" si="3"/>
        <v>1</v>
      </c>
      <c r="P253" s="12" t="str">
        <f t="shared" si="3"/>
        <v/>
      </c>
      <c r="Q253" s="12">
        <f t="shared" si="3"/>
        <v>1</v>
      </c>
      <c r="R253" s="12">
        <f t="shared" si="3"/>
        <v>1</v>
      </c>
      <c r="S253" s="12">
        <f t="shared" si="3"/>
        <v>1</v>
      </c>
      <c r="T253" s="12">
        <f t="shared" si="3"/>
        <v>1</v>
      </c>
      <c r="U253" s="12">
        <f t="shared" si="3"/>
        <v>1</v>
      </c>
      <c r="V253" s="12">
        <f t="shared" si="3"/>
        <v>1</v>
      </c>
      <c r="W253" s="12">
        <f t="shared" si="3"/>
        <v>1</v>
      </c>
    </row>
    <row r="254" spans="1:23">
      <c r="A254" s="9">
        <v>16</v>
      </c>
      <c r="B254" s="12">
        <f t="shared" si="2"/>
        <v>1</v>
      </c>
      <c r="C254" s="12">
        <f t="shared" si="2"/>
        <v>1</v>
      </c>
      <c r="D254" s="12">
        <f t="shared" si="2"/>
        <v>1</v>
      </c>
      <c r="E254" s="12">
        <f t="shared" si="2"/>
        <v>1</v>
      </c>
      <c r="F254" s="12">
        <f t="shared" si="2"/>
        <v>1</v>
      </c>
      <c r="G254" s="12">
        <f t="shared" si="2"/>
        <v>1</v>
      </c>
      <c r="H254" s="12">
        <f t="shared" si="2"/>
        <v>1</v>
      </c>
      <c r="I254" s="12">
        <f t="shared" si="2"/>
        <v>1</v>
      </c>
      <c r="J254" s="12">
        <f t="shared" si="2"/>
        <v>1</v>
      </c>
      <c r="K254" s="12">
        <f t="shared" si="2"/>
        <v>1</v>
      </c>
      <c r="L254" s="12">
        <f t="shared" si="3"/>
        <v>1</v>
      </c>
      <c r="M254" s="12">
        <f t="shared" si="3"/>
        <v>1</v>
      </c>
      <c r="N254" s="12">
        <f t="shared" si="3"/>
        <v>1</v>
      </c>
      <c r="O254" s="12">
        <f t="shared" si="3"/>
        <v>1</v>
      </c>
      <c r="P254" s="12">
        <f t="shared" si="3"/>
        <v>1</v>
      </c>
      <c r="Q254" s="12" t="str">
        <f t="shared" si="3"/>
        <v/>
      </c>
      <c r="R254" s="12">
        <f t="shared" si="3"/>
        <v>1</v>
      </c>
      <c r="S254" s="12">
        <f t="shared" si="3"/>
        <v>1</v>
      </c>
      <c r="T254" s="12">
        <f t="shared" si="3"/>
        <v>1</v>
      </c>
      <c r="U254" s="12">
        <f t="shared" si="3"/>
        <v>1</v>
      </c>
      <c r="V254" s="12">
        <f t="shared" si="3"/>
        <v>1</v>
      </c>
      <c r="W254" s="12">
        <f t="shared" si="3"/>
        <v>1</v>
      </c>
    </row>
    <row r="255" spans="1:23">
      <c r="A255" s="9">
        <v>17</v>
      </c>
      <c r="B255" s="12">
        <f t="shared" si="2"/>
        <v>1</v>
      </c>
      <c r="C255" s="12">
        <f t="shared" si="2"/>
        <v>1</v>
      </c>
      <c r="D255" s="12">
        <f t="shared" si="2"/>
        <v>1</v>
      </c>
      <c r="E255" s="12">
        <f t="shared" si="2"/>
        <v>1</v>
      </c>
      <c r="F255" s="12">
        <f t="shared" si="2"/>
        <v>1</v>
      </c>
      <c r="G255" s="12">
        <f t="shared" si="2"/>
        <v>1</v>
      </c>
      <c r="H255" s="12">
        <f t="shared" si="2"/>
        <v>1</v>
      </c>
      <c r="I255" s="12">
        <f t="shared" si="2"/>
        <v>1</v>
      </c>
      <c r="J255" s="12">
        <f t="shared" si="2"/>
        <v>1</v>
      </c>
      <c r="K255" s="12">
        <f t="shared" si="2"/>
        <v>1</v>
      </c>
      <c r="L255" s="12">
        <f t="shared" si="3"/>
        <v>1</v>
      </c>
      <c r="M255" s="12">
        <f t="shared" si="3"/>
        <v>1</v>
      </c>
      <c r="N255" s="12">
        <f t="shared" si="3"/>
        <v>1</v>
      </c>
      <c r="O255" s="12">
        <f t="shared" si="3"/>
        <v>1</v>
      </c>
      <c r="P255" s="12">
        <f t="shared" si="3"/>
        <v>1</v>
      </c>
      <c r="Q255" s="12">
        <f t="shared" si="3"/>
        <v>1</v>
      </c>
      <c r="R255" s="12" t="str">
        <f t="shared" si="3"/>
        <v/>
      </c>
      <c r="S255" s="12">
        <f t="shared" si="3"/>
        <v>1</v>
      </c>
      <c r="T255" s="12">
        <f t="shared" si="3"/>
        <v>1</v>
      </c>
      <c r="U255" s="12">
        <f t="shared" si="3"/>
        <v>1</v>
      </c>
      <c r="V255" s="12">
        <f t="shared" si="3"/>
        <v>1</v>
      </c>
      <c r="W255" s="12">
        <f t="shared" si="3"/>
        <v>1</v>
      </c>
    </row>
    <row r="256" spans="1:23">
      <c r="A256" s="9">
        <v>18</v>
      </c>
      <c r="B256" s="12">
        <f t="shared" si="2"/>
        <v>1</v>
      </c>
      <c r="C256" s="12">
        <f t="shared" si="2"/>
        <v>1</v>
      </c>
      <c r="D256" s="12">
        <f t="shared" si="2"/>
        <v>1</v>
      </c>
      <c r="E256" s="12">
        <f t="shared" si="2"/>
        <v>1</v>
      </c>
      <c r="F256" s="12">
        <f t="shared" si="2"/>
        <v>1</v>
      </c>
      <c r="G256" s="12">
        <f t="shared" si="2"/>
        <v>1</v>
      </c>
      <c r="H256" s="12">
        <f t="shared" si="2"/>
        <v>1</v>
      </c>
      <c r="I256" s="12">
        <f t="shared" si="2"/>
        <v>1</v>
      </c>
      <c r="J256" s="12">
        <f t="shared" si="2"/>
        <v>1</v>
      </c>
      <c r="K256" s="12">
        <f t="shared" si="2"/>
        <v>1</v>
      </c>
      <c r="L256" s="12">
        <f t="shared" si="3"/>
        <v>1</v>
      </c>
      <c r="M256" s="12">
        <f t="shared" si="3"/>
        <v>1</v>
      </c>
      <c r="N256" s="12">
        <f t="shared" si="3"/>
        <v>1</v>
      </c>
      <c r="O256" s="12">
        <f t="shared" si="3"/>
        <v>1</v>
      </c>
      <c r="P256" s="12">
        <f t="shared" si="3"/>
        <v>1</v>
      </c>
      <c r="Q256" s="12">
        <f t="shared" si="3"/>
        <v>1</v>
      </c>
      <c r="R256" s="12">
        <f t="shared" si="3"/>
        <v>1</v>
      </c>
      <c r="S256" s="12" t="str">
        <f t="shared" si="3"/>
        <v/>
      </c>
      <c r="T256" s="12">
        <f t="shared" si="3"/>
        <v>1</v>
      </c>
      <c r="U256" s="12">
        <f t="shared" si="3"/>
        <v>1</v>
      </c>
      <c r="V256" s="12">
        <f t="shared" si="3"/>
        <v>1</v>
      </c>
      <c r="W256" s="12">
        <f t="shared" si="3"/>
        <v>1</v>
      </c>
    </row>
    <row r="257" spans="1:23">
      <c r="A257" s="9">
        <v>19</v>
      </c>
      <c r="B257" s="12">
        <f t="shared" si="2"/>
        <v>1</v>
      </c>
      <c r="C257" s="12">
        <f t="shared" si="2"/>
        <v>1</v>
      </c>
      <c r="D257" s="12">
        <f t="shared" si="2"/>
        <v>1</v>
      </c>
      <c r="E257" s="12">
        <f t="shared" si="2"/>
        <v>1</v>
      </c>
      <c r="F257" s="12">
        <f t="shared" si="2"/>
        <v>1</v>
      </c>
      <c r="G257" s="12">
        <f t="shared" si="2"/>
        <v>1</v>
      </c>
      <c r="H257" s="12">
        <f t="shared" si="2"/>
        <v>1</v>
      </c>
      <c r="I257" s="12">
        <f t="shared" si="2"/>
        <v>1</v>
      </c>
      <c r="J257" s="12">
        <f t="shared" si="2"/>
        <v>1</v>
      </c>
      <c r="K257" s="12">
        <f t="shared" si="2"/>
        <v>1</v>
      </c>
      <c r="L257" s="12">
        <f t="shared" si="3"/>
        <v>1</v>
      </c>
      <c r="M257" s="12">
        <f t="shared" si="3"/>
        <v>1</v>
      </c>
      <c r="N257" s="12">
        <f t="shared" si="3"/>
        <v>1</v>
      </c>
      <c r="O257" s="12">
        <f t="shared" si="3"/>
        <v>1</v>
      </c>
      <c r="P257" s="12">
        <f t="shared" si="3"/>
        <v>1</v>
      </c>
      <c r="Q257" s="12">
        <f t="shared" si="3"/>
        <v>1</v>
      </c>
      <c r="R257" s="12">
        <f t="shared" si="3"/>
        <v>1</v>
      </c>
      <c r="S257" s="12">
        <f t="shared" si="3"/>
        <v>1</v>
      </c>
      <c r="T257" s="12" t="str">
        <f t="shared" si="3"/>
        <v/>
      </c>
      <c r="U257" s="12">
        <f t="shared" si="3"/>
        <v>1</v>
      </c>
      <c r="V257" s="12">
        <f t="shared" si="3"/>
        <v>1</v>
      </c>
      <c r="W257" s="12">
        <f t="shared" si="3"/>
        <v>1</v>
      </c>
    </row>
    <row r="258" spans="1:23">
      <c r="A258" s="9">
        <v>20</v>
      </c>
      <c r="B258" s="12">
        <f t="shared" si="2"/>
        <v>1</v>
      </c>
      <c r="C258" s="12">
        <f t="shared" si="2"/>
        <v>1</v>
      </c>
      <c r="D258" s="12">
        <f t="shared" si="2"/>
        <v>1</v>
      </c>
      <c r="E258" s="12">
        <f t="shared" si="2"/>
        <v>1</v>
      </c>
      <c r="F258" s="12">
        <f t="shared" si="2"/>
        <v>1</v>
      </c>
      <c r="G258" s="12">
        <f t="shared" si="2"/>
        <v>1</v>
      </c>
      <c r="H258" s="12">
        <f t="shared" si="2"/>
        <v>1</v>
      </c>
      <c r="I258" s="12">
        <f t="shared" si="2"/>
        <v>1</v>
      </c>
      <c r="J258" s="12">
        <f t="shared" si="2"/>
        <v>1</v>
      </c>
      <c r="K258" s="12">
        <f t="shared" si="2"/>
        <v>1</v>
      </c>
      <c r="L258" s="12">
        <f t="shared" si="3"/>
        <v>1</v>
      </c>
      <c r="M258" s="12">
        <f t="shared" si="3"/>
        <v>1</v>
      </c>
      <c r="N258" s="12">
        <f t="shared" si="3"/>
        <v>1</v>
      </c>
      <c r="O258" s="12">
        <f t="shared" si="3"/>
        <v>1</v>
      </c>
      <c r="P258" s="12">
        <f t="shared" si="3"/>
        <v>1</v>
      </c>
      <c r="Q258" s="12">
        <f t="shared" si="3"/>
        <v>1</v>
      </c>
      <c r="R258" s="12">
        <f t="shared" si="3"/>
        <v>1</v>
      </c>
      <c r="S258" s="12">
        <f t="shared" si="3"/>
        <v>1</v>
      </c>
      <c r="T258" s="12">
        <f t="shared" si="3"/>
        <v>1</v>
      </c>
      <c r="U258" s="12" t="str">
        <f t="shared" si="3"/>
        <v/>
      </c>
      <c r="V258" s="12">
        <f t="shared" si="3"/>
        <v>1</v>
      </c>
      <c r="W258" s="12">
        <f t="shared" si="3"/>
        <v>1</v>
      </c>
    </row>
    <row r="259" spans="1:23">
      <c r="A259" s="9">
        <v>21</v>
      </c>
      <c r="B259" s="12">
        <f t="shared" si="2"/>
        <v>1</v>
      </c>
      <c r="C259" s="12">
        <f t="shared" si="2"/>
        <v>1</v>
      </c>
      <c r="D259" s="12">
        <f t="shared" si="2"/>
        <v>1</v>
      </c>
      <c r="E259" s="12">
        <f t="shared" si="2"/>
        <v>1</v>
      </c>
      <c r="F259" s="12">
        <f t="shared" si="2"/>
        <v>1</v>
      </c>
      <c r="G259" s="12">
        <f t="shared" si="2"/>
        <v>1</v>
      </c>
      <c r="H259" s="12">
        <f t="shared" si="2"/>
        <v>1</v>
      </c>
      <c r="I259" s="12">
        <f t="shared" si="2"/>
        <v>1</v>
      </c>
      <c r="J259" s="12">
        <f t="shared" si="2"/>
        <v>1</v>
      </c>
      <c r="K259" s="12">
        <f t="shared" si="2"/>
        <v>1</v>
      </c>
      <c r="L259" s="12">
        <f t="shared" si="3"/>
        <v>1</v>
      </c>
      <c r="M259" s="12">
        <f t="shared" si="3"/>
        <v>1</v>
      </c>
      <c r="N259" s="12">
        <f t="shared" si="3"/>
        <v>1</v>
      </c>
      <c r="O259" s="12">
        <f t="shared" si="3"/>
        <v>1</v>
      </c>
      <c r="P259" s="12">
        <f t="shared" si="3"/>
        <v>1</v>
      </c>
      <c r="Q259" s="12">
        <f t="shared" si="3"/>
        <v>1</v>
      </c>
      <c r="R259" s="12">
        <f t="shared" si="3"/>
        <v>1</v>
      </c>
      <c r="S259" s="12">
        <f t="shared" si="3"/>
        <v>1</v>
      </c>
      <c r="T259" s="12">
        <f t="shared" si="3"/>
        <v>1</v>
      </c>
      <c r="U259" s="12">
        <f t="shared" si="3"/>
        <v>1</v>
      </c>
      <c r="V259" s="12" t="str">
        <f t="shared" si="3"/>
        <v/>
      </c>
      <c r="W259" s="12">
        <f t="shared" si="3"/>
        <v>1</v>
      </c>
    </row>
    <row r="260" spans="1:23">
      <c r="A260" s="9">
        <v>22</v>
      </c>
      <c r="B260" s="12">
        <f t="shared" si="2"/>
        <v>1</v>
      </c>
      <c r="C260" s="12">
        <f t="shared" si="2"/>
        <v>1</v>
      </c>
      <c r="D260" s="12">
        <f t="shared" si="2"/>
        <v>1</v>
      </c>
      <c r="E260" s="12">
        <f t="shared" si="2"/>
        <v>1</v>
      </c>
      <c r="F260" s="12">
        <f t="shared" si="2"/>
        <v>1</v>
      </c>
      <c r="G260" s="12">
        <f t="shared" si="2"/>
        <v>1</v>
      </c>
      <c r="H260" s="12">
        <f t="shared" si="2"/>
        <v>1</v>
      </c>
      <c r="I260" s="12">
        <f t="shared" si="2"/>
        <v>1</v>
      </c>
      <c r="J260" s="12">
        <f t="shared" si="2"/>
        <v>1</v>
      </c>
      <c r="K260" s="12">
        <f t="shared" si="2"/>
        <v>1</v>
      </c>
      <c r="L260" s="12">
        <f t="shared" si="3"/>
        <v>1</v>
      </c>
      <c r="M260" s="12">
        <f t="shared" si="3"/>
        <v>1</v>
      </c>
      <c r="N260" s="12">
        <f t="shared" si="3"/>
        <v>1</v>
      </c>
      <c r="O260" s="12">
        <f t="shared" si="3"/>
        <v>1</v>
      </c>
      <c r="P260" s="12">
        <f t="shared" si="3"/>
        <v>1</v>
      </c>
      <c r="Q260" s="12">
        <f t="shared" si="3"/>
        <v>1</v>
      </c>
      <c r="R260" s="12">
        <f t="shared" si="3"/>
        <v>1</v>
      </c>
      <c r="S260" s="12">
        <f t="shared" si="3"/>
        <v>1</v>
      </c>
      <c r="T260" s="12">
        <f t="shared" si="3"/>
        <v>1</v>
      </c>
      <c r="U260" s="12">
        <f t="shared" si="3"/>
        <v>1</v>
      </c>
      <c r="V260" s="12">
        <f t="shared" si="3"/>
        <v>1</v>
      </c>
      <c r="W260" s="12" t="str">
        <f t="shared" si="3"/>
        <v/>
      </c>
    </row>
    <row r="261" spans="1:23">
      <c r="A261" s="14" t="s">
        <v>361</v>
      </c>
      <c r="B261" s="14">
        <f>_xlfn.MINIFS(B239:W260,B239:W260,"&gt;0")</f>
        <v>1</v>
      </c>
      <c r="C261" s="5"/>
      <c r="D261" s="5"/>
      <c r="E261" s="5"/>
      <c r="F261" s="5"/>
      <c r="G261" s="5"/>
    </row>
    <row r="262" spans="1:23">
      <c r="A262" s="14" t="s">
        <v>360</v>
      </c>
      <c r="B262" s="14">
        <f>MAX(B239:W260)</f>
        <v>1</v>
      </c>
      <c r="C262" s="5"/>
      <c r="D262" s="5"/>
      <c r="E262" s="5"/>
      <c r="F262" s="5"/>
      <c r="G262" s="5"/>
    </row>
    <row r="263" spans="1:23">
      <c r="A263" s="5"/>
      <c r="B263" s="5"/>
      <c r="C263" s="5"/>
      <c r="D263" s="5"/>
      <c r="E263" s="5"/>
      <c r="F263" s="5"/>
      <c r="G263" s="5"/>
    </row>
    <row r="264" spans="1:23">
      <c r="A264" s="5"/>
      <c r="B264" s="5"/>
      <c r="C264" s="5"/>
      <c r="D264" s="5"/>
      <c r="E264" s="5"/>
      <c r="F264" s="5"/>
      <c r="G264" s="5"/>
    </row>
    <row r="265" spans="1:23">
      <c r="A265" s="5"/>
      <c r="B265" s="5"/>
      <c r="C265" s="5"/>
      <c r="D265" s="5"/>
      <c r="E265" s="5"/>
      <c r="F265" s="5"/>
      <c r="G265" s="5"/>
    </row>
    <row r="266" spans="1:23">
      <c r="A266" s="5"/>
      <c r="B266" s="5"/>
      <c r="C266" s="5"/>
      <c r="D266" s="5"/>
      <c r="E266" s="5"/>
      <c r="F266" s="5"/>
      <c r="G266" s="5"/>
    </row>
    <row r="267" spans="1:23">
      <c r="A267" s="5"/>
      <c r="B267" s="5"/>
      <c r="C267" s="5"/>
      <c r="D267" s="5"/>
      <c r="E267" s="5"/>
      <c r="F267" s="5"/>
      <c r="G267" s="5"/>
    </row>
    <row r="268" spans="1:23">
      <c r="A268" s="5"/>
      <c r="B268" s="5"/>
      <c r="C268" s="5"/>
      <c r="D268" s="5"/>
      <c r="E268" s="5"/>
      <c r="F268" s="5"/>
      <c r="G268" s="5"/>
    </row>
    <row r="269" spans="1:23">
      <c r="A269" s="5"/>
      <c r="B269" s="5"/>
      <c r="C269" s="5"/>
      <c r="D269" s="5"/>
      <c r="E269" s="5"/>
      <c r="F269" s="5"/>
      <c r="G269" s="5"/>
    </row>
    <row r="270" spans="1:23">
      <c r="A270" s="5"/>
      <c r="B270" s="5"/>
      <c r="C270" s="5"/>
      <c r="D270" s="5"/>
      <c r="E270" s="5"/>
      <c r="F270" s="5"/>
      <c r="G270" s="5"/>
    </row>
    <row r="271" spans="1:23">
      <c r="A271" s="5"/>
      <c r="B271" s="5"/>
      <c r="C271" s="5"/>
      <c r="D271" s="5"/>
      <c r="E271" s="5"/>
      <c r="F271" s="5"/>
      <c r="G271" s="5"/>
    </row>
    <row r="272" spans="1:23">
      <c r="A272" s="5"/>
      <c r="B272" s="5"/>
      <c r="C272" s="5"/>
      <c r="D272" s="5"/>
      <c r="E272" s="5"/>
      <c r="F272" s="5"/>
      <c r="G272" s="5"/>
    </row>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sheetData>
  <mergeCells count="2">
    <mergeCell ref="A1:G1"/>
    <mergeCell ref="A237:W23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C8B8-1DA5-4551-904D-B07B68DCAB4A}">
  <dimension ref="A1:X801"/>
  <sheetViews>
    <sheetView rightToLeft="1" workbookViewId="0">
      <pane ySplit="3" topLeftCell="A4" activePane="bottomLeft" state="frozen"/>
      <selection sqref="A1:G1"/>
      <selection pane="bottomLeft" sqref="A1:XFD1048576"/>
    </sheetView>
  </sheetViews>
  <sheetFormatPr defaultRowHeight="14.5"/>
  <cols>
    <col min="1" max="1" width="20.1796875" style="15" bestFit="1" customWidth="1"/>
    <col min="2" max="2" width="10.1796875" style="15" bestFit="1" customWidth="1"/>
    <col min="3" max="3" width="5.81640625" style="15" bestFit="1" customWidth="1"/>
    <col min="4" max="4" width="12.90625" style="15" bestFit="1" customWidth="1"/>
    <col min="5" max="5" width="24.9062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72.1796875" style="5" bestFit="1" customWidth="1"/>
    <col min="13" max="13" width="10.1796875" style="5" bestFit="1" customWidth="1"/>
    <col min="14" max="14" width="8.7265625" style="5"/>
    <col min="15" max="15" width="65.36328125" style="5" bestFit="1" customWidth="1"/>
    <col min="16" max="16" width="10.1796875" style="5" bestFit="1" customWidth="1"/>
    <col min="17" max="16384" width="8.7265625" style="5"/>
  </cols>
  <sheetData>
    <row r="1" spans="1:16" ht="18.5">
      <c r="A1" s="49" t="s">
        <v>448</v>
      </c>
      <c r="B1" s="49"/>
      <c r="C1" s="49"/>
      <c r="D1" s="49"/>
      <c r="E1" s="49"/>
      <c r="F1" s="49"/>
      <c r="G1" s="49"/>
      <c r="H1" s="4"/>
      <c r="I1" s="4"/>
      <c r="J1" s="4"/>
      <c r="K1" s="4"/>
      <c r="L1" s="4"/>
      <c r="M1" s="4"/>
      <c r="N1" s="22"/>
      <c r="O1" s="22"/>
      <c r="P1" s="22"/>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16" t="s">
        <v>470</v>
      </c>
    </row>
    <row r="4" spans="1:16">
      <c r="A4" s="11">
        <v>1</v>
      </c>
      <c r="B4" s="12" t="str">
        <f>المدخلات!$F$4</f>
        <v>4:00–5:30 م</v>
      </c>
      <c r="C4" s="12">
        <v>1</v>
      </c>
      <c r="D4" s="12" t="s">
        <v>17</v>
      </c>
      <c r="E4" s="12" t="s">
        <v>44</v>
      </c>
      <c r="F4" s="5"/>
      <c r="G4" s="5"/>
    </row>
    <row r="5" spans="1:16">
      <c r="A5" s="11">
        <v>1</v>
      </c>
      <c r="B5" s="12" t="str">
        <f>المدخلات!$F$4</f>
        <v>4:00–5:30 م</v>
      </c>
      <c r="C5" s="12">
        <v>2</v>
      </c>
      <c r="D5" s="12" t="s">
        <v>17</v>
      </c>
      <c r="E5" s="12" t="s">
        <v>38</v>
      </c>
      <c r="F5" s="5"/>
      <c r="G5" s="5"/>
    </row>
    <row r="6" spans="1:16">
      <c r="A6" s="11">
        <v>1</v>
      </c>
      <c r="B6" s="12" t="str">
        <f>المدخلات!$F$4</f>
        <v>4:00–5:30 م</v>
      </c>
      <c r="C6" s="12">
        <v>3</v>
      </c>
      <c r="D6" s="12" t="s">
        <v>17</v>
      </c>
      <c r="E6" s="12" t="s">
        <v>31</v>
      </c>
      <c r="F6" s="5"/>
      <c r="G6" s="5"/>
    </row>
    <row r="7" spans="1:16">
      <c r="A7" s="11">
        <v>1</v>
      </c>
      <c r="B7" s="12" t="str">
        <f>المدخلات!$F$4</f>
        <v>4:00–5:30 م</v>
      </c>
      <c r="C7" s="12">
        <v>4</v>
      </c>
      <c r="D7" s="12" t="s">
        <v>17</v>
      </c>
      <c r="E7" s="12" t="s">
        <v>32</v>
      </c>
      <c r="F7" s="5"/>
      <c r="G7" s="5"/>
    </row>
    <row r="8" spans="1:16">
      <c r="A8" s="11">
        <v>1</v>
      </c>
      <c r="B8" s="12" t="str">
        <f>المدخلات!$F$5</f>
        <v>5:40–7:10 م</v>
      </c>
      <c r="C8" s="12">
        <v>1</v>
      </c>
      <c r="D8" s="12" t="s">
        <v>89</v>
      </c>
      <c r="E8" s="12" t="s">
        <v>110</v>
      </c>
      <c r="F8" s="5"/>
      <c r="G8" s="5"/>
    </row>
    <row r="9" spans="1:16">
      <c r="A9" s="11">
        <v>1</v>
      </c>
      <c r="B9" s="12" t="str">
        <f>المدخلات!$F$5</f>
        <v>5:40–7:10 م</v>
      </c>
      <c r="C9" s="12">
        <v>2</v>
      </c>
      <c r="D9" s="12" t="s">
        <v>89</v>
      </c>
      <c r="E9" s="12" t="s">
        <v>104</v>
      </c>
      <c r="F9" s="5"/>
      <c r="G9" s="5"/>
    </row>
    <row r="10" spans="1:16">
      <c r="A10" s="11">
        <v>1</v>
      </c>
      <c r="B10" s="12" t="str">
        <f>المدخلات!$F$5</f>
        <v>5:40–7:10 م</v>
      </c>
      <c r="C10" s="12">
        <v>3</v>
      </c>
      <c r="D10" s="12" t="s">
        <v>89</v>
      </c>
      <c r="E10" s="12" t="s">
        <v>103</v>
      </c>
      <c r="F10" s="5"/>
      <c r="G10" s="5"/>
    </row>
    <row r="11" spans="1:16">
      <c r="A11" s="11">
        <v>1</v>
      </c>
      <c r="B11" s="12" t="str">
        <f>المدخلات!$F$5</f>
        <v>5:40–7:10 م</v>
      </c>
      <c r="C11" s="12">
        <v>4</v>
      </c>
      <c r="D11" s="12" t="s">
        <v>89</v>
      </c>
      <c r="E11" s="12" t="s">
        <v>93</v>
      </c>
      <c r="F11" s="5"/>
      <c r="G11" s="5"/>
    </row>
    <row r="12" spans="1:16">
      <c r="A12" s="11">
        <v>1</v>
      </c>
      <c r="B12" s="12" t="str">
        <f>المدخلات!$F$6</f>
        <v>7:20–8:50 م</v>
      </c>
      <c r="C12" s="12">
        <v>1</v>
      </c>
      <c r="D12" s="12" t="s">
        <v>163</v>
      </c>
      <c r="E12" s="12" t="s">
        <v>264</v>
      </c>
      <c r="F12" s="5"/>
      <c r="G12" s="5"/>
    </row>
    <row r="13" spans="1:16">
      <c r="A13" s="11">
        <v>1</v>
      </c>
      <c r="B13" s="12" t="str">
        <f>المدخلات!$F$6</f>
        <v>7:20–8:50 م</v>
      </c>
      <c r="C13" s="12">
        <v>2</v>
      </c>
      <c r="D13" s="12" t="s">
        <v>163</v>
      </c>
      <c r="E13" s="12" t="s">
        <v>255</v>
      </c>
      <c r="F13" s="5"/>
      <c r="G13" s="5"/>
    </row>
    <row r="14" spans="1:16">
      <c r="A14" s="11">
        <v>1</v>
      </c>
      <c r="B14" s="12" t="str">
        <f>المدخلات!$F$6</f>
        <v>7:20–8:50 م</v>
      </c>
      <c r="C14" s="12">
        <v>3</v>
      </c>
      <c r="D14" s="12" t="s">
        <v>163</v>
      </c>
      <c r="E14" s="12" t="s">
        <v>234</v>
      </c>
      <c r="F14" s="5"/>
      <c r="G14" s="5"/>
    </row>
    <row r="15" spans="1:16">
      <c r="A15" s="11">
        <v>2</v>
      </c>
      <c r="B15" s="12" t="str">
        <f>المدخلات!$F$4</f>
        <v>4:00–5:30 م</v>
      </c>
      <c r="C15" s="12">
        <v>1</v>
      </c>
      <c r="D15" s="12" t="s">
        <v>163</v>
      </c>
      <c r="E15" s="12" t="s">
        <v>214</v>
      </c>
      <c r="F15" s="5"/>
      <c r="G15" s="5"/>
    </row>
    <row r="16" spans="1:16">
      <c r="A16" s="11">
        <v>2</v>
      </c>
      <c r="B16" s="12" t="str">
        <f>المدخلات!$F$4</f>
        <v>4:00–5:30 م</v>
      </c>
      <c r="C16" s="12">
        <v>2</v>
      </c>
      <c r="D16" s="12" t="s">
        <v>163</v>
      </c>
      <c r="E16" s="12" t="s">
        <v>265</v>
      </c>
      <c r="F16" s="5"/>
      <c r="G16" s="5"/>
    </row>
    <row r="17" spans="1:5" s="5" customFormat="1">
      <c r="A17" s="11">
        <v>2</v>
      </c>
      <c r="B17" s="12" t="str">
        <f>المدخلات!$F$4</f>
        <v>4:00–5:30 م</v>
      </c>
      <c r="C17" s="12">
        <v>3</v>
      </c>
      <c r="D17" s="12" t="s">
        <v>89</v>
      </c>
      <c r="E17" s="12" t="s">
        <v>105</v>
      </c>
    </row>
    <row r="18" spans="1:5" s="5" customFormat="1">
      <c r="A18" s="11">
        <v>2</v>
      </c>
      <c r="B18" s="12" t="str">
        <f>المدخلات!$F$4</f>
        <v>4:00–5:30 م</v>
      </c>
      <c r="C18" s="12">
        <v>4</v>
      </c>
      <c r="D18" s="12" t="s">
        <v>163</v>
      </c>
      <c r="E18" s="12" t="s">
        <v>235</v>
      </c>
    </row>
    <row r="19" spans="1:5" s="5" customFormat="1">
      <c r="A19" s="11">
        <v>2</v>
      </c>
      <c r="B19" s="12" t="str">
        <f>المدخلات!$F$5</f>
        <v>5:40–7:10 م</v>
      </c>
      <c r="C19" s="12">
        <v>1</v>
      </c>
      <c r="D19" s="12" t="s">
        <v>17</v>
      </c>
      <c r="E19" s="12" t="s">
        <v>19</v>
      </c>
    </row>
    <row r="20" spans="1:5" s="5" customFormat="1">
      <c r="A20" s="11">
        <v>2</v>
      </c>
      <c r="B20" s="12" t="str">
        <f>المدخلات!$F$5</f>
        <v>5:40–7:10 م</v>
      </c>
      <c r="C20" s="12">
        <v>2</v>
      </c>
      <c r="D20" s="12" t="s">
        <v>17</v>
      </c>
      <c r="E20" s="12" t="s">
        <v>20</v>
      </c>
    </row>
    <row r="21" spans="1:5" s="5" customFormat="1">
      <c r="A21" s="11">
        <v>2</v>
      </c>
      <c r="B21" s="12" t="str">
        <f>المدخلات!$F$5</f>
        <v>5:40–7:10 م</v>
      </c>
      <c r="C21" s="12">
        <v>3</v>
      </c>
      <c r="D21" s="12" t="s">
        <v>17</v>
      </c>
      <c r="E21" s="12" t="s">
        <v>39</v>
      </c>
    </row>
    <row r="22" spans="1:5" s="5" customFormat="1">
      <c r="A22" s="11">
        <v>2</v>
      </c>
      <c r="B22" s="12" t="str">
        <f>المدخلات!$F$5</f>
        <v>5:40–7:10 م</v>
      </c>
      <c r="C22" s="12">
        <v>4</v>
      </c>
      <c r="D22" s="12" t="s">
        <v>17</v>
      </c>
      <c r="E22" s="12" t="s">
        <v>405</v>
      </c>
    </row>
    <row r="23" spans="1:5" s="5" customFormat="1">
      <c r="A23" s="11">
        <v>2</v>
      </c>
      <c r="B23" s="12" t="str">
        <f>المدخلات!$F$6</f>
        <v>7:20–8:50 م</v>
      </c>
      <c r="C23" s="12">
        <v>1</v>
      </c>
      <c r="D23" s="12" t="s">
        <v>89</v>
      </c>
      <c r="E23" s="12" t="s">
        <v>84</v>
      </c>
    </row>
    <row r="24" spans="1:5" s="5" customFormat="1">
      <c r="A24" s="11">
        <v>2</v>
      </c>
      <c r="B24" s="12" t="str">
        <f>المدخلات!$F$6</f>
        <v>7:20–8:50 م</v>
      </c>
      <c r="C24" s="12">
        <v>2</v>
      </c>
      <c r="D24" s="12" t="s">
        <v>89</v>
      </c>
      <c r="E24" s="12" t="s">
        <v>407</v>
      </c>
    </row>
    <row r="25" spans="1:5" s="5" customFormat="1">
      <c r="A25" s="11">
        <v>2</v>
      </c>
      <c r="B25" s="12" t="str">
        <f>المدخلات!$F$6</f>
        <v>7:20–8:50 م</v>
      </c>
      <c r="C25" s="12">
        <v>3</v>
      </c>
      <c r="D25" s="12" t="s">
        <v>89</v>
      </c>
      <c r="E25" s="12" t="s">
        <v>94</v>
      </c>
    </row>
    <row r="26" spans="1:5" s="5" customFormat="1">
      <c r="A26" s="11">
        <v>3</v>
      </c>
      <c r="B26" s="12" t="str">
        <f>المدخلات!$F$4</f>
        <v>4:00–5:30 م</v>
      </c>
      <c r="C26" s="12">
        <v>1</v>
      </c>
      <c r="D26" s="12" t="s">
        <v>89</v>
      </c>
      <c r="E26" s="12" t="s">
        <v>409</v>
      </c>
    </row>
    <row r="27" spans="1:5" s="5" customFormat="1">
      <c r="A27" s="11">
        <v>3</v>
      </c>
      <c r="B27" s="12" t="str">
        <f>المدخلات!$F$4</f>
        <v>4:00–5:30 م</v>
      </c>
      <c r="C27" s="12">
        <v>2</v>
      </c>
      <c r="D27" s="12" t="s">
        <v>89</v>
      </c>
      <c r="E27" s="12" t="s">
        <v>74</v>
      </c>
    </row>
    <row r="28" spans="1:5" s="5" customFormat="1">
      <c r="A28" s="11">
        <v>3</v>
      </c>
      <c r="B28" s="12" t="str">
        <f>المدخلات!$F$4</f>
        <v>4:00–5:30 م</v>
      </c>
      <c r="C28" s="12">
        <v>3</v>
      </c>
      <c r="D28" s="12" t="s">
        <v>89</v>
      </c>
      <c r="E28" s="12" t="s">
        <v>411</v>
      </c>
    </row>
    <row r="29" spans="1:5" s="5" customFormat="1">
      <c r="A29" s="11">
        <v>3</v>
      </c>
      <c r="B29" s="12" t="str">
        <f>المدخلات!$F$4</f>
        <v>4:00–5:30 م</v>
      </c>
      <c r="C29" s="12">
        <v>4</v>
      </c>
      <c r="D29" s="12" t="s">
        <v>89</v>
      </c>
      <c r="E29" s="12" t="s">
        <v>98</v>
      </c>
    </row>
    <row r="30" spans="1:5" s="5" customFormat="1">
      <c r="A30" s="11">
        <v>3</v>
      </c>
      <c r="B30" s="12" t="str">
        <f>المدخلات!$F$5</f>
        <v>5:40–7:10 م</v>
      </c>
      <c r="C30" s="12">
        <v>1</v>
      </c>
      <c r="D30" s="12" t="s">
        <v>163</v>
      </c>
      <c r="E30" s="12" t="s">
        <v>256</v>
      </c>
    </row>
    <row r="31" spans="1:5" s="5" customFormat="1">
      <c r="A31" s="11">
        <v>3</v>
      </c>
      <c r="B31" s="12" t="str">
        <f>المدخلات!$F$5</f>
        <v>5:40–7:10 م</v>
      </c>
      <c r="C31" s="12">
        <v>2</v>
      </c>
      <c r="D31" s="12" t="s">
        <v>163</v>
      </c>
      <c r="E31" s="12" t="s">
        <v>412</v>
      </c>
    </row>
    <row r="32" spans="1:5" s="5" customFormat="1">
      <c r="A32" s="11">
        <v>3</v>
      </c>
      <c r="B32" s="12" t="str">
        <f>المدخلات!$F$5</f>
        <v>5:40–7:10 م</v>
      </c>
      <c r="C32" s="12">
        <v>3</v>
      </c>
      <c r="D32" s="12" t="s">
        <v>163</v>
      </c>
      <c r="E32" s="12" t="s">
        <v>192</v>
      </c>
    </row>
    <row r="33" spans="1:5" s="5" customFormat="1">
      <c r="A33" s="11">
        <v>3</v>
      </c>
      <c r="B33" s="12" t="str">
        <f>المدخلات!$F$5</f>
        <v>5:40–7:10 م</v>
      </c>
      <c r="C33" s="12">
        <v>4</v>
      </c>
      <c r="D33" s="12" t="s">
        <v>17</v>
      </c>
      <c r="E33" s="12" t="s">
        <v>23</v>
      </c>
    </row>
    <row r="34" spans="1:5" s="5" customFormat="1">
      <c r="A34" s="11">
        <v>3</v>
      </c>
      <c r="B34" s="12" t="str">
        <f>المدخلات!$F$6</f>
        <v>7:20–8:50 م</v>
      </c>
      <c r="C34" s="12">
        <v>1</v>
      </c>
      <c r="D34" s="12" t="s">
        <v>17</v>
      </c>
      <c r="E34" s="12" t="s">
        <v>365</v>
      </c>
    </row>
    <row r="35" spans="1:5" s="5" customFormat="1">
      <c r="A35" s="11">
        <v>3</v>
      </c>
      <c r="B35" s="12" t="str">
        <f>المدخلات!$F$6</f>
        <v>7:20–8:50 م</v>
      </c>
      <c r="C35" s="12">
        <v>2</v>
      </c>
      <c r="D35" s="12" t="s">
        <v>17</v>
      </c>
      <c r="E35" s="12" t="s">
        <v>18</v>
      </c>
    </row>
    <row r="36" spans="1:5" s="5" customFormat="1">
      <c r="A36" s="11">
        <v>3</v>
      </c>
      <c r="B36" s="12" t="str">
        <f>المدخلات!$F$6</f>
        <v>7:20–8:50 م</v>
      </c>
      <c r="C36" s="12">
        <v>3</v>
      </c>
      <c r="D36" s="12" t="s">
        <v>17</v>
      </c>
      <c r="E36" s="12" t="s">
        <v>406</v>
      </c>
    </row>
    <row r="37" spans="1:5" s="5" customFormat="1">
      <c r="A37" s="11">
        <v>4</v>
      </c>
      <c r="B37" s="12" t="str">
        <f>المدخلات!$F$4</f>
        <v>4:00–5:30 م</v>
      </c>
      <c r="C37" s="12">
        <v>1</v>
      </c>
      <c r="D37" s="12" t="s">
        <v>17</v>
      </c>
      <c r="E37" s="12" t="s">
        <v>370</v>
      </c>
    </row>
    <row r="38" spans="1:5" s="5" customFormat="1">
      <c r="A38" s="11">
        <v>4</v>
      </c>
      <c r="B38" s="12" t="str">
        <f>المدخلات!$F$4</f>
        <v>4:00–5:30 م</v>
      </c>
      <c r="C38" s="12">
        <v>2</v>
      </c>
      <c r="D38" s="12" t="s">
        <v>89</v>
      </c>
      <c r="E38" s="12" t="s">
        <v>366</v>
      </c>
    </row>
    <row r="39" spans="1:5" s="5" customFormat="1">
      <c r="A39" s="11">
        <v>4</v>
      </c>
      <c r="B39" s="12" t="str">
        <f>المدخلات!$F$4</f>
        <v>4:00–5:30 م</v>
      </c>
      <c r="C39" s="12">
        <v>3</v>
      </c>
      <c r="D39" s="12" t="s">
        <v>17</v>
      </c>
      <c r="E39" s="12" t="s">
        <v>21</v>
      </c>
    </row>
    <row r="40" spans="1:5" s="5" customFormat="1">
      <c r="A40" s="11">
        <v>4</v>
      </c>
      <c r="B40" s="12" t="str">
        <f>المدخلات!$F$4</f>
        <v>4:00–5:30 م</v>
      </c>
      <c r="C40" s="12">
        <v>4</v>
      </c>
      <c r="D40" s="12" t="s">
        <v>89</v>
      </c>
      <c r="E40" s="12" t="s">
        <v>415</v>
      </c>
    </row>
    <row r="41" spans="1:5" s="5" customFormat="1">
      <c r="A41" s="11">
        <v>4</v>
      </c>
      <c r="B41" s="12" t="str">
        <f>المدخلات!$F$5</f>
        <v>5:40–7:10 م</v>
      </c>
      <c r="C41" s="12">
        <v>1</v>
      </c>
      <c r="D41" s="12" t="s">
        <v>163</v>
      </c>
      <c r="E41" s="12" t="s">
        <v>226</v>
      </c>
    </row>
    <row r="42" spans="1:5" s="5" customFormat="1">
      <c r="A42" s="11">
        <v>4</v>
      </c>
      <c r="B42" s="12" t="str">
        <f>المدخلات!$F$5</f>
        <v>5:40–7:10 م</v>
      </c>
      <c r="C42" s="12">
        <v>2</v>
      </c>
      <c r="D42" s="12" t="s">
        <v>163</v>
      </c>
      <c r="E42" s="12" t="s">
        <v>416</v>
      </c>
    </row>
    <row r="43" spans="1:5" s="5" customFormat="1">
      <c r="A43" s="11">
        <v>4</v>
      </c>
      <c r="B43" s="12" t="str">
        <f>المدخلات!$F$5</f>
        <v>5:40–7:10 م</v>
      </c>
      <c r="C43" s="12">
        <v>3</v>
      </c>
      <c r="D43" s="12" t="s">
        <v>163</v>
      </c>
      <c r="E43" s="12" t="s">
        <v>417</v>
      </c>
    </row>
    <row r="44" spans="1:5" s="5" customFormat="1">
      <c r="A44" s="11">
        <v>4</v>
      </c>
      <c r="B44" s="12" t="str">
        <f>المدخلات!$F$5</f>
        <v>5:40–7:10 م</v>
      </c>
      <c r="C44" s="12">
        <v>4</v>
      </c>
      <c r="D44" s="12" t="s">
        <v>89</v>
      </c>
      <c r="E44" s="12" t="s">
        <v>414</v>
      </c>
    </row>
    <row r="45" spans="1:5" s="5" customFormat="1">
      <c r="A45" s="11">
        <v>4</v>
      </c>
      <c r="B45" s="12" t="str">
        <f>المدخلات!$F$6</f>
        <v>7:20–8:50 م</v>
      </c>
      <c r="C45" s="12">
        <v>1</v>
      </c>
      <c r="D45" s="12" t="s">
        <v>17</v>
      </c>
      <c r="E45" s="12" t="s">
        <v>375</v>
      </c>
    </row>
    <row r="46" spans="1:5" s="5" customFormat="1">
      <c r="A46" s="11">
        <v>4</v>
      </c>
      <c r="B46" s="12" t="str">
        <f>المدخلات!$F$6</f>
        <v>7:20–8:50 م</v>
      </c>
      <c r="C46" s="12">
        <v>2</v>
      </c>
      <c r="D46" s="12" t="s">
        <v>89</v>
      </c>
      <c r="E46" s="12" t="s">
        <v>92</v>
      </c>
    </row>
    <row r="47" spans="1:5" s="5" customFormat="1">
      <c r="A47" s="11">
        <v>4</v>
      </c>
      <c r="B47" s="12" t="str">
        <f>المدخلات!$F$6</f>
        <v>7:20–8:50 م</v>
      </c>
      <c r="C47" s="12">
        <v>3</v>
      </c>
      <c r="D47" s="12" t="s">
        <v>17</v>
      </c>
      <c r="E47" s="12" t="s">
        <v>408</v>
      </c>
    </row>
    <row r="48" spans="1:5" s="5" customFormat="1">
      <c r="A48" s="11">
        <v>5</v>
      </c>
      <c r="B48" s="12" t="str">
        <f>المدخلات!$F$4</f>
        <v>4:00–5:30 م</v>
      </c>
      <c r="C48" s="12">
        <v>1</v>
      </c>
      <c r="D48" s="12" t="s">
        <v>89</v>
      </c>
      <c r="E48" s="12" t="s">
        <v>371</v>
      </c>
    </row>
    <row r="49" spans="1:5" s="5" customFormat="1">
      <c r="A49" s="11">
        <v>5</v>
      </c>
      <c r="B49" s="12" t="str">
        <f>المدخلات!$F$4</f>
        <v>4:00–5:30 م</v>
      </c>
      <c r="C49" s="12">
        <v>2</v>
      </c>
      <c r="D49" s="12" t="s">
        <v>163</v>
      </c>
      <c r="E49" s="12" t="s">
        <v>367</v>
      </c>
    </row>
    <row r="50" spans="1:5" s="5" customFormat="1">
      <c r="A50" s="11">
        <v>5</v>
      </c>
      <c r="B50" s="12" t="str">
        <f>المدخلات!$F$4</f>
        <v>4:00–5:30 م</v>
      </c>
      <c r="C50" s="12">
        <v>3</v>
      </c>
      <c r="D50" s="12" t="s">
        <v>163</v>
      </c>
      <c r="E50" s="12" t="s">
        <v>419</v>
      </c>
    </row>
    <row r="51" spans="1:5" s="5" customFormat="1">
      <c r="A51" s="11">
        <v>5</v>
      </c>
      <c r="B51" s="12" t="str">
        <f>المدخلات!$F$4</f>
        <v>4:00–5:30 م</v>
      </c>
      <c r="C51" s="12">
        <v>4</v>
      </c>
      <c r="D51" s="12" t="s">
        <v>163</v>
      </c>
      <c r="E51" s="12" t="s">
        <v>215</v>
      </c>
    </row>
    <row r="52" spans="1:5" s="5" customFormat="1">
      <c r="A52" s="11">
        <v>5</v>
      </c>
      <c r="B52" s="12" t="str">
        <f>المدخلات!$F$5</f>
        <v>5:40–7:10 م</v>
      </c>
      <c r="C52" s="12">
        <v>1</v>
      </c>
      <c r="D52" s="12" t="s">
        <v>89</v>
      </c>
      <c r="E52" s="12" t="s">
        <v>376</v>
      </c>
    </row>
    <row r="53" spans="1:5" s="5" customFormat="1">
      <c r="A53" s="11">
        <v>5</v>
      </c>
      <c r="B53" s="12" t="str">
        <f>المدخلات!$F$5</f>
        <v>5:40–7:10 م</v>
      </c>
      <c r="C53" s="12">
        <v>2</v>
      </c>
      <c r="D53" s="12" t="s">
        <v>17</v>
      </c>
      <c r="E53" s="12" t="s">
        <v>48</v>
      </c>
    </row>
    <row r="54" spans="1:5" s="5" customFormat="1">
      <c r="A54" s="11">
        <v>5</v>
      </c>
      <c r="B54" s="12" t="str">
        <f>المدخلات!$F$5</f>
        <v>5:40–7:10 م</v>
      </c>
      <c r="C54" s="12">
        <v>3</v>
      </c>
      <c r="D54" s="12" t="s">
        <v>89</v>
      </c>
      <c r="E54" s="12" t="s">
        <v>85</v>
      </c>
    </row>
    <row r="55" spans="1:5" s="5" customFormat="1">
      <c r="A55" s="11">
        <v>5</v>
      </c>
      <c r="B55" s="12" t="str">
        <f>المدخلات!$F$5</f>
        <v>5:40–7:10 م</v>
      </c>
      <c r="C55" s="12">
        <v>4</v>
      </c>
      <c r="D55" s="12" t="s">
        <v>17</v>
      </c>
      <c r="E55" s="12" t="s">
        <v>24</v>
      </c>
    </row>
    <row r="56" spans="1:5" s="5" customFormat="1">
      <c r="A56" s="11">
        <v>5</v>
      </c>
      <c r="B56" s="12" t="str">
        <f>المدخلات!$F$6</f>
        <v>7:20–8:50 م</v>
      </c>
      <c r="C56" s="12">
        <v>1</v>
      </c>
      <c r="D56" s="12" t="s">
        <v>17</v>
      </c>
      <c r="E56" s="12" t="s">
        <v>385</v>
      </c>
    </row>
    <row r="57" spans="1:5" s="5" customFormat="1">
      <c r="A57" s="11">
        <v>5</v>
      </c>
      <c r="B57" s="12" t="str">
        <f>المدخلات!$F$6</f>
        <v>7:20–8:50 م</v>
      </c>
      <c r="C57" s="12">
        <v>2</v>
      </c>
      <c r="D57" s="12" t="s">
        <v>17</v>
      </c>
      <c r="E57" s="12" t="s">
        <v>380</v>
      </c>
    </row>
    <row r="58" spans="1:5" s="5" customFormat="1">
      <c r="A58" s="11">
        <v>5</v>
      </c>
      <c r="B58" s="12" t="str">
        <f>المدخلات!$F$6</f>
        <v>7:20–8:50 م</v>
      </c>
      <c r="C58" s="12">
        <v>3</v>
      </c>
      <c r="D58" s="12" t="s">
        <v>89</v>
      </c>
      <c r="E58" s="12" t="s">
        <v>114</v>
      </c>
    </row>
    <row r="59" spans="1:5" s="5" customFormat="1">
      <c r="A59" s="11">
        <v>6</v>
      </c>
      <c r="B59" s="12" t="str">
        <f>المدخلات!$F$4</f>
        <v>4:00–5:30 م</v>
      </c>
      <c r="C59" s="12">
        <v>1</v>
      </c>
      <c r="D59" s="12" t="s">
        <v>17</v>
      </c>
      <c r="E59" s="12" t="s">
        <v>27</v>
      </c>
    </row>
    <row r="60" spans="1:5" s="5" customFormat="1">
      <c r="A60" s="11">
        <v>6</v>
      </c>
      <c r="B60" s="12" t="str">
        <f>المدخلات!$F$4</f>
        <v>4:00–5:30 م</v>
      </c>
      <c r="C60" s="12">
        <v>2</v>
      </c>
      <c r="D60" s="12" t="s">
        <v>17</v>
      </c>
      <c r="E60" s="12" t="s">
        <v>49</v>
      </c>
    </row>
    <row r="61" spans="1:5" s="5" customFormat="1">
      <c r="A61" s="11">
        <v>6</v>
      </c>
      <c r="B61" s="12" t="str">
        <f>المدخلات!$F$4</f>
        <v>4:00–5:30 م</v>
      </c>
      <c r="C61" s="12">
        <v>3</v>
      </c>
      <c r="D61" s="12" t="s">
        <v>17</v>
      </c>
      <c r="E61" s="12" t="s">
        <v>390</v>
      </c>
    </row>
    <row r="62" spans="1:5" s="5" customFormat="1">
      <c r="A62" s="11">
        <v>6</v>
      </c>
      <c r="B62" s="12" t="str">
        <f>المدخلات!$F$4</f>
        <v>4:00–5:30 م</v>
      </c>
      <c r="C62" s="12">
        <v>4</v>
      </c>
      <c r="D62" s="12" t="s">
        <v>163</v>
      </c>
      <c r="E62" s="12" t="s">
        <v>267</v>
      </c>
    </row>
    <row r="63" spans="1:5" s="5" customFormat="1">
      <c r="A63" s="11">
        <v>6</v>
      </c>
      <c r="B63" s="12" t="str">
        <f>المدخلات!$F$5</f>
        <v>5:40–7:10 م</v>
      </c>
      <c r="C63" s="12">
        <v>1</v>
      </c>
      <c r="D63" s="12" t="s">
        <v>89</v>
      </c>
      <c r="E63" s="12" t="s">
        <v>108</v>
      </c>
    </row>
    <row r="64" spans="1:5" s="5" customFormat="1">
      <c r="A64" s="11">
        <v>6</v>
      </c>
      <c r="B64" s="12" t="str">
        <f>المدخلات!$F$5</f>
        <v>5:40–7:10 م</v>
      </c>
      <c r="C64" s="12">
        <v>2</v>
      </c>
      <c r="D64" s="12" t="s">
        <v>163</v>
      </c>
      <c r="E64" s="12" t="s">
        <v>372</v>
      </c>
    </row>
    <row r="65" spans="1:5" s="5" customFormat="1">
      <c r="A65" s="11">
        <v>6</v>
      </c>
      <c r="B65" s="12" t="str">
        <f>المدخلات!$F$5</f>
        <v>5:40–7:10 م</v>
      </c>
      <c r="C65" s="12">
        <v>3</v>
      </c>
      <c r="D65" s="12" t="s">
        <v>17</v>
      </c>
      <c r="E65" s="12" t="s">
        <v>42</v>
      </c>
    </row>
    <row r="66" spans="1:5" s="5" customFormat="1">
      <c r="A66" s="11">
        <v>6</v>
      </c>
      <c r="B66" s="12" t="str">
        <f>المدخلات!$F$5</f>
        <v>5:40–7:10 م</v>
      </c>
      <c r="C66" s="12">
        <v>4</v>
      </c>
      <c r="D66" s="12" t="s">
        <v>89</v>
      </c>
      <c r="E66" s="12" t="s">
        <v>115</v>
      </c>
    </row>
    <row r="67" spans="1:5" s="5" customFormat="1">
      <c r="A67" s="11">
        <v>6</v>
      </c>
      <c r="B67" s="12" t="str">
        <f>المدخلات!$F$6</f>
        <v>7:20–8:50 م</v>
      </c>
      <c r="C67" s="12">
        <v>1</v>
      </c>
      <c r="D67" s="12" t="s">
        <v>89</v>
      </c>
      <c r="E67" s="12" t="s">
        <v>381</v>
      </c>
    </row>
    <row r="68" spans="1:5" s="5" customFormat="1">
      <c r="A68" s="11">
        <v>6</v>
      </c>
      <c r="B68" s="12" t="str">
        <f>المدخلات!$F$6</f>
        <v>7:20–8:50 م</v>
      </c>
      <c r="C68" s="12">
        <v>2</v>
      </c>
      <c r="D68" s="12" t="s">
        <v>89</v>
      </c>
      <c r="E68" s="12" t="s">
        <v>70</v>
      </c>
    </row>
    <row r="69" spans="1:5" s="5" customFormat="1">
      <c r="A69" s="11">
        <v>6</v>
      </c>
      <c r="B69" s="12" t="str">
        <f>المدخلات!$F$6</f>
        <v>7:20–8:50 م</v>
      </c>
      <c r="C69" s="12">
        <v>3</v>
      </c>
      <c r="D69" s="12" t="s">
        <v>163</v>
      </c>
      <c r="E69" s="12" t="s">
        <v>178</v>
      </c>
    </row>
    <row r="70" spans="1:5" s="5" customFormat="1">
      <c r="A70" s="11">
        <v>7</v>
      </c>
      <c r="B70" s="12" t="str">
        <f>المدخلات!$F$4</f>
        <v>4:00–5:30 م</v>
      </c>
      <c r="C70" s="12">
        <v>1</v>
      </c>
      <c r="D70" s="12" t="s">
        <v>17</v>
      </c>
      <c r="E70" s="12" t="s">
        <v>43</v>
      </c>
    </row>
    <row r="71" spans="1:5" s="5" customFormat="1">
      <c r="A71" s="11">
        <v>7</v>
      </c>
      <c r="B71" s="12" t="str">
        <f>المدخلات!$F$4</f>
        <v>4:00–5:30 م</v>
      </c>
      <c r="C71" s="12">
        <v>2</v>
      </c>
      <c r="D71" s="12" t="s">
        <v>89</v>
      </c>
      <c r="E71" s="12" t="s">
        <v>109</v>
      </c>
    </row>
    <row r="72" spans="1:5" s="5" customFormat="1">
      <c r="A72" s="11">
        <v>7</v>
      </c>
      <c r="B72" s="12" t="str">
        <f>المدخلات!$F$4</f>
        <v>4:00–5:30 م</v>
      </c>
      <c r="C72" s="12">
        <v>3</v>
      </c>
      <c r="D72" s="12" t="s">
        <v>89</v>
      </c>
      <c r="E72" s="12" t="s">
        <v>102</v>
      </c>
    </row>
    <row r="73" spans="1:5" s="5" customFormat="1">
      <c r="A73" s="11">
        <v>7</v>
      </c>
      <c r="B73" s="12" t="str">
        <f>المدخلات!$F$4</f>
        <v>4:00–5:30 م</v>
      </c>
      <c r="C73" s="12">
        <v>4</v>
      </c>
      <c r="D73" s="12" t="s">
        <v>17</v>
      </c>
      <c r="E73" s="12" t="s">
        <v>50</v>
      </c>
    </row>
    <row r="74" spans="1:5" s="5" customFormat="1">
      <c r="A74" s="11">
        <v>7</v>
      </c>
      <c r="B74" s="12" t="str">
        <f>المدخلات!$F$5</f>
        <v>5:40–7:10 م</v>
      </c>
      <c r="C74" s="12">
        <v>1</v>
      </c>
      <c r="D74" s="12" t="s">
        <v>89</v>
      </c>
      <c r="E74" s="12" t="s">
        <v>64</v>
      </c>
    </row>
    <row r="75" spans="1:5" s="5" customFormat="1">
      <c r="A75" s="11">
        <v>7</v>
      </c>
      <c r="B75" s="12" t="str">
        <f>المدخلات!$F$5</f>
        <v>5:40–7:10 م</v>
      </c>
      <c r="C75" s="12">
        <v>2</v>
      </c>
      <c r="D75" s="12" t="s">
        <v>17</v>
      </c>
      <c r="E75" s="12" t="s">
        <v>30</v>
      </c>
    </row>
    <row r="76" spans="1:5" s="5" customFormat="1">
      <c r="A76" s="11">
        <v>7</v>
      </c>
      <c r="B76" s="12" t="str">
        <f>المدخلات!$F$5</f>
        <v>5:40–7:10 م</v>
      </c>
      <c r="C76" s="12">
        <v>3</v>
      </c>
      <c r="D76" s="12" t="s">
        <v>89</v>
      </c>
      <c r="E76" s="12" t="s">
        <v>116</v>
      </c>
    </row>
    <row r="77" spans="1:5" s="5" customFormat="1">
      <c r="A77" s="11">
        <v>7</v>
      </c>
      <c r="B77" s="12" t="str">
        <f>المدخلات!$F$5</f>
        <v>5:40–7:10 م</v>
      </c>
      <c r="C77" s="12">
        <v>4</v>
      </c>
      <c r="D77" s="12" t="s">
        <v>17</v>
      </c>
      <c r="E77" s="12" t="s">
        <v>29</v>
      </c>
    </row>
    <row r="78" spans="1:5" s="5" customFormat="1">
      <c r="A78" s="11">
        <v>7</v>
      </c>
      <c r="B78" s="12" t="str">
        <f>المدخلات!$F$6</f>
        <v>7:20–8:50 م</v>
      </c>
      <c r="C78" s="12">
        <v>1</v>
      </c>
      <c r="D78" s="12" t="s">
        <v>163</v>
      </c>
      <c r="E78" s="12" t="s">
        <v>268</v>
      </c>
    </row>
    <row r="79" spans="1:5" s="5" customFormat="1">
      <c r="A79" s="11">
        <v>7</v>
      </c>
      <c r="B79" s="12" t="str">
        <f>المدخلات!$F$6</f>
        <v>7:20–8:50 م</v>
      </c>
      <c r="C79" s="12">
        <v>2</v>
      </c>
      <c r="D79" s="12" t="s">
        <v>163</v>
      </c>
      <c r="E79" s="12" t="s">
        <v>167</v>
      </c>
    </row>
    <row r="80" spans="1:5" s="5" customFormat="1">
      <c r="A80" s="11">
        <v>7</v>
      </c>
      <c r="B80" s="12" t="str">
        <f>المدخلات!$F$6</f>
        <v>7:20–8:50 م</v>
      </c>
      <c r="C80" s="12">
        <v>3</v>
      </c>
      <c r="D80" s="12" t="s">
        <v>163</v>
      </c>
      <c r="E80" s="12" t="s">
        <v>254</v>
      </c>
    </row>
    <row r="81" spans="1:5" s="5" customFormat="1">
      <c r="A81" s="11">
        <v>8</v>
      </c>
      <c r="B81" s="12" t="str">
        <f>المدخلات!$F$4</f>
        <v>4:00–5:30 م</v>
      </c>
      <c r="C81" s="12">
        <v>1</v>
      </c>
      <c r="D81" s="12" t="s">
        <v>89</v>
      </c>
      <c r="E81" s="12" t="s">
        <v>110</v>
      </c>
    </row>
    <row r="82" spans="1:5" s="5" customFormat="1">
      <c r="A82" s="11">
        <v>8</v>
      </c>
      <c r="B82" s="12" t="str">
        <f>المدخلات!$F$4</f>
        <v>4:00–5:30 م</v>
      </c>
      <c r="C82" s="12">
        <v>2</v>
      </c>
      <c r="D82" s="12" t="s">
        <v>17</v>
      </c>
      <c r="E82" s="12" t="s">
        <v>31</v>
      </c>
    </row>
    <row r="83" spans="1:5" s="5" customFormat="1">
      <c r="A83" s="11">
        <v>8</v>
      </c>
      <c r="B83" s="12" t="str">
        <f>المدخلات!$F$4</f>
        <v>4:00–5:30 م</v>
      </c>
      <c r="C83" s="12">
        <v>3</v>
      </c>
      <c r="D83" s="12" t="s">
        <v>163</v>
      </c>
      <c r="E83" s="12" t="s">
        <v>264</v>
      </c>
    </row>
    <row r="84" spans="1:5" s="5" customFormat="1">
      <c r="A84" s="11">
        <v>8</v>
      </c>
      <c r="B84" s="12" t="str">
        <f>المدخلات!$F$4</f>
        <v>4:00–5:30 م</v>
      </c>
      <c r="C84" s="12">
        <v>4</v>
      </c>
      <c r="D84" s="12" t="s">
        <v>17</v>
      </c>
      <c r="E84" s="12" t="s">
        <v>38</v>
      </c>
    </row>
    <row r="85" spans="1:5" s="5" customFormat="1">
      <c r="A85" s="11">
        <v>8</v>
      </c>
      <c r="B85" s="12" t="str">
        <f>المدخلات!$F$5</f>
        <v>5:40–7:10 م</v>
      </c>
      <c r="C85" s="12">
        <v>1</v>
      </c>
      <c r="D85" s="12" t="s">
        <v>163</v>
      </c>
      <c r="E85" s="12" t="s">
        <v>234</v>
      </c>
    </row>
    <row r="86" spans="1:5" s="5" customFormat="1">
      <c r="A86" s="11">
        <v>8</v>
      </c>
      <c r="B86" s="12" t="str">
        <f>المدخلات!$F$5</f>
        <v>5:40–7:10 م</v>
      </c>
      <c r="C86" s="12">
        <v>2</v>
      </c>
      <c r="D86" s="12" t="s">
        <v>89</v>
      </c>
      <c r="E86" s="12" t="s">
        <v>93</v>
      </c>
    </row>
    <row r="87" spans="1:5" s="5" customFormat="1">
      <c r="A87" s="11">
        <v>8</v>
      </c>
      <c r="B87" s="12" t="str">
        <f>المدخلات!$F$5</f>
        <v>5:40–7:10 م</v>
      </c>
      <c r="C87" s="12">
        <v>3</v>
      </c>
      <c r="D87" s="12" t="s">
        <v>17</v>
      </c>
      <c r="E87" s="12" t="s">
        <v>32</v>
      </c>
    </row>
    <row r="88" spans="1:5" s="5" customFormat="1">
      <c r="A88" s="11">
        <v>8</v>
      </c>
      <c r="B88" s="12" t="str">
        <f>المدخلات!$F$5</f>
        <v>5:40–7:10 م</v>
      </c>
      <c r="C88" s="12">
        <v>4</v>
      </c>
      <c r="D88" s="12" t="s">
        <v>163</v>
      </c>
      <c r="E88" s="12" t="s">
        <v>255</v>
      </c>
    </row>
    <row r="89" spans="1:5" s="5" customFormat="1">
      <c r="A89" s="11">
        <v>8</v>
      </c>
      <c r="B89" s="12" t="str">
        <f>المدخلات!$F$6</f>
        <v>7:20–8:50 م</v>
      </c>
      <c r="C89" s="12">
        <v>1</v>
      </c>
      <c r="D89" s="12" t="s">
        <v>17</v>
      </c>
      <c r="E89" s="12" t="s">
        <v>44</v>
      </c>
    </row>
    <row r="90" spans="1:5" s="5" customFormat="1">
      <c r="A90" s="11">
        <v>8</v>
      </c>
      <c r="B90" s="12" t="str">
        <f>المدخلات!$F$6</f>
        <v>7:20–8:50 م</v>
      </c>
      <c r="C90" s="12">
        <v>2</v>
      </c>
      <c r="D90" s="12" t="s">
        <v>89</v>
      </c>
      <c r="E90" s="12" t="s">
        <v>103</v>
      </c>
    </row>
    <row r="91" spans="1:5" s="5" customFormat="1">
      <c r="A91" s="11">
        <v>8</v>
      </c>
      <c r="B91" s="12" t="str">
        <f>المدخلات!$F$6</f>
        <v>7:20–8:50 م</v>
      </c>
      <c r="C91" s="12">
        <v>3</v>
      </c>
      <c r="D91" s="12" t="s">
        <v>89</v>
      </c>
      <c r="E91" s="12" t="s">
        <v>104</v>
      </c>
    </row>
    <row r="92" spans="1:5" s="5" customFormat="1">
      <c r="A92" s="11">
        <v>9</v>
      </c>
      <c r="B92" s="12" t="str">
        <f>المدخلات!$F$4</f>
        <v>4:00–5:30 م</v>
      </c>
      <c r="C92" s="12">
        <v>1</v>
      </c>
      <c r="D92" s="12" t="s">
        <v>163</v>
      </c>
      <c r="E92" s="12" t="s">
        <v>235</v>
      </c>
    </row>
    <row r="93" spans="1:5" s="5" customFormat="1">
      <c r="A93" s="11">
        <v>9</v>
      </c>
      <c r="B93" s="12" t="str">
        <f>المدخلات!$F$4</f>
        <v>4:00–5:30 م</v>
      </c>
      <c r="C93" s="12">
        <v>2</v>
      </c>
      <c r="D93" s="12" t="s">
        <v>89</v>
      </c>
      <c r="E93" s="12" t="s">
        <v>94</v>
      </c>
    </row>
    <row r="94" spans="1:5" s="5" customFormat="1">
      <c r="A94" s="11">
        <v>9</v>
      </c>
      <c r="B94" s="12" t="str">
        <f>المدخلات!$F$4</f>
        <v>4:00–5:30 م</v>
      </c>
      <c r="C94" s="12">
        <v>3</v>
      </c>
      <c r="D94" s="12" t="s">
        <v>89</v>
      </c>
      <c r="E94" s="12" t="s">
        <v>84</v>
      </c>
    </row>
    <row r="95" spans="1:5" s="5" customFormat="1">
      <c r="A95" s="11">
        <v>9</v>
      </c>
      <c r="B95" s="12" t="str">
        <f>المدخلات!$F$4</f>
        <v>4:00–5:30 م</v>
      </c>
      <c r="C95" s="12">
        <v>4</v>
      </c>
      <c r="D95" s="12" t="s">
        <v>163</v>
      </c>
      <c r="E95" s="12" t="s">
        <v>214</v>
      </c>
    </row>
    <row r="96" spans="1:5" s="5" customFormat="1">
      <c r="A96" s="11">
        <v>9</v>
      </c>
      <c r="B96" s="12" t="str">
        <f>المدخلات!$F$5</f>
        <v>5:40–7:10 م</v>
      </c>
      <c r="C96" s="12">
        <v>1</v>
      </c>
      <c r="D96" s="12" t="s">
        <v>17</v>
      </c>
      <c r="E96" s="12" t="s">
        <v>405</v>
      </c>
    </row>
    <row r="97" spans="1:5" s="5" customFormat="1">
      <c r="A97" s="11">
        <v>9</v>
      </c>
      <c r="B97" s="12" t="str">
        <f>المدخلات!$F$5</f>
        <v>5:40–7:10 م</v>
      </c>
      <c r="C97" s="12">
        <v>2</v>
      </c>
      <c r="D97" s="12" t="s">
        <v>89</v>
      </c>
      <c r="E97" s="12" t="s">
        <v>105</v>
      </c>
    </row>
    <row r="98" spans="1:5" s="5" customFormat="1">
      <c r="A98" s="11">
        <v>9</v>
      </c>
      <c r="B98" s="12" t="str">
        <f>المدخلات!$F$5</f>
        <v>5:40–7:10 م</v>
      </c>
      <c r="C98" s="12">
        <v>3</v>
      </c>
      <c r="D98" s="12" t="s">
        <v>163</v>
      </c>
      <c r="E98" s="12" t="s">
        <v>265</v>
      </c>
    </row>
    <row r="99" spans="1:5" s="5" customFormat="1">
      <c r="A99" s="11">
        <v>9</v>
      </c>
      <c r="B99" s="12" t="str">
        <f>المدخلات!$F$5</f>
        <v>5:40–7:10 م</v>
      </c>
      <c r="C99" s="12">
        <v>4</v>
      </c>
      <c r="D99" s="12" t="s">
        <v>17</v>
      </c>
      <c r="E99" s="12" t="s">
        <v>39</v>
      </c>
    </row>
    <row r="100" spans="1:5" s="5" customFormat="1">
      <c r="A100" s="11">
        <v>9</v>
      </c>
      <c r="B100" s="12" t="str">
        <f>المدخلات!$F$6</f>
        <v>7:20–8:50 م</v>
      </c>
      <c r="C100" s="12">
        <v>1</v>
      </c>
      <c r="D100" s="12" t="s">
        <v>17</v>
      </c>
      <c r="E100" s="12" t="s">
        <v>19</v>
      </c>
    </row>
    <row r="101" spans="1:5" s="5" customFormat="1">
      <c r="A101" s="11">
        <v>9</v>
      </c>
      <c r="B101" s="12" t="str">
        <f>المدخلات!$F$6</f>
        <v>7:20–8:50 م</v>
      </c>
      <c r="C101" s="12">
        <v>2</v>
      </c>
      <c r="D101" s="12" t="s">
        <v>89</v>
      </c>
      <c r="E101" s="12" t="s">
        <v>407</v>
      </c>
    </row>
    <row r="102" spans="1:5" s="5" customFormat="1">
      <c r="A102" s="11">
        <v>9</v>
      </c>
      <c r="B102" s="12" t="str">
        <f>المدخلات!$F$6</f>
        <v>7:20–8:50 م</v>
      </c>
      <c r="C102" s="12">
        <v>3</v>
      </c>
      <c r="D102" s="12" t="s">
        <v>17</v>
      </c>
      <c r="E102" s="12" t="s">
        <v>20</v>
      </c>
    </row>
    <row r="103" spans="1:5" s="5" customFormat="1">
      <c r="A103" s="11">
        <v>10</v>
      </c>
      <c r="B103" s="12" t="str">
        <f>المدخلات!$F$4</f>
        <v>4:00–5:30 م</v>
      </c>
      <c r="C103" s="12">
        <v>1</v>
      </c>
      <c r="D103" s="12" t="s">
        <v>163</v>
      </c>
      <c r="E103" s="12" t="s">
        <v>256</v>
      </c>
    </row>
    <row r="104" spans="1:5" s="5" customFormat="1">
      <c r="A104" s="11">
        <v>10</v>
      </c>
      <c r="B104" s="12" t="str">
        <f>المدخلات!$F$4</f>
        <v>4:00–5:30 م</v>
      </c>
      <c r="C104" s="12">
        <v>2</v>
      </c>
      <c r="D104" s="12" t="s">
        <v>17</v>
      </c>
      <c r="E104" s="12" t="s">
        <v>365</v>
      </c>
    </row>
    <row r="105" spans="1:5" s="5" customFormat="1">
      <c r="A105" s="11">
        <v>10</v>
      </c>
      <c r="B105" s="12" t="str">
        <f>المدخلات!$F$4</f>
        <v>4:00–5:30 م</v>
      </c>
      <c r="C105" s="12">
        <v>3</v>
      </c>
      <c r="D105" s="12" t="s">
        <v>89</v>
      </c>
      <c r="E105" s="12" t="s">
        <v>98</v>
      </c>
    </row>
    <row r="106" spans="1:5" s="5" customFormat="1">
      <c r="A106" s="11">
        <v>10</v>
      </c>
      <c r="B106" s="12" t="str">
        <f>المدخلات!$F$4</f>
        <v>4:00–5:30 م</v>
      </c>
      <c r="C106" s="12">
        <v>4</v>
      </c>
      <c r="D106" s="12" t="s">
        <v>89</v>
      </c>
      <c r="E106" s="12" t="s">
        <v>74</v>
      </c>
    </row>
    <row r="107" spans="1:5" s="5" customFormat="1">
      <c r="A107" s="11">
        <v>10</v>
      </c>
      <c r="B107" s="12" t="str">
        <f>المدخلات!$F$5</f>
        <v>5:40–7:10 م</v>
      </c>
      <c r="C107" s="12">
        <v>1</v>
      </c>
      <c r="D107" s="12" t="s">
        <v>163</v>
      </c>
      <c r="E107" s="12" t="s">
        <v>192</v>
      </c>
    </row>
    <row r="108" spans="1:5" s="5" customFormat="1">
      <c r="A108" s="11">
        <v>10</v>
      </c>
      <c r="B108" s="12" t="str">
        <f>المدخلات!$F$5</f>
        <v>5:40–7:10 م</v>
      </c>
      <c r="C108" s="12">
        <v>2</v>
      </c>
      <c r="D108" s="12" t="s">
        <v>17</v>
      </c>
      <c r="E108" s="12" t="s">
        <v>406</v>
      </c>
    </row>
    <row r="109" spans="1:5" s="5" customFormat="1">
      <c r="A109" s="11">
        <v>10</v>
      </c>
      <c r="B109" s="12" t="str">
        <f>المدخلات!$F$5</f>
        <v>5:40–7:10 م</v>
      </c>
      <c r="C109" s="12">
        <v>3</v>
      </c>
      <c r="D109" s="12" t="s">
        <v>17</v>
      </c>
      <c r="E109" s="12" t="s">
        <v>23</v>
      </c>
    </row>
    <row r="110" spans="1:5" s="5" customFormat="1">
      <c r="A110" s="11">
        <v>10</v>
      </c>
      <c r="B110" s="12" t="str">
        <f>المدخلات!$F$5</f>
        <v>5:40–7:10 م</v>
      </c>
      <c r="C110" s="12">
        <v>4</v>
      </c>
      <c r="D110" s="12" t="s">
        <v>89</v>
      </c>
      <c r="E110" s="12" t="s">
        <v>411</v>
      </c>
    </row>
    <row r="111" spans="1:5" s="5" customFormat="1">
      <c r="A111" s="11">
        <v>10</v>
      </c>
      <c r="B111" s="12" t="str">
        <f>المدخلات!$F$6</f>
        <v>7:20–8:50 م</v>
      </c>
      <c r="C111" s="12">
        <v>1</v>
      </c>
      <c r="D111" s="12" t="s">
        <v>89</v>
      </c>
      <c r="E111" s="12" t="s">
        <v>409</v>
      </c>
    </row>
    <row r="112" spans="1:5" s="5" customFormat="1">
      <c r="A112" s="11">
        <v>10</v>
      </c>
      <c r="B112" s="12" t="str">
        <f>المدخلات!$F$6</f>
        <v>7:20–8:50 م</v>
      </c>
      <c r="C112" s="12">
        <v>2</v>
      </c>
      <c r="D112" s="12" t="s">
        <v>163</v>
      </c>
      <c r="E112" s="12" t="s">
        <v>412</v>
      </c>
    </row>
    <row r="113" spans="1:5" s="5" customFormat="1">
      <c r="A113" s="11">
        <v>10</v>
      </c>
      <c r="B113" s="12" t="str">
        <f>المدخلات!$F$6</f>
        <v>7:20–8:50 م</v>
      </c>
      <c r="C113" s="12">
        <v>3</v>
      </c>
      <c r="D113" s="12" t="s">
        <v>17</v>
      </c>
      <c r="E113" s="12" t="s">
        <v>18</v>
      </c>
    </row>
    <row r="114" spans="1:5" s="5" customFormat="1">
      <c r="A114" s="11">
        <v>11</v>
      </c>
      <c r="B114" s="12" t="str">
        <f>المدخلات!$F$4</f>
        <v>4:00–5:30 م</v>
      </c>
      <c r="C114" s="12">
        <v>1</v>
      </c>
      <c r="D114" s="12" t="s">
        <v>163</v>
      </c>
      <c r="E114" s="12" t="s">
        <v>417</v>
      </c>
    </row>
    <row r="115" spans="1:5" s="5" customFormat="1">
      <c r="A115" s="11">
        <v>11</v>
      </c>
      <c r="B115" s="12" t="str">
        <f>المدخلات!$F$4</f>
        <v>4:00–5:30 م</v>
      </c>
      <c r="C115" s="12">
        <v>2</v>
      </c>
      <c r="D115" s="12" t="s">
        <v>17</v>
      </c>
      <c r="E115" s="12" t="s">
        <v>408</v>
      </c>
    </row>
    <row r="116" spans="1:5" s="5" customFormat="1">
      <c r="A116" s="11">
        <v>11</v>
      </c>
      <c r="B116" s="12" t="str">
        <f>المدخلات!$F$4</f>
        <v>4:00–5:30 م</v>
      </c>
      <c r="C116" s="12">
        <v>3</v>
      </c>
      <c r="D116" s="12" t="s">
        <v>163</v>
      </c>
      <c r="E116" s="12" t="s">
        <v>416</v>
      </c>
    </row>
    <row r="117" spans="1:5" s="5" customFormat="1">
      <c r="A117" s="11">
        <v>11</v>
      </c>
      <c r="B117" s="12" t="str">
        <f>المدخلات!$F$4</f>
        <v>4:00–5:30 م</v>
      </c>
      <c r="C117" s="12">
        <v>4</v>
      </c>
      <c r="D117" s="12" t="s">
        <v>163</v>
      </c>
      <c r="E117" s="12" t="s">
        <v>226</v>
      </c>
    </row>
    <row r="118" spans="1:5" s="5" customFormat="1">
      <c r="A118" s="11">
        <v>11</v>
      </c>
      <c r="B118" s="12" t="str">
        <f>المدخلات!$F$5</f>
        <v>5:40–7:10 م</v>
      </c>
      <c r="C118" s="12">
        <v>1</v>
      </c>
      <c r="D118" s="12" t="s">
        <v>89</v>
      </c>
      <c r="E118" s="12" t="s">
        <v>414</v>
      </c>
    </row>
    <row r="119" spans="1:5" s="5" customFormat="1">
      <c r="A119" s="11">
        <v>11</v>
      </c>
      <c r="B119" s="12" t="str">
        <f>المدخلات!$F$5</f>
        <v>5:40–7:10 م</v>
      </c>
      <c r="C119" s="12">
        <v>2</v>
      </c>
      <c r="D119" s="12" t="s">
        <v>17</v>
      </c>
      <c r="E119" s="12" t="s">
        <v>21</v>
      </c>
    </row>
    <row r="120" spans="1:5" s="5" customFormat="1">
      <c r="A120" s="11">
        <v>11</v>
      </c>
      <c r="B120" s="12" t="str">
        <f>المدخلات!$F$5</f>
        <v>5:40–7:10 م</v>
      </c>
      <c r="C120" s="12">
        <v>3</v>
      </c>
      <c r="D120" s="12" t="s">
        <v>89</v>
      </c>
      <c r="E120" s="12" t="s">
        <v>415</v>
      </c>
    </row>
    <row r="121" spans="1:5" s="5" customFormat="1">
      <c r="A121" s="11">
        <v>11</v>
      </c>
      <c r="B121" s="12" t="str">
        <f>المدخلات!$F$5</f>
        <v>5:40–7:10 م</v>
      </c>
      <c r="C121" s="12">
        <v>4</v>
      </c>
      <c r="D121" s="12" t="s">
        <v>89</v>
      </c>
      <c r="E121" s="12" t="s">
        <v>92</v>
      </c>
    </row>
    <row r="122" spans="1:5" s="5" customFormat="1">
      <c r="A122" s="11">
        <v>11</v>
      </c>
      <c r="B122" s="12" t="str">
        <f>المدخلات!$F$6</f>
        <v>7:20–8:50 م</v>
      </c>
      <c r="C122" s="12">
        <v>1</v>
      </c>
      <c r="D122" s="12" t="s">
        <v>89</v>
      </c>
      <c r="E122" s="12" t="s">
        <v>366</v>
      </c>
    </row>
    <row r="123" spans="1:5" s="5" customFormat="1">
      <c r="A123" s="11">
        <v>11</v>
      </c>
      <c r="B123" s="12" t="str">
        <f>المدخلات!$F$6</f>
        <v>7:20–8:50 م</v>
      </c>
      <c r="C123" s="12">
        <v>2</v>
      </c>
      <c r="D123" s="12" t="s">
        <v>17</v>
      </c>
      <c r="E123" s="12" t="s">
        <v>370</v>
      </c>
    </row>
    <row r="124" spans="1:5" s="5" customFormat="1">
      <c r="A124" s="11">
        <v>11</v>
      </c>
      <c r="B124" s="12" t="str">
        <f>المدخلات!$F$6</f>
        <v>7:20–8:50 م</v>
      </c>
      <c r="C124" s="12">
        <v>3</v>
      </c>
      <c r="D124" s="12" t="s">
        <v>17</v>
      </c>
      <c r="E124" s="12" t="s">
        <v>375</v>
      </c>
    </row>
    <row r="125" spans="1:5" s="5" customFormat="1">
      <c r="A125" s="11">
        <v>12</v>
      </c>
      <c r="B125" s="12" t="str">
        <f>المدخلات!$F$4</f>
        <v>4:00–5:30 م</v>
      </c>
      <c r="C125" s="12">
        <v>1</v>
      </c>
      <c r="D125" s="12" t="s">
        <v>17</v>
      </c>
      <c r="E125" s="12" t="s">
        <v>24</v>
      </c>
    </row>
    <row r="126" spans="1:5" s="5" customFormat="1">
      <c r="A126" s="11">
        <v>12</v>
      </c>
      <c r="B126" s="12" t="str">
        <f>المدخلات!$F$4</f>
        <v>4:00–5:30 م</v>
      </c>
      <c r="C126" s="12">
        <v>2</v>
      </c>
      <c r="D126" s="12" t="s">
        <v>89</v>
      </c>
      <c r="E126" s="12" t="s">
        <v>114</v>
      </c>
    </row>
    <row r="127" spans="1:5" s="5" customFormat="1">
      <c r="A127" s="11">
        <v>12</v>
      </c>
      <c r="B127" s="12" t="str">
        <f>المدخلات!$F$4</f>
        <v>4:00–5:30 م</v>
      </c>
      <c r="C127" s="12">
        <v>3</v>
      </c>
      <c r="D127" s="12" t="s">
        <v>89</v>
      </c>
      <c r="E127" s="12" t="s">
        <v>371</v>
      </c>
    </row>
    <row r="128" spans="1:5" s="5" customFormat="1">
      <c r="A128" s="11">
        <v>12</v>
      </c>
      <c r="B128" s="12" t="str">
        <f>المدخلات!$F$4</f>
        <v>4:00–5:30 م</v>
      </c>
      <c r="C128" s="12">
        <v>4</v>
      </c>
      <c r="D128" s="12" t="s">
        <v>17</v>
      </c>
      <c r="E128" s="12" t="s">
        <v>385</v>
      </c>
    </row>
    <row r="129" spans="1:5" s="5" customFormat="1">
      <c r="A129" s="11">
        <v>12</v>
      </c>
      <c r="B129" s="12" t="str">
        <f>المدخلات!$F$5</f>
        <v>5:40–7:10 م</v>
      </c>
      <c r="C129" s="12">
        <v>1</v>
      </c>
      <c r="D129" s="12" t="s">
        <v>17</v>
      </c>
      <c r="E129" s="12" t="s">
        <v>380</v>
      </c>
    </row>
    <row r="130" spans="1:5" s="5" customFormat="1">
      <c r="A130" s="11">
        <v>12</v>
      </c>
      <c r="B130" s="12" t="str">
        <f>المدخلات!$F$5</f>
        <v>5:40–7:10 م</v>
      </c>
      <c r="C130" s="12">
        <v>2</v>
      </c>
      <c r="D130" s="12" t="s">
        <v>163</v>
      </c>
      <c r="E130" s="12" t="s">
        <v>419</v>
      </c>
    </row>
    <row r="131" spans="1:5" s="5" customFormat="1">
      <c r="A131" s="11">
        <v>12</v>
      </c>
      <c r="B131" s="12" t="str">
        <f>المدخلات!$F$5</f>
        <v>5:40–7:10 م</v>
      </c>
      <c r="C131" s="12">
        <v>3</v>
      </c>
      <c r="D131" s="12" t="s">
        <v>163</v>
      </c>
      <c r="E131" s="12" t="s">
        <v>367</v>
      </c>
    </row>
    <row r="132" spans="1:5" s="5" customFormat="1">
      <c r="A132" s="11">
        <v>12</v>
      </c>
      <c r="B132" s="12" t="str">
        <f>المدخلات!$F$5</f>
        <v>5:40–7:10 م</v>
      </c>
      <c r="C132" s="12">
        <v>4</v>
      </c>
      <c r="D132" s="12" t="s">
        <v>89</v>
      </c>
      <c r="E132" s="12" t="s">
        <v>376</v>
      </c>
    </row>
    <row r="133" spans="1:5" s="5" customFormat="1">
      <c r="A133" s="11">
        <v>12</v>
      </c>
      <c r="B133" s="12" t="str">
        <f>المدخلات!$F$6</f>
        <v>7:20–8:50 م</v>
      </c>
      <c r="C133" s="12">
        <v>1</v>
      </c>
      <c r="D133" s="12" t="s">
        <v>89</v>
      </c>
      <c r="E133" s="12" t="s">
        <v>85</v>
      </c>
    </row>
    <row r="134" spans="1:5" s="5" customFormat="1">
      <c r="A134" s="11">
        <v>12</v>
      </c>
      <c r="B134" s="12" t="str">
        <f>المدخلات!$F$6</f>
        <v>7:20–8:50 م</v>
      </c>
      <c r="C134" s="12">
        <v>2</v>
      </c>
      <c r="D134" s="12" t="s">
        <v>163</v>
      </c>
      <c r="E134" s="12" t="s">
        <v>215</v>
      </c>
    </row>
    <row r="135" spans="1:5" s="5" customFormat="1">
      <c r="A135" s="11">
        <v>12</v>
      </c>
      <c r="B135" s="12" t="str">
        <f>المدخلات!$F$6</f>
        <v>7:20–8:50 م</v>
      </c>
      <c r="C135" s="12">
        <v>3</v>
      </c>
      <c r="D135" s="12" t="s">
        <v>17</v>
      </c>
      <c r="E135" s="12" t="s">
        <v>48</v>
      </c>
    </row>
    <row r="136" spans="1:5" s="5" customFormat="1">
      <c r="A136" s="11">
        <v>13</v>
      </c>
      <c r="B136" s="12" t="str">
        <f>المدخلات!$F$4</f>
        <v>4:00–5:30 م</v>
      </c>
      <c r="C136" s="12">
        <v>1</v>
      </c>
      <c r="D136" s="12" t="s">
        <v>17</v>
      </c>
      <c r="E136" s="12" t="s">
        <v>27</v>
      </c>
    </row>
    <row r="137" spans="1:5" s="5" customFormat="1">
      <c r="A137" s="11">
        <v>13</v>
      </c>
      <c r="B137" s="12" t="str">
        <f>المدخلات!$F$4</f>
        <v>4:00–5:30 م</v>
      </c>
      <c r="C137" s="12">
        <v>2</v>
      </c>
      <c r="D137" s="12" t="s">
        <v>89</v>
      </c>
      <c r="E137" s="12" t="s">
        <v>381</v>
      </c>
    </row>
    <row r="138" spans="1:5" s="5" customFormat="1">
      <c r="A138" s="11">
        <v>13</v>
      </c>
      <c r="B138" s="12" t="str">
        <f>المدخلات!$F$4</f>
        <v>4:00–5:30 م</v>
      </c>
      <c r="C138" s="12">
        <v>3</v>
      </c>
      <c r="D138" s="12" t="s">
        <v>17</v>
      </c>
      <c r="E138" s="12" t="s">
        <v>49</v>
      </c>
    </row>
    <row r="139" spans="1:5" s="5" customFormat="1">
      <c r="A139" s="11">
        <v>13</v>
      </c>
      <c r="B139" s="12" t="str">
        <f>المدخلات!$F$4</f>
        <v>4:00–5:30 م</v>
      </c>
      <c r="C139" s="12">
        <v>4</v>
      </c>
      <c r="D139" s="12" t="s">
        <v>89</v>
      </c>
      <c r="E139" s="12" t="s">
        <v>108</v>
      </c>
    </row>
    <row r="140" spans="1:5" s="5" customFormat="1">
      <c r="A140" s="11">
        <v>13</v>
      </c>
      <c r="B140" s="12" t="str">
        <f>المدخلات!$F$5</f>
        <v>5:40–7:10 م</v>
      </c>
      <c r="C140" s="12">
        <v>1</v>
      </c>
      <c r="D140" s="12" t="s">
        <v>17</v>
      </c>
      <c r="E140" s="12" t="s">
        <v>390</v>
      </c>
    </row>
    <row r="141" spans="1:5" s="5" customFormat="1">
      <c r="A141" s="11">
        <v>13</v>
      </c>
      <c r="B141" s="12" t="str">
        <f>المدخلات!$F$5</f>
        <v>5:40–7:10 م</v>
      </c>
      <c r="C141" s="12">
        <v>2</v>
      </c>
      <c r="D141" s="12" t="s">
        <v>17</v>
      </c>
      <c r="E141" s="12" t="s">
        <v>42</v>
      </c>
    </row>
    <row r="142" spans="1:5" s="5" customFormat="1">
      <c r="A142" s="11">
        <v>13</v>
      </c>
      <c r="B142" s="12" t="str">
        <f>المدخلات!$F$5</f>
        <v>5:40–7:10 م</v>
      </c>
      <c r="C142" s="12">
        <v>3</v>
      </c>
      <c r="D142" s="12" t="s">
        <v>163</v>
      </c>
      <c r="E142" s="12" t="s">
        <v>372</v>
      </c>
    </row>
    <row r="143" spans="1:5" s="5" customFormat="1">
      <c r="A143" s="11">
        <v>13</v>
      </c>
      <c r="B143" s="12" t="str">
        <f>المدخلات!$F$5</f>
        <v>5:40–7:10 م</v>
      </c>
      <c r="C143" s="12">
        <v>4</v>
      </c>
      <c r="D143" s="12" t="s">
        <v>163</v>
      </c>
      <c r="E143" s="12" t="s">
        <v>267</v>
      </c>
    </row>
    <row r="144" spans="1:5" s="5" customFormat="1">
      <c r="A144" s="11">
        <v>13</v>
      </c>
      <c r="B144" s="12" t="str">
        <f>المدخلات!$F$6</f>
        <v>7:20–8:50 م</v>
      </c>
      <c r="C144" s="12">
        <v>1</v>
      </c>
      <c r="D144" s="12" t="s">
        <v>89</v>
      </c>
      <c r="E144" s="12" t="s">
        <v>115</v>
      </c>
    </row>
    <row r="145" spans="1:5" s="5" customFormat="1">
      <c r="A145" s="11">
        <v>13</v>
      </c>
      <c r="B145" s="12" t="str">
        <f>المدخلات!$F$6</f>
        <v>7:20–8:50 م</v>
      </c>
      <c r="C145" s="12">
        <v>2</v>
      </c>
      <c r="D145" s="12" t="s">
        <v>89</v>
      </c>
      <c r="E145" s="12" t="s">
        <v>70</v>
      </c>
    </row>
    <row r="146" spans="1:5" s="5" customFormat="1">
      <c r="A146" s="11">
        <v>13</v>
      </c>
      <c r="B146" s="12" t="str">
        <f>المدخلات!$F$6</f>
        <v>7:20–8:50 م</v>
      </c>
      <c r="C146" s="12">
        <v>3</v>
      </c>
      <c r="D146" s="12" t="s">
        <v>163</v>
      </c>
      <c r="E146" s="12" t="s">
        <v>178</v>
      </c>
    </row>
    <row r="147" spans="1:5" s="5" customFormat="1">
      <c r="A147" s="11">
        <v>14</v>
      </c>
      <c r="B147" s="12" t="str">
        <f>المدخلات!$F$4</f>
        <v>4:00–5:30 م</v>
      </c>
      <c r="C147" s="12">
        <v>1</v>
      </c>
      <c r="D147" s="12" t="s">
        <v>89</v>
      </c>
      <c r="E147" s="12" t="s">
        <v>64</v>
      </c>
    </row>
    <row r="148" spans="1:5" s="5" customFormat="1">
      <c r="A148" s="11">
        <v>14</v>
      </c>
      <c r="B148" s="12" t="str">
        <f>المدخلات!$F$4</f>
        <v>4:00–5:30 م</v>
      </c>
      <c r="C148" s="12">
        <v>2</v>
      </c>
      <c r="D148" s="12" t="s">
        <v>163</v>
      </c>
      <c r="E148" s="12" t="s">
        <v>167</v>
      </c>
    </row>
    <row r="149" spans="1:5" s="5" customFormat="1">
      <c r="A149" s="11">
        <v>14</v>
      </c>
      <c r="B149" s="12" t="str">
        <f>المدخلات!$F$4</f>
        <v>4:00–5:30 م</v>
      </c>
      <c r="C149" s="12">
        <v>3</v>
      </c>
      <c r="D149" s="12" t="s">
        <v>17</v>
      </c>
      <c r="E149" s="12" t="s">
        <v>29</v>
      </c>
    </row>
    <row r="150" spans="1:5" s="5" customFormat="1">
      <c r="A150" s="11">
        <v>14</v>
      </c>
      <c r="B150" s="12" t="str">
        <f>المدخلات!$F$4</f>
        <v>4:00–5:30 م</v>
      </c>
      <c r="C150" s="12">
        <v>4</v>
      </c>
      <c r="D150" s="12" t="s">
        <v>17</v>
      </c>
      <c r="E150" s="12" t="s">
        <v>43</v>
      </c>
    </row>
    <row r="151" spans="1:5" s="5" customFormat="1">
      <c r="A151" s="11">
        <v>14</v>
      </c>
      <c r="B151" s="12" t="str">
        <f>المدخلات!$F$5</f>
        <v>5:40–7:10 م</v>
      </c>
      <c r="C151" s="12">
        <v>1</v>
      </c>
      <c r="D151" s="12" t="s">
        <v>89</v>
      </c>
      <c r="E151" s="12" t="s">
        <v>116</v>
      </c>
    </row>
    <row r="152" spans="1:5" s="5" customFormat="1">
      <c r="A152" s="11">
        <v>14</v>
      </c>
      <c r="B152" s="12" t="str">
        <f>المدخلات!$F$5</f>
        <v>5:40–7:10 م</v>
      </c>
      <c r="C152" s="12">
        <v>2</v>
      </c>
      <c r="D152" s="12" t="s">
        <v>163</v>
      </c>
      <c r="E152" s="12" t="s">
        <v>268</v>
      </c>
    </row>
    <row r="153" spans="1:5" s="5" customFormat="1">
      <c r="A153" s="11">
        <v>14</v>
      </c>
      <c r="B153" s="12" t="str">
        <f>المدخلات!$F$5</f>
        <v>5:40–7:10 م</v>
      </c>
      <c r="C153" s="12">
        <v>3</v>
      </c>
      <c r="D153" s="12" t="s">
        <v>89</v>
      </c>
      <c r="E153" s="12" t="s">
        <v>102</v>
      </c>
    </row>
    <row r="154" spans="1:5" s="5" customFormat="1">
      <c r="A154" s="11">
        <v>14</v>
      </c>
      <c r="B154" s="12" t="str">
        <f>المدخلات!$F$5</f>
        <v>5:40–7:10 م</v>
      </c>
      <c r="C154" s="12">
        <v>4</v>
      </c>
      <c r="D154" s="12" t="s">
        <v>17</v>
      </c>
      <c r="E154" s="12" t="s">
        <v>50</v>
      </c>
    </row>
    <row r="155" spans="1:5" s="5" customFormat="1">
      <c r="A155" s="11">
        <v>14</v>
      </c>
      <c r="B155" s="12" t="str">
        <f>المدخلات!$F$6</f>
        <v>7:20–8:50 م</v>
      </c>
      <c r="C155" s="12">
        <v>1</v>
      </c>
      <c r="D155" s="12" t="s">
        <v>163</v>
      </c>
      <c r="E155" s="12" t="s">
        <v>254</v>
      </c>
    </row>
    <row r="156" spans="1:5" s="5" customFormat="1">
      <c r="A156" s="11">
        <v>14</v>
      </c>
      <c r="B156" s="12" t="str">
        <f>المدخلات!$F$6</f>
        <v>7:20–8:50 م</v>
      </c>
      <c r="C156" s="12">
        <v>2</v>
      </c>
      <c r="D156" s="12" t="s">
        <v>17</v>
      </c>
      <c r="E156" s="12" t="s">
        <v>30</v>
      </c>
    </row>
    <row r="157" spans="1:5" s="5" customFormat="1">
      <c r="A157" s="11">
        <v>14</v>
      </c>
      <c r="B157" s="12" t="str">
        <f>المدخلات!$F$6</f>
        <v>7:20–8:50 م</v>
      </c>
      <c r="C157" s="12">
        <v>3</v>
      </c>
      <c r="D157" s="12" t="s">
        <v>89</v>
      </c>
      <c r="E157" s="12" t="s">
        <v>109</v>
      </c>
    </row>
    <row r="158" spans="1:5" s="5" customFormat="1">
      <c r="A158" s="11">
        <v>15</v>
      </c>
      <c r="B158" s="12" t="str">
        <f>المدخلات!$F$4</f>
        <v>4:00–5:30 م</v>
      </c>
      <c r="C158" s="12">
        <v>1</v>
      </c>
      <c r="D158" s="12" t="s">
        <v>17</v>
      </c>
      <c r="E158" s="12" t="s">
        <v>31</v>
      </c>
    </row>
    <row r="159" spans="1:5" s="5" customFormat="1">
      <c r="A159" s="11">
        <v>15</v>
      </c>
      <c r="B159" s="12" t="str">
        <f>المدخلات!$F$4</f>
        <v>4:00–5:30 م</v>
      </c>
      <c r="C159" s="12">
        <v>2</v>
      </c>
      <c r="D159" s="12" t="s">
        <v>163</v>
      </c>
      <c r="E159" s="12" t="s">
        <v>255</v>
      </c>
    </row>
    <row r="160" spans="1:5" s="5" customFormat="1">
      <c r="A160" s="11">
        <v>15</v>
      </c>
      <c r="B160" s="12" t="str">
        <f>المدخلات!$F$4</f>
        <v>4:00–5:30 م</v>
      </c>
      <c r="C160" s="12">
        <v>3</v>
      </c>
      <c r="D160" s="12" t="s">
        <v>89</v>
      </c>
      <c r="E160" s="12" t="s">
        <v>110</v>
      </c>
    </row>
    <row r="161" spans="1:5" s="5" customFormat="1">
      <c r="A161" s="11">
        <v>15</v>
      </c>
      <c r="B161" s="12" t="str">
        <f>المدخلات!$F$4</f>
        <v>4:00–5:30 م</v>
      </c>
      <c r="C161" s="12">
        <v>4</v>
      </c>
      <c r="D161" s="12" t="s">
        <v>163</v>
      </c>
      <c r="E161" s="12" t="s">
        <v>234</v>
      </c>
    </row>
    <row r="162" spans="1:5" s="5" customFormat="1">
      <c r="A162" s="11">
        <v>15</v>
      </c>
      <c r="B162" s="12" t="str">
        <f>المدخلات!$F$5</f>
        <v>5:40–7:10 م</v>
      </c>
      <c r="C162" s="12">
        <v>1</v>
      </c>
      <c r="D162" s="12" t="s">
        <v>89</v>
      </c>
      <c r="E162" s="12" t="s">
        <v>103</v>
      </c>
    </row>
    <row r="163" spans="1:5" s="5" customFormat="1">
      <c r="A163" s="11">
        <v>15</v>
      </c>
      <c r="B163" s="12" t="str">
        <f>المدخلات!$F$5</f>
        <v>5:40–7:10 م</v>
      </c>
      <c r="C163" s="12">
        <v>2</v>
      </c>
      <c r="D163" s="12" t="s">
        <v>89</v>
      </c>
      <c r="E163" s="12" t="s">
        <v>93</v>
      </c>
    </row>
    <row r="164" spans="1:5" s="5" customFormat="1">
      <c r="A164" s="11">
        <v>15</v>
      </c>
      <c r="B164" s="12" t="str">
        <f>المدخلات!$F$5</f>
        <v>5:40–7:10 م</v>
      </c>
      <c r="C164" s="12">
        <v>3</v>
      </c>
      <c r="D164" s="12" t="s">
        <v>17</v>
      </c>
      <c r="E164" s="12" t="s">
        <v>38</v>
      </c>
    </row>
    <row r="165" spans="1:5" s="5" customFormat="1">
      <c r="A165" s="11">
        <v>15</v>
      </c>
      <c r="B165" s="12" t="str">
        <f>المدخلات!$F$5</f>
        <v>5:40–7:10 م</v>
      </c>
      <c r="C165" s="12">
        <v>4</v>
      </c>
      <c r="D165" s="12" t="s">
        <v>17</v>
      </c>
      <c r="E165" s="12" t="s">
        <v>44</v>
      </c>
    </row>
    <row r="166" spans="1:5" s="5" customFormat="1">
      <c r="A166" s="11">
        <v>15</v>
      </c>
      <c r="B166" s="12" t="str">
        <f>المدخلات!$F$6</f>
        <v>7:20–8:50 م</v>
      </c>
      <c r="C166" s="12">
        <v>1</v>
      </c>
      <c r="D166" s="12" t="s">
        <v>163</v>
      </c>
      <c r="E166" s="12" t="s">
        <v>264</v>
      </c>
    </row>
    <row r="167" spans="1:5" s="5" customFormat="1">
      <c r="A167" s="11">
        <v>15</v>
      </c>
      <c r="B167" s="12" t="str">
        <f>المدخلات!$F$6</f>
        <v>7:20–8:50 م</v>
      </c>
      <c r="C167" s="12">
        <v>2</v>
      </c>
      <c r="D167" s="12" t="s">
        <v>17</v>
      </c>
      <c r="E167" s="12" t="s">
        <v>32</v>
      </c>
    </row>
    <row r="168" spans="1:5" s="5" customFormat="1">
      <c r="A168" s="11">
        <v>15</v>
      </c>
      <c r="B168" s="12" t="str">
        <f>المدخلات!$F$6</f>
        <v>7:20–8:50 م</v>
      </c>
      <c r="C168" s="12">
        <v>3</v>
      </c>
      <c r="D168" s="12" t="s">
        <v>89</v>
      </c>
      <c r="E168" s="12" t="s">
        <v>104</v>
      </c>
    </row>
    <row r="169" spans="1:5" s="5" customFormat="1">
      <c r="A169" s="11">
        <v>16</v>
      </c>
      <c r="B169" s="12" t="str">
        <f>المدخلات!$F$4</f>
        <v>4:00–5:30 م</v>
      </c>
      <c r="C169" s="12">
        <v>1</v>
      </c>
      <c r="D169" s="12" t="s">
        <v>17</v>
      </c>
      <c r="E169" s="12" t="s">
        <v>405</v>
      </c>
    </row>
    <row r="170" spans="1:5" s="5" customFormat="1">
      <c r="A170" s="11">
        <v>16</v>
      </c>
      <c r="B170" s="12" t="str">
        <f>المدخلات!$F$4</f>
        <v>4:00–5:30 م</v>
      </c>
      <c r="C170" s="12">
        <v>2</v>
      </c>
      <c r="D170" s="12" t="s">
        <v>89</v>
      </c>
      <c r="E170" s="12" t="s">
        <v>407</v>
      </c>
    </row>
    <row r="171" spans="1:5" s="5" customFormat="1">
      <c r="A171" s="11">
        <v>16</v>
      </c>
      <c r="B171" s="12" t="str">
        <f>المدخلات!$F$4</f>
        <v>4:00–5:30 م</v>
      </c>
      <c r="C171" s="12">
        <v>3</v>
      </c>
      <c r="D171" s="12" t="s">
        <v>17</v>
      </c>
      <c r="E171" s="12" t="s">
        <v>39</v>
      </c>
    </row>
    <row r="172" spans="1:5" s="5" customFormat="1">
      <c r="A172" s="11">
        <v>16</v>
      </c>
      <c r="B172" s="12" t="str">
        <f>المدخلات!$F$4</f>
        <v>4:00–5:30 م</v>
      </c>
      <c r="C172" s="12">
        <v>4</v>
      </c>
      <c r="D172" s="12" t="s">
        <v>89</v>
      </c>
      <c r="E172" s="12" t="s">
        <v>84</v>
      </c>
    </row>
    <row r="173" spans="1:5" s="5" customFormat="1">
      <c r="A173" s="11">
        <v>16</v>
      </c>
      <c r="B173" s="12" t="str">
        <f>المدخلات!$F$5</f>
        <v>5:40–7:10 م</v>
      </c>
      <c r="C173" s="12">
        <v>1</v>
      </c>
      <c r="D173" s="12" t="s">
        <v>163</v>
      </c>
      <c r="E173" s="12" t="s">
        <v>235</v>
      </c>
    </row>
    <row r="174" spans="1:5" s="5" customFormat="1">
      <c r="A174" s="11">
        <v>16</v>
      </c>
      <c r="B174" s="12" t="str">
        <f>المدخلات!$F$5</f>
        <v>5:40–7:10 م</v>
      </c>
      <c r="C174" s="12">
        <v>2</v>
      </c>
      <c r="D174" s="12" t="s">
        <v>17</v>
      </c>
      <c r="E174" s="12" t="s">
        <v>20</v>
      </c>
    </row>
    <row r="175" spans="1:5" s="5" customFormat="1">
      <c r="A175" s="11">
        <v>16</v>
      </c>
      <c r="B175" s="12" t="str">
        <f>المدخلات!$F$5</f>
        <v>5:40–7:10 م</v>
      </c>
      <c r="C175" s="12">
        <v>3</v>
      </c>
      <c r="D175" s="12" t="s">
        <v>163</v>
      </c>
      <c r="E175" s="12" t="s">
        <v>265</v>
      </c>
    </row>
    <row r="176" spans="1:5" s="5" customFormat="1">
      <c r="A176" s="11">
        <v>16</v>
      </c>
      <c r="B176" s="12" t="str">
        <f>المدخلات!$F$5</f>
        <v>5:40–7:10 م</v>
      </c>
      <c r="C176" s="12">
        <v>4</v>
      </c>
      <c r="D176" s="12" t="s">
        <v>89</v>
      </c>
      <c r="E176" s="12" t="s">
        <v>105</v>
      </c>
    </row>
    <row r="177" spans="1:5" s="5" customFormat="1">
      <c r="A177" s="11">
        <v>16</v>
      </c>
      <c r="B177" s="12" t="str">
        <f>المدخلات!$F$6</f>
        <v>7:20–8:50 م</v>
      </c>
      <c r="C177" s="12">
        <v>1</v>
      </c>
      <c r="D177" s="12" t="s">
        <v>163</v>
      </c>
      <c r="E177" s="12" t="s">
        <v>214</v>
      </c>
    </row>
    <row r="178" spans="1:5" s="5" customFormat="1">
      <c r="A178" s="11">
        <v>16</v>
      </c>
      <c r="B178" s="12" t="str">
        <f>المدخلات!$F$6</f>
        <v>7:20–8:50 م</v>
      </c>
      <c r="C178" s="12">
        <v>2</v>
      </c>
      <c r="D178" s="12" t="s">
        <v>89</v>
      </c>
      <c r="E178" s="12" t="s">
        <v>94</v>
      </c>
    </row>
    <row r="179" spans="1:5" s="5" customFormat="1">
      <c r="A179" s="11">
        <v>16</v>
      </c>
      <c r="B179" s="12" t="str">
        <f>المدخلات!$F$6</f>
        <v>7:20–8:50 م</v>
      </c>
      <c r="C179" s="12">
        <v>3</v>
      </c>
      <c r="D179" s="12" t="s">
        <v>17</v>
      </c>
      <c r="E179" s="12" t="s">
        <v>19</v>
      </c>
    </row>
    <row r="180" spans="1:5" s="5" customFormat="1">
      <c r="A180" s="11">
        <v>17</v>
      </c>
      <c r="B180" s="12" t="str">
        <f>المدخلات!$F$4</f>
        <v>4:00–5:30 م</v>
      </c>
      <c r="C180" s="12">
        <v>1</v>
      </c>
      <c r="D180" s="12" t="s">
        <v>89</v>
      </c>
      <c r="E180" s="12" t="s">
        <v>409</v>
      </c>
    </row>
    <row r="181" spans="1:5" s="5" customFormat="1">
      <c r="A181" s="11">
        <v>17</v>
      </c>
      <c r="B181" s="12" t="str">
        <f>المدخلات!$F$4</f>
        <v>4:00–5:30 م</v>
      </c>
      <c r="C181" s="12">
        <v>2</v>
      </c>
      <c r="D181" s="12" t="s">
        <v>17</v>
      </c>
      <c r="E181" s="12" t="s">
        <v>23</v>
      </c>
    </row>
    <row r="182" spans="1:5" s="5" customFormat="1">
      <c r="A182" s="11">
        <v>17</v>
      </c>
      <c r="B182" s="12" t="str">
        <f>المدخلات!$F$4</f>
        <v>4:00–5:30 م</v>
      </c>
      <c r="C182" s="12">
        <v>3</v>
      </c>
      <c r="D182" s="12" t="s">
        <v>163</v>
      </c>
      <c r="E182" s="12" t="s">
        <v>412</v>
      </c>
    </row>
    <row r="183" spans="1:5" s="5" customFormat="1">
      <c r="A183" s="11">
        <v>17</v>
      </c>
      <c r="B183" s="12" t="str">
        <f>المدخلات!$F$4</f>
        <v>4:00–5:30 م</v>
      </c>
      <c r="C183" s="12">
        <v>4</v>
      </c>
      <c r="D183" s="12" t="s">
        <v>163</v>
      </c>
      <c r="E183" s="12" t="s">
        <v>192</v>
      </c>
    </row>
    <row r="184" spans="1:5" s="5" customFormat="1">
      <c r="A184" s="11">
        <v>17</v>
      </c>
      <c r="B184" s="12" t="str">
        <f>المدخلات!$F$5</f>
        <v>5:40–7:10 م</v>
      </c>
      <c r="C184" s="12">
        <v>1</v>
      </c>
      <c r="D184" s="12" t="s">
        <v>163</v>
      </c>
      <c r="E184" s="12" t="s">
        <v>256</v>
      </c>
    </row>
    <row r="185" spans="1:5" s="5" customFormat="1">
      <c r="A185" s="11">
        <v>17</v>
      </c>
      <c r="B185" s="12" t="str">
        <f>المدخلات!$F$5</f>
        <v>5:40–7:10 م</v>
      </c>
      <c r="C185" s="12">
        <v>2</v>
      </c>
      <c r="D185" s="12" t="s">
        <v>89</v>
      </c>
      <c r="E185" s="12" t="s">
        <v>411</v>
      </c>
    </row>
    <row r="186" spans="1:5" s="5" customFormat="1">
      <c r="A186" s="11">
        <v>17</v>
      </c>
      <c r="B186" s="12" t="str">
        <f>المدخلات!$F$5</f>
        <v>5:40–7:10 م</v>
      </c>
      <c r="C186" s="12">
        <v>3</v>
      </c>
      <c r="D186" s="12" t="s">
        <v>89</v>
      </c>
      <c r="E186" s="12" t="s">
        <v>74</v>
      </c>
    </row>
    <row r="187" spans="1:5" s="5" customFormat="1">
      <c r="A187" s="11">
        <v>17</v>
      </c>
      <c r="B187" s="12" t="str">
        <f>المدخلات!$F$5</f>
        <v>5:40–7:10 م</v>
      </c>
      <c r="C187" s="12">
        <v>4</v>
      </c>
      <c r="D187" s="12" t="s">
        <v>17</v>
      </c>
      <c r="E187" s="12" t="s">
        <v>365</v>
      </c>
    </row>
    <row r="188" spans="1:5" s="5" customFormat="1">
      <c r="A188" s="11">
        <v>17</v>
      </c>
      <c r="B188" s="12" t="str">
        <f>المدخلات!$F$6</f>
        <v>7:20–8:50 م</v>
      </c>
      <c r="C188" s="12">
        <v>1</v>
      </c>
      <c r="D188" s="12" t="s">
        <v>17</v>
      </c>
      <c r="E188" s="12" t="s">
        <v>406</v>
      </c>
    </row>
    <row r="189" spans="1:5" s="5" customFormat="1">
      <c r="A189" s="11">
        <v>17</v>
      </c>
      <c r="B189" s="12" t="str">
        <f>المدخلات!$F$6</f>
        <v>7:20–8:50 م</v>
      </c>
      <c r="C189" s="12">
        <v>2</v>
      </c>
      <c r="D189" s="12" t="s">
        <v>17</v>
      </c>
      <c r="E189" s="12" t="s">
        <v>18</v>
      </c>
    </row>
    <row r="190" spans="1:5" s="5" customFormat="1">
      <c r="A190" s="11">
        <v>17</v>
      </c>
      <c r="B190" s="12" t="str">
        <f>المدخلات!$F$6</f>
        <v>7:20–8:50 م</v>
      </c>
      <c r="C190" s="12">
        <v>3</v>
      </c>
      <c r="D190" s="12" t="s">
        <v>89</v>
      </c>
      <c r="E190" s="12" t="s">
        <v>98</v>
      </c>
    </row>
    <row r="191" spans="1:5" s="5" customFormat="1">
      <c r="A191" s="11">
        <v>18</v>
      </c>
      <c r="B191" s="12" t="str">
        <f>المدخلات!$F$4</f>
        <v>4:00–5:30 م</v>
      </c>
      <c r="C191" s="12">
        <v>1</v>
      </c>
      <c r="D191" s="12" t="s">
        <v>89</v>
      </c>
      <c r="E191" s="12" t="s">
        <v>415</v>
      </c>
    </row>
    <row r="192" spans="1:5" s="5" customFormat="1">
      <c r="A192" s="11">
        <v>18</v>
      </c>
      <c r="B192" s="12" t="str">
        <f>المدخلات!$F$4</f>
        <v>4:00–5:30 م</v>
      </c>
      <c r="C192" s="12">
        <v>2</v>
      </c>
      <c r="D192" s="12" t="s">
        <v>163</v>
      </c>
      <c r="E192" s="12" t="s">
        <v>417</v>
      </c>
    </row>
    <row r="193" spans="1:5" s="5" customFormat="1">
      <c r="A193" s="11">
        <v>18</v>
      </c>
      <c r="B193" s="12" t="str">
        <f>المدخلات!$F$4</f>
        <v>4:00–5:30 م</v>
      </c>
      <c r="C193" s="12">
        <v>3</v>
      </c>
      <c r="D193" s="12" t="s">
        <v>17</v>
      </c>
      <c r="E193" s="12" t="s">
        <v>408</v>
      </c>
    </row>
    <row r="194" spans="1:5" s="5" customFormat="1">
      <c r="A194" s="11">
        <v>18</v>
      </c>
      <c r="B194" s="12" t="str">
        <f>المدخلات!$F$4</f>
        <v>4:00–5:30 م</v>
      </c>
      <c r="C194" s="12">
        <v>4</v>
      </c>
      <c r="D194" s="12" t="s">
        <v>89</v>
      </c>
      <c r="E194" s="12" t="s">
        <v>92</v>
      </c>
    </row>
    <row r="195" spans="1:5" s="5" customFormat="1">
      <c r="A195" s="11">
        <v>18</v>
      </c>
      <c r="B195" s="12" t="str">
        <f>المدخلات!$F$5</f>
        <v>5:40–7:10 م</v>
      </c>
      <c r="C195" s="12">
        <v>1</v>
      </c>
      <c r="D195" s="12" t="s">
        <v>89</v>
      </c>
      <c r="E195" s="12" t="s">
        <v>366</v>
      </c>
    </row>
    <row r="196" spans="1:5" s="5" customFormat="1">
      <c r="A196" s="11">
        <v>18</v>
      </c>
      <c r="B196" s="12" t="str">
        <f>المدخلات!$F$5</f>
        <v>5:40–7:10 م</v>
      </c>
      <c r="C196" s="12">
        <v>2</v>
      </c>
      <c r="D196" s="12" t="s">
        <v>163</v>
      </c>
      <c r="E196" s="12" t="s">
        <v>226</v>
      </c>
    </row>
    <row r="197" spans="1:5" s="5" customFormat="1">
      <c r="A197" s="11">
        <v>18</v>
      </c>
      <c r="B197" s="12" t="str">
        <f>المدخلات!$F$5</f>
        <v>5:40–7:10 م</v>
      </c>
      <c r="C197" s="12">
        <v>3</v>
      </c>
      <c r="D197" s="12" t="s">
        <v>17</v>
      </c>
      <c r="E197" s="12" t="s">
        <v>370</v>
      </c>
    </row>
    <row r="198" spans="1:5" s="5" customFormat="1">
      <c r="A198" s="11">
        <v>18</v>
      </c>
      <c r="B198" s="12" t="str">
        <f>المدخلات!$F$5</f>
        <v>5:40–7:10 م</v>
      </c>
      <c r="C198" s="12">
        <v>4</v>
      </c>
      <c r="D198" s="12" t="s">
        <v>17</v>
      </c>
      <c r="E198" s="12" t="s">
        <v>21</v>
      </c>
    </row>
    <row r="199" spans="1:5" s="5" customFormat="1">
      <c r="A199" s="11">
        <v>18</v>
      </c>
      <c r="B199" s="12" t="str">
        <f>المدخلات!$F$6</f>
        <v>7:20–8:50 م</v>
      </c>
      <c r="C199" s="12">
        <v>1</v>
      </c>
      <c r="D199" s="12" t="s">
        <v>17</v>
      </c>
      <c r="E199" s="12" t="s">
        <v>375</v>
      </c>
    </row>
    <row r="200" spans="1:5" s="5" customFormat="1">
      <c r="A200" s="11">
        <v>18</v>
      </c>
      <c r="B200" s="12" t="str">
        <f>المدخلات!$F$6</f>
        <v>7:20–8:50 م</v>
      </c>
      <c r="C200" s="12">
        <v>2</v>
      </c>
      <c r="D200" s="12" t="s">
        <v>89</v>
      </c>
      <c r="E200" s="12" t="s">
        <v>414</v>
      </c>
    </row>
    <row r="201" spans="1:5" s="5" customFormat="1">
      <c r="A201" s="11">
        <v>18</v>
      </c>
      <c r="B201" s="12" t="str">
        <f>المدخلات!$F$6</f>
        <v>7:20–8:50 م</v>
      </c>
      <c r="C201" s="12">
        <v>3</v>
      </c>
      <c r="D201" s="12" t="s">
        <v>163</v>
      </c>
      <c r="E201" s="12" t="s">
        <v>416</v>
      </c>
    </row>
    <row r="202" spans="1:5" s="5" customFormat="1">
      <c r="A202" s="11">
        <v>19</v>
      </c>
      <c r="B202" s="12" t="str">
        <f>المدخلات!$F$4</f>
        <v>4:00–5:30 م</v>
      </c>
      <c r="C202" s="12">
        <v>1</v>
      </c>
      <c r="D202" s="12" t="s">
        <v>163</v>
      </c>
      <c r="E202" s="12" t="s">
        <v>215</v>
      </c>
    </row>
    <row r="203" spans="1:5" s="5" customFormat="1">
      <c r="A203" s="11">
        <v>19</v>
      </c>
      <c r="B203" s="12" t="str">
        <f>المدخلات!$F$4</f>
        <v>4:00–5:30 م</v>
      </c>
      <c r="C203" s="12">
        <v>2</v>
      </c>
      <c r="D203" s="12" t="s">
        <v>17</v>
      </c>
      <c r="E203" s="12" t="s">
        <v>48</v>
      </c>
    </row>
    <row r="204" spans="1:5" s="5" customFormat="1">
      <c r="A204" s="11">
        <v>19</v>
      </c>
      <c r="B204" s="12" t="str">
        <f>المدخلات!$F$4</f>
        <v>4:00–5:30 م</v>
      </c>
      <c r="C204" s="12">
        <v>3</v>
      </c>
      <c r="D204" s="12" t="s">
        <v>17</v>
      </c>
      <c r="E204" s="12" t="s">
        <v>24</v>
      </c>
    </row>
    <row r="205" spans="1:5" s="5" customFormat="1">
      <c r="A205" s="11">
        <v>19</v>
      </c>
      <c r="B205" s="12" t="str">
        <f>المدخلات!$F$4</f>
        <v>4:00–5:30 م</v>
      </c>
      <c r="C205" s="12">
        <v>4</v>
      </c>
      <c r="D205" s="12" t="s">
        <v>89</v>
      </c>
      <c r="E205" s="12" t="s">
        <v>376</v>
      </c>
    </row>
    <row r="206" spans="1:5" s="5" customFormat="1">
      <c r="A206" s="11">
        <v>19</v>
      </c>
      <c r="B206" s="12" t="str">
        <f>المدخلات!$F$5</f>
        <v>5:40–7:10 م</v>
      </c>
      <c r="C206" s="12">
        <v>1</v>
      </c>
      <c r="D206" s="12" t="s">
        <v>17</v>
      </c>
      <c r="E206" s="12" t="s">
        <v>385</v>
      </c>
    </row>
    <row r="207" spans="1:5" s="5" customFormat="1">
      <c r="A207" s="11">
        <v>19</v>
      </c>
      <c r="B207" s="12" t="str">
        <f>المدخلات!$F$5</f>
        <v>5:40–7:10 م</v>
      </c>
      <c r="C207" s="12">
        <v>2</v>
      </c>
      <c r="D207" s="12" t="s">
        <v>163</v>
      </c>
      <c r="E207" s="12" t="s">
        <v>367</v>
      </c>
    </row>
    <row r="208" spans="1:5" s="5" customFormat="1">
      <c r="A208" s="11">
        <v>19</v>
      </c>
      <c r="B208" s="12" t="str">
        <f>المدخلات!$F$5</f>
        <v>5:40–7:10 م</v>
      </c>
      <c r="C208" s="12">
        <v>3</v>
      </c>
      <c r="D208" s="12" t="s">
        <v>89</v>
      </c>
      <c r="E208" s="12" t="s">
        <v>371</v>
      </c>
    </row>
    <row r="209" spans="1:5" s="5" customFormat="1">
      <c r="A209" s="11">
        <v>19</v>
      </c>
      <c r="B209" s="12" t="str">
        <f>المدخلات!$F$5</f>
        <v>5:40–7:10 م</v>
      </c>
      <c r="C209" s="12">
        <v>4</v>
      </c>
      <c r="D209" s="12" t="s">
        <v>89</v>
      </c>
      <c r="E209" s="12" t="s">
        <v>114</v>
      </c>
    </row>
    <row r="210" spans="1:5" s="5" customFormat="1">
      <c r="A210" s="11">
        <v>19</v>
      </c>
      <c r="B210" s="12" t="str">
        <f>المدخلات!$F$6</f>
        <v>7:20–8:50 م</v>
      </c>
      <c r="C210" s="12">
        <v>1</v>
      </c>
      <c r="D210" s="12" t="s">
        <v>89</v>
      </c>
      <c r="E210" s="12" t="s">
        <v>85</v>
      </c>
    </row>
    <row r="211" spans="1:5" s="5" customFormat="1">
      <c r="A211" s="11">
        <v>19</v>
      </c>
      <c r="B211" s="12" t="str">
        <f>المدخلات!$F$6</f>
        <v>7:20–8:50 م</v>
      </c>
      <c r="C211" s="12">
        <v>2</v>
      </c>
      <c r="D211" s="12" t="s">
        <v>163</v>
      </c>
      <c r="E211" s="12" t="s">
        <v>419</v>
      </c>
    </row>
    <row r="212" spans="1:5" s="5" customFormat="1">
      <c r="A212" s="11">
        <v>19</v>
      </c>
      <c r="B212" s="12" t="str">
        <f>المدخلات!$F$6</f>
        <v>7:20–8:50 م</v>
      </c>
      <c r="C212" s="12">
        <v>3</v>
      </c>
      <c r="D212" s="12" t="s">
        <v>17</v>
      </c>
      <c r="E212" s="12" t="s">
        <v>380</v>
      </c>
    </row>
    <row r="213" spans="1:5" s="5" customFormat="1">
      <c r="A213" s="11">
        <v>20</v>
      </c>
      <c r="B213" s="12" t="str">
        <f>المدخلات!$F$4</f>
        <v>4:00–5:30 م</v>
      </c>
      <c r="C213" s="12">
        <v>1</v>
      </c>
      <c r="D213" s="12" t="s">
        <v>163</v>
      </c>
      <c r="E213" s="12" t="s">
        <v>267</v>
      </c>
    </row>
    <row r="214" spans="1:5" s="5" customFormat="1">
      <c r="A214" s="11">
        <v>20</v>
      </c>
      <c r="B214" s="12" t="str">
        <f>المدخلات!$F$4</f>
        <v>4:00–5:30 م</v>
      </c>
      <c r="C214" s="12">
        <v>2</v>
      </c>
      <c r="D214" s="12" t="s">
        <v>89</v>
      </c>
      <c r="E214" s="12" t="s">
        <v>70</v>
      </c>
    </row>
    <row r="215" spans="1:5" s="5" customFormat="1">
      <c r="A215" s="11">
        <v>20</v>
      </c>
      <c r="B215" s="12" t="str">
        <f>المدخلات!$F$4</f>
        <v>4:00–5:30 م</v>
      </c>
      <c r="C215" s="12">
        <v>3</v>
      </c>
      <c r="D215" s="12" t="s">
        <v>89</v>
      </c>
      <c r="E215" s="12" t="s">
        <v>108</v>
      </c>
    </row>
    <row r="216" spans="1:5" s="5" customFormat="1">
      <c r="A216" s="11">
        <v>20</v>
      </c>
      <c r="B216" s="12" t="str">
        <f>المدخلات!$F$4</f>
        <v>4:00–5:30 م</v>
      </c>
      <c r="C216" s="12">
        <v>4</v>
      </c>
      <c r="D216" s="12" t="s">
        <v>17</v>
      </c>
      <c r="E216" s="12" t="s">
        <v>390</v>
      </c>
    </row>
    <row r="217" spans="1:5" s="5" customFormat="1">
      <c r="A217" s="11">
        <v>20</v>
      </c>
      <c r="B217" s="12" t="str">
        <f>المدخلات!$F$5</f>
        <v>5:40–7:10 م</v>
      </c>
      <c r="C217" s="12">
        <v>1</v>
      </c>
      <c r="D217" s="12" t="s">
        <v>17</v>
      </c>
      <c r="E217" s="12" t="s">
        <v>49</v>
      </c>
    </row>
    <row r="218" spans="1:5" s="5" customFormat="1">
      <c r="A218" s="11">
        <v>20</v>
      </c>
      <c r="B218" s="12" t="str">
        <f>المدخلات!$F$5</f>
        <v>5:40–7:10 م</v>
      </c>
      <c r="C218" s="12">
        <v>2</v>
      </c>
      <c r="D218" s="12" t="s">
        <v>17</v>
      </c>
      <c r="E218" s="12" t="s">
        <v>27</v>
      </c>
    </row>
    <row r="219" spans="1:5" s="5" customFormat="1">
      <c r="A219" s="11">
        <v>20</v>
      </c>
      <c r="B219" s="12" t="str">
        <f>المدخلات!$F$5</f>
        <v>5:40–7:10 م</v>
      </c>
      <c r="C219" s="12">
        <v>3</v>
      </c>
      <c r="D219" s="12" t="s">
        <v>89</v>
      </c>
      <c r="E219" s="12" t="s">
        <v>381</v>
      </c>
    </row>
    <row r="220" spans="1:5" s="5" customFormat="1">
      <c r="A220" s="11">
        <v>20</v>
      </c>
      <c r="B220" s="12" t="str">
        <f>المدخلات!$F$5</f>
        <v>5:40–7:10 م</v>
      </c>
      <c r="C220" s="12">
        <v>4</v>
      </c>
      <c r="D220" s="12" t="s">
        <v>163</v>
      </c>
      <c r="E220" s="12" t="s">
        <v>372</v>
      </c>
    </row>
    <row r="221" spans="1:5" s="5" customFormat="1">
      <c r="A221" s="11">
        <v>20</v>
      </c>
      <c r="B221" s="12" t="str">
        <f>المدخلات!$F$6</f>
        <v>7:20–8:50 م</v>
      </c>
      <c r="C221" s="12">
        <v>1</v>
      </c>
      <c r="D221" s="12" t="s">
        <v>163</v>
      </c>
      <c r="E221" s="12" t="s">
        <v>178</v>
      </c>
    </row>
    <row r="222" spans="1:5" s="5" customFormat="1">
      <c r="A222" s="11">
        <v>20</v>
      </c>
      <c r="B222" s="12" t="str">
        <f>المدخلات!$F$6</f>
        <v>7:20–8:50 م</v>
      </c>
      <c r="C222" s="12">
        <v>2</v>
      </c>
      <c r="D222" s="12" t="s">
        <v>17</v>
      </c>
      <c r="E222" s="12" t="s">
        <v>42</v>
      </c>
    </row>
    <row r="223" spans="1:5" s="5" customFormat="1">
      <c r="A223" s="11">
        <v>20</v>
      </c>
      <c r="B223" s="12" t="str">
        <f>المدخلات!$F$6</f>
        <v>7:20–8:50 م</v>
      </c>
      <c r="C223" s="12">
        <v>3</v>
      </c>
      <c r="D223" s="12" t="s">
        <v>89</v>
      </c>
      <c r="E223" s="12" t="s">
        <v>115</v>
      </c>
    </row>
    <row r="224" spans="1:5" s="5" customFormat="1">
      <c r="A224" s="11">
        <v>21</v>
      </c>
      <c r="B224" s="12" t="str">
        <f>المدخلات!$F$4</f>
        <v>4:00–5:30 م</v>
      </c>
      <c r="C224" s="12">
        <v>1</v>
      </c>
      <c r="D224" s="12" t="s">
        <v>89</v>
      </c>
      <c r="E224" s="12" t="s">
        <v>109</v>
      </c>
    </row>
    <row r="225" spans="1:24">
      <c r="A225" s="11">
        <v>21</v>
      </c>
      <c r="B225" s="12" t="str">
        <f>المدخلات!$F$4</f>
        <v>4:00–5:30 م</v>
      </c>
      <c r="C225" s="12">
        <v>2</v>
      </c>
      <c r="D225" s="12" t="s">
        <v>17</v>
      </c>
      <c r="E225" s="12" t="s">
        <v>29</v>
      </c>
      <c r="F225" s="5"/>
      <c r="G225" s="5"/>
    </row>
    <row r="226" spans="1:24">
      <c r="A226" s="11">
        <v>21</v>
      </c>
      <c r="B226" s="12" t="str">
        <f>المدخلات!$F$4</f>
        <v>4:00–5:30 م</v>
      </c>
      <c r="C226" s="12">
        <v>3</v>
      </c>
      <c r="D226" s="12" t="s">
        <v>163</v>
      </c>
      <c r="E226" s="12" t="s">
        <v>254</v>
      </c>
      <c r="F226" s="5"/>
      <c r="G226" s="5"/>
    </row>
    <row r="227" spans="1:24">
      <c r="A227" s="11">
        <v>21</v>
      </c>
      <c r="B227" s="12" t="str">
        <f>المدخلات!$F$4</f>
        <v>4:00–5:30 م</v>
      </c>
      <c r="C227" s="12">
        <v>4</v>
      </c>
      <c r="D227" s="12" t="s">
        <v>163</v>
      </c>
      <c r="E227" s="12" t="s">
        <v>167</v>
      </c>
      <c r="F227" s="5"/>
      <c r="G227" s="5"/>
    </row>
    <row r="228" spans="1:24">
      <c r="A228" s="11">
        <v>21</v>
      </c>
      <c r="B228" s="12" t="str">
        <f>المدخلات!$F$5</f>
        <v>5:40–7:10 م</v>
      </c>
      <c r="C228" s="12">
        <v>1</v>
      </c>
      <c r="D228" s="12" t="s">
        <v>17</v>
      </c>
      <c r="E228" s="12" t="s">
        <v>43</v>
      </c>
      <c r="F228" s="5"/>
      <c r="G228" s="5"/>
    </row>
    <row r="229" spans="1:24">
      <c r="A229" s="11">
        <v>21</v>
      </c>
      <c r="B229" s="12" t="str">
        <f>المدخلات!$F$5</f>
        <v>5:40–7:10 م</v>
      </c>
      <c r="C229" s="12">
        <v>2</v>
      </c>
      <c r="D229" s="12" t="s">
        <v>89</v>
      </c>
      <c r="E229" s="12" t="s">
        <v>64</v>
      </c>
      <c r="F229" s="5"/>
      <c r="G229" s="5"/>
    </row>
    <row r="230" spans="1:24">
      <c r="A230" s="11">
        <v>21</v>
      </c>
      <c r="B230" s="12" t="str">
        <f>المدخلات!$F$5</f>
        <v>5:40–7:10 م</v>
      </c>
      <c r="C230" s="12">
        <v>3</v>
      </c>
      <c r="D230" s="12" t="s">
        <v>163</v>
      </c>
      <c r="E230" s="12" t="s">
        <v>268</v>
      </c>
      <c r="F230" s="5"/>
      <c r="G230" s="5"/>
    </row>
    <row r="231" spans="1:24">
      <c r="A231" s="11">
        <v>21</v>
      </c>
      <c r="B231" s="12" t="str">
        <f>المدخلات!$F$5</f>
        <v>5:40–7:10 م</v>
      </c>
      <c r="C231" s="12">
        <v>4</v>
      </c>
      <c r="D231" s="12" t="s">
        <v>17</v>
      </c>
      <c r="E231" s="12" t="s">
        <v>50</v>
      </c>
      <c r="F231" s="5"/>
      <c r="G231" s="5"/>
    </row>
    <row r="232" spans="1:24">
      <c r="A232" s="11">
        <v>21</v>
      </c>
      <c r="B232" s="12" t="str">
        <f>المدخلات!$F$6</f>
        <v>7:20–8:50 م</v>
      </c>
      <c r="C232" s="12">
        <v>1</v>
      </c>
      <c r="D232" s="12" t="s">
        <v>89</v>
      </c>
      <c r="E232" s="12" t="s">
        <v>116</v>
      </c>
      <c r="F232" s="5"/>
      <c r="G232" s="5"/>
    </row>
    <row r="233" spans="1:24">
      <c r="A233" s="11">
        <v>21</v>
      </c>
      <c r="B233" s="12" t="str">
        <f>المدخلات!$F$6</f>
        <v>7:20–8:50 م</v>
      </c>
      <c r="C233" s="12">
        <v>2</v>
      </c>
      <c r="D233" s="12" t="s">
        <v>89</v>
      </c>
      <c r="E233" s="12" t="s">
        <v>102</v>
      </c>
      <c r="F233" s="5"/>
      <c r="G233" s="5"/>
    </row>
    <row r="234" spans="1:24">
      <c r="A234" s="23">
        <v>21</v>
      </c>
      <c r="B234" s="24" t="str">
        <f>المدخلات!$F$6</f>
        <v>7:20–8:50 م</v>
      </c>
      <c r="C234" s="24">
        <v>3</v>
      </c>
      <c r="D234" s="24" t="s">
        <v>17</v>
      </c>
      <c r="E234" s="24" t="s">
        <v>30</v>
      </c>
      <c r="F234" s="5"/>
      <c r="G234" s="5"/>
    </row>
    <row r="235" spans="1:24">
      <c r="A235" s="11">
        <v>22</v>
      </c>
      <c r="B235" s="12" t="str">
        <f>المدخلات!$F$4</f>
        <v>4:00–5:30 م</v>
      </c>
      <c r="C235" s="12">
        <v>1</v>
      </c>
      <c r="D235" s="12" t="s">
        <v>169</v>
      </c>
      <c r="E235" s="12" t="s">
        <v>170</v>
      </c>
      <c r="F235" s="5"/>
      <c r="G235" s="5"/>
    </row>
    <row r="236" spans="1:24">
      <c r="A236" s="11">
        <v>22</v>
      </c>
      <c r="B236" s="12" t="str">
        <f>المدخلات!$F$4</f>
        <v>4:00–5:30 م</v>
      </c>
      <c r="C236" s="12">
        <v>2</v>
      </c>
      <c r="D236" s="12" t="s">
        <v>169</v>
      </c>
      <c r="E236" s="12" t="s">
        <v>171</v>
      </c>
      <c r="F236" s="5"/>
      <c r="G236" s="5"/>
    </row>
    <row r="237" spans="1:24">
      <c r="A237" s="11">
        <v>23</v>
      </c>
      <c r="B237" s="12" t="str">
        <f>المدخلات!$F$4</f>
        <v>4:00–5:30 م</v>
      </c>
      <c r="C237" s="12">
        <v>1</v>
      </c>
      <c r="D237" s="12" t="s">
        <v>95</v>
      </c>
      <c r="E237" s="12" t="s">
        <v>172</v>
      </c>
      <c r="F237" s="5"/>
      <c r="G237" s="5"/>
    </row>
    <row r="238" spans="1:24">
      <c r="A238" s="5"/>
      <c r="B238" s="5"/>
      <c r="C238" s="5"/>
      <c r="D238" s="5"/>
      <c r="E238" s="5"/>
      <c r="F238" s="5"/>
      <c r="G238" s="5"/>
    </row>
    <row r="239" spans="1:24">
      <c r="A239" s="5"/>
      <c r="B239" s="5"/>
      <c r="C239" s="5"/>
      <c r="D239" s="5"/>
      <c r="E239" s="5"/>
      <c r="F239" s="5"/>
      <c r="G239" s="5"/>
    </row>
    <row r="240" spans="1:24" ht="15.5">
      <c r="A240" s="52" t="s">
        <v>363</v>
      </c>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spans="1:24">
      <c r="A241" s="9" t="s">
        <v>362</v>
      </c>
      <c r="B241" s="9">
        <v>1</v>
      </c>
      <c r="C241" s="9">
        <v>2</v>
      </c>
      <c r="D241" s="9">
        <v>3</v>
      </c>
      <c r="E241" s="9">
        <v>4</v>
      </c>
      <c r="F241" s="9">
        <v>5</v>
      </c>
      <c r="G241" s="9">
        <v>6</v>
      </c>
      <c r="H241" s="9">
        <v>7</v>
      </c>
      <c r="I241" s="9">
        <v>8</v>
      </c>
      <c r="J241" s="9">
        <v>9</v>
      </c>
      <c r="K241" s="9">
        <v>10</v>
      </c>
      <c r="L241" s="9">
        <v>11</v>
      </c>
      <c r="M241" s="9">
        <v>12</v>
      </c>
      <c r="N241" s="9">
        <v>13</v>
      </c>
      <c r="O241" s="9">
        <v>14</v>
      </c>
      <c r="P241" s="9">
        <v>15</v>
      </c>
      <c r="Q241" s="9">
        <v>16</v>
      </c>
      <c r="R241" s="9">
        <v>17</v>
      </c>
      <c r="S241" s="9">
        <v>18</v>
      </c>
      <c r="T241" s="9">
        <v>19</v>
      </c>
      <c r="U241" s="9">
        <v>20</v>
      </c>
      <c r="V241" s="9">
        <v>21</v>
      </c>
      <c r="W241" s="9">
        <v>22</v>
      </c>
      <c r="X241" s="9">
        <v>23</v>
      </c>
    </row>
    <row r="242" spans="1:24">
      <c r="A242" s="9">
        <v>1</v>
      </c>
      <c r="B242" s="12" t="str">
        <f t="shared" ref="B242:K251" si="0">IF($A242=B$241,"",COUNTIF($E$4:$E$237,$A242&amp;" ضد "&amp;B$241)+COUNTIF($E$4:$E$237,B$241&amp;" ضد "&amp;$A242))</f>
        <v/>
      </c>
      <c r="C242" s="12">
        <f t="shared" si="0"/>
        <v>3</v>
      </c>
      <c r="D242" s="12">
        <f t="shared" si="0"/>
        <v>3</v>
      </c>
      <c r="E242" s="12">
        <f t="shared" si="0"/>
        <v>3</v>
      </c>
      <c r="F242" s="12">
        <f t="shared" si="0"/>
        <v>3</v>
      </c>
      <c r="G242" s="12">
        <f t="shared" si="0"/>
        <v>3</v>
      </c>
      <c r="H242" s="12">
        <f t="shared" si="0"/>
        <v>3</v>
      </c>
      <c r="I242" s="12">
        <f t="shared" si="0"/>
        <v>3</v>
      </c>
      <c r="J242" s="12">
        <f t="shared" si="0"/>
        <v>0</v>
      </c>
      <c r="K242" s="12">
        <f t="shared" si="0"/>
        <v>0</v>
      </c>
      <c r="L242" s="12">
        <f t="shared" ref="L242:X251" si="1">IF($A242=L$241,"",COUNTIF($E$4:$E$237,$A242&amp;" ضد "&amp;L$241)+COUNTIF($E$4:$E$237,L$241&amp;" ضد "&amp;$A242))</f>
        <v>0</v>
      </c>
      <c r="M242" s="12">
        <f t="shared" si="1"/>
        <v>0</v>
      </c>
      <c r="N242" s="12">
        <f t="shared" si="1"/>
        <v>0</v>
      </c>
      <c r="O242" s="12">
        <f t="shared" si="1"/>
        <v>0</v>
      </c>
      <c r="P242" s="12">
        <f t="shared" si="1"/>
        <v>0</v>
      </c>
      <c r="Q242" s="12">
        <f t="shared" si="1"/>
        <v>0</v>
      </c>
      <c r="R242" s="12">
        <f t="shared" si="1"/>
        <v>0</v>
      </c>
      <c r="S242" s="12">
        <f t="shared" si="1"/>
        <v>0</v>
      </c>
      <c r="T242" s="12">
        <f t="shared" si="1"/>
        <v>0</v>
      </c>
      <c r="U242" s="12">
        <f t="shared" si="1"/>
        <v>0</v>
      </c>
      <c r="V242" s="12">
        <f t="shared" si="1"/>
        <v>0</v>
      </c>
      <c r="W242" s="12">
        <f t="shared" si="1"/>
        <v>0</v>
      </c>
      <c r="X242" s="12">
        <f t="shared" si="1"/>
        <v>0</v>
      </c>
    </row>
    <row r="243" spans="1:24">
      <c r="A243" s="9">
        <v>2</v>
      </c>
      <c r="B243" s="12">
        <f t="shared" si="0"/>
        <v>3</v>
      </c>
      <c r="C243" s="12" t="str">
        <f t="shared" si="0"/>
        <v/>
      </c>
      <c r="D243" s="12">
        <f t="shared" si="0"/>
        <v>3</v>
      </c>
      <c r="E243" s="12">
        <f t="shared" si="0"/>
        <v>3</v>
      </c>
      <c r="F243" s="12">
        <f t="shared" si="0"/>
        <v>3</v>
      </c>
      <c r="G243" s="12">
        <f t="shared" si="0"/>
        <v>3</v>
      </c>
      <c r="H243" s="12">
        <f t="shared" si="0"/>
        <v>3</v>
      </c>
      <c r="I243" s="12">
        <f t="shared" si="0"/>
        <v>3</v>
      </c>
      <c r="J243" s="12">
        <f t="shared" si="0"/>
        <v>0</v>
      </c>
      <c r="K243" s="12">
        <f t="shared" si="0"/>
        <v>0</v>
      </c>
      <c r="L243" s="12">
        <f t="shared" si="1"/>
        <v>0</v>
      </c>
      <c r="M243" s="12">
        <f t="shared" si="1"/>
        <v>0</v>
      </c>
      <c r="N243" s="12">
        <f t="shared" si="1"/>
        <v>0</v>
      </c>
      <c r="O243" s="12">
        <f t="shared" si="1"/>
        <v>0</v>
      </c>
      <c r="P243" s="12">
        <f t="shared" si="1"/>
        <v>0</v>
      </c>
      <c r="Q243" s="12">
        <f t="shared" si="1"/>
        <v>0</v>
      </c>
      <c r="R243" s="12">
        <f t="shared" si="1"/>
        <v>0</v>
      </c>
      <c r="S243" s="12">
        <f t="shared" si="1"/>
        <v>0</v>
      </c>
      <c r="T243" s="12">
        <f t="shared" si="1"/>
        <v>0</v>
      </c>
      <c r="U243" s="12">
        <f t="shared" si="1"/>
        <v>0</v>
      </c>
      <c r="V243" s="12">
        <f t="shared" si="1"/>
        <v>0</v>
      </c>
      <c r="W243" s="12">
        <f t="shared" si="1"/>
        <v>0</v>
      </c>
      <c r="X243" s="12">
        <f t="shared" si="1"/>
        <v>0</v>
      </c>
    </row>
    <row r="244" spans="1:24">
      <c r="A244" s="9">
        <v>3</v>
      </c>
      <c r="B244" s="12">
        <f t="shared" si="0"/>
        <v>3</v>
      </c>
      <c r="C244" s="12">
        <f t="shared" si="0"/>
        <v>3</v>
      </c>
      <c r="D244" s="12" t="str">
        <f t="shared" si="0"/>
        <v/>
      </c>
      <c r="E244" s="12">
        <f t="shared" si="0"/>
        <v>3</v>
      </c>
      <c r="F244" s="12">
        <f t="shared" si="0"/>
        <v>3</v>
      </c>
      <c r="G244" s="12">
        <f t="shared" si="0"/>
        <v>3</v>
      </c>
      <c r="H244" s="12">
        <f t="shared" si="0"/>
        <v>3</v>
      </c>
      <c r="I244" s="12">
        <f t="shared" si="0"/>
        <v>3</v>
      </c>
      <c r="J244" s="12">
        <f t="shared" si="0"/>
        <v>0</v>
      </c>
      <c r="K244" s="12">
        <f t="shared" si="0"/>
        <v>0</v>
      </c>
      <c r="L244" s="12">
        <f t="shared" si="1"/>
        <v>0</v>
      </c>
      <c r="M244" s="12">
        <f t="shared" si="1"/>
        <v>0</v>
      </c>
      <c r="N244" s="12">
        <f t="shared" si="1"/>
        <v>0</v>
      </c>
      <c r="O244" s="12">
        <f t="shared" si="1"/>
        <v>0</v>
      </c>
      <c r="P244" s="12">
        <f t="shared" si="1"/>
        <v>0</v>
      </c>
      <c r="Q244" s="12">
        <f t="shared" si="1"/>
        <v>0</v>
      </c>
      <c r="R244" s="12">
        <f t="shared" si="1"/>
        <v>0</v>
      </c>
      <c r="S244" s="12">
        <f t="shared" si="1"/>
        <v>0</v>
      </c>
      <c r="T244" s="12">
        <f t="shared" si="1"/>
        <v>0</v>
      </c>
      <c r="U244" s="12">
        <f t="shared" si="1"/>
        <v>0</v>
      </c>
      <c r="V244" s="12">
        <f t="shared" si="1"/>
        <v>0</v>
      </c>
      <c r="W244" s="12">
        <f t="shared" si="1"/>
        <v>0</v>
      </c>
      <c r="X244" s="12">
        <f t="shared" si="1"/>
        <v>0</v>
      </c>
    </row>
    <row r="245" spans="1:24">
      <c r="A245" s="9">
        <v>4</v>
      </c>
      <c r="B245" s="12">
        <f t="shared" si="0"/>
        <v>3</v>
      </c>
      <c r="C245" s="12">
        <f t="shared" si="0"/>
        <v>3</v>
      </c>
      <c r="D245" s="12">
        <f t="shared" si="0"/>
        <v>3</v>
      </c>
      <c r="E245" s="12" t="str">
        <f t="shared" si="0"/>
        <v/>
      </c>
      <c r="F245" s="12">
        <f t="shared" si="0"/>
        <v>3</v>
      </c>
      <c r="G245" s="12">
        <f t="shared" si="0"/>
        <v>3</v>
      </c>
      <c r="H245" s="12">
        <f t="shared" si="0"/>
        <v>3</v>
      </c>
      <c r="I245" s="12">
        <f t="shared" si="0"/>
        <v>3</v>
      </c>
      <c r="J245" s="12">
        <f t="shared" si="0"/>
        <v>0</v>
      </c>
      <c r="K245" s="12">
        <f t="shared" si="0"/>
        <v>0</v>
      </c>
      <c r="L245" s="12">
        <f t="shared" si="1"/>
        <v>0</v>
      </c>
      <c r="M245" s="12">
        <f t="shared" si="1"/>
        <v>0</v>
      </c>
      <c r="N245" s="12">
        <f t="shared" si="1"/>
        <v>0</v>
      </c>
      <c r="O245" s="12">
        <f t="shared" si="1"/>
        <v>0</v>
      </c>
      <c r="P245" s="12">
        <f t="shared" si="1"/>
        <v>0</v>
      </c>
      <c r="Q245" s="12">
        <f t="shared" si="1"/>
        <v>0</v>
      </c>
      <c r="R245" s="12">
        <f t="shared" si="1"/>
        <v>0</v>
      </c>
      <c r="S245" s="12">
        <f t="shared" si="1"/>
        <v>0</v>
      </c>
      <c r="T245" s="12">
        <f t="shared" si="1"/>
        <v>0</v>
      </c>
      <c r="U245" s="12">
        <f t="shared" si="1"/>
        <v>0</v>
      </c>
      <c r="V245" s="12">
        <f t="shared" si="1"/>
        <v>0</v>
      </c>
      <c r="W245" s="12">
        <f t="shared" si="1"/>
        <v>0</v>
      </c>
      <c r="X245" s="12">
        <f t="shared" si="1"/>
        <v>0</v>
      </c>
    </row>
    <row r="246" spans="1:24">
      <c r="A246" s="9">
        <v>5</v>
      </c>
      <c r="B246" s="12">
        <f t="shared" si="0"/>
        <v>3</v>
      </c>
      <c r="C246" s="12">
        <f t="shared" si="0"/>
        <v>3</v>
      </c>
      <c r="D246" s="12">
        <f t="shared" si="0"/>
        <v>3</v>
      </c>
      <c r="E246" s="12">
        <f t="shared" si="0"/>
        <v>3</v>
      </c>
      <c r="F246" s="12" t="str">
        <f t="shared" si="0"/>
        <v/>
      </c>
      <c r="G246" s="12">
        <f t="shared" si="0"/>
        <v>3</v>
      </c>
      <c r="H246" s="12">
        <f t="shared" si="0"/>
        <v>3</v>
      </c>
      <c r="I246" s="12">
        <f t="shared" si="0"/>
        <v>3</v>
      </c>
      <c r="J246" s="12">
        <f t="shared" si="0"/>
        <v>0</v>
      </c>
      <c r="K246" s="12">
        <f t="shared" si="0"/>
        <v>0</v>
      </c>
      <c r="L246" s="12">
        <f t="shared" si="1"/>
        <v>0</v>
      </c>
      <c r="M246" s="12">
        <f t="shared" si="1"/>
        <v>0</v>
      </c>
      <c r="N246" s="12">
        <f t="shared" si="1"/>
        <v>0</v>
      </c>
      <c r="O246" s="12">
        <f t="shared" si="1"/>
        <v>0</v>
      </c>
      <c r="P246" s="12">
        <f t="shared" si="1"/>
        <v>0</v>
      </c>
      <c r="Q246" s="12">
        <f t="shared" si="1"/>
        <v>0</v>
      </c>
      <c r="R246" s="12">
        <f t="shared" si="1"/>
        <v>0</v>
      </c>
      <c r="S246" s="12">
        <f t="shared" si="1"/>
        <v>0</v>
      </c>
      <c r="T246" s="12">
        <f t="shared" si="1"/>
        <v>0</v>
      </c>
      <c r="U246" s="12">
        <f t="shared" si="1"/>
        <v>0</v>
      </c>
      <c r="V246" s="12">
        <f t="shared" si="1"/>
        <v>0</v>
      </c>
      <c r="W246" s="12">
        <f t="shared" si="1"/>
        <v>0</v>
      </c>
      <c r="X246" s="12">
        <f t="shared" si="1"/>
        <v>0</v>
      </c>
    </row>
    <row r="247" spans="1:24">
      <c r="A247" s="9">
        <v>6</v>
      </c>
      <c r="B247" s="12">
        <f t="shared" si="0"/>
        <v>3</v>
      </c>
      <c r="C247" s="12">
        <f t="shared" si="0"/>
        <v>3</v>
      </c>
      <c r="D247" s="12">
        <f t="shared" si="0"/>
        <v>3</v>
      </c>
      <c r="E247" s="12">
        <f t="shared" si="0"/>
        <v>3</v>
      </c>
      <c r="F247" s="12">
        <f t="shared" si="0"/>
        <v>3</v>
      </c>
      <c r="G247" s="12" t="str">
        <f t="shared" si="0"/>
        <v/>
      </c>
      <c r="H247" s="12">
        <f t="shared" si="0"/>
        <v>3</v>
      </c>
      <c r="I247" s="12">
        <f t="shared" si="0"/>
        <v>3</v>
      </c>
      <c r="J247" s="12">
        <f t="shared" si="0"/>
        <v>0</v>
      </c>
      <c r="K247" s="12">
        <f t="shared" si="0"/>
        <v>0</v>
      </c>
      <c r="L247" s="12">
        <f t="shared" si="1"/>
        <v>0</v>
      </c>
      <c r="M247" s="12">
        <f t="shared" si="1"/>
        <v>0</v>
      </c>
      <c r="N247" s="12">
        <f t="shared" si="1"/>
        <v>0</v>
      </c>
      <c r="O247" s="12">
        <f t="shared" si="1"/>
        <v>0</v>
      </c>
      <c r="P247" s="12">
        <f t="shared" si="1"/>
        <v>0</v>
      </c>
      <c r="Q247" s="12">
        <f t="shared" si="1"/>
        <v>0</v>
      </c>
      <c r="R247" s="12">
        <f t="shared" si="1"/>
        <v>0</v>
      </c>
      <c r="S247" s="12">
        <f t="shared" si="1"/>
        <v>0</v>
      </c>
      <c r="T247" s="12">
        <f t="shared" si="1"/>
        <v>0</v>
      </c>
      <c r="U247" s="12">
        <f t="shared" si="1"/>
        <v>0</v>
      </c>
      <c r="V247" s="12">
        <f t="shared" si="1"/>
        <v>0</v>
      </c>
      <c r="W247" s="12">
        <f t="shared" si="1"/>
        <v>0</v>
      </c>
      <c r="X247" s="12">
        <f t="shared" si="1"/>
        <v>0</v>
      </c>
    </row>
    <row r="248" spans="1:24">
      <c r="A248" s="9">
        <v>7</v>
      </c>
      <c r="B248" s="12">
        <f t="shared" si="0"/>
        <v>3</v>
      </c>
      <c r="C248" s="12">
        <f t="shared" si="0"/>
        <v>3</v>
      </c>
      <c r="D248" s="12">
        <f t="shared" si="0"/>
        <v>3</v>
      </c>
      <c r="E248" s="12">
        <f t="shared" si="0"/>
        <v>3</v>
      </c>
      <c r="F248" s="12">
        <f t="shared" si="0"/>
        <v>3</v>
      </c>
      <c r="G248" s="12">
        <f t="shared" si="0"/>
        <v>3</v>
      </c>
      <c r="H248" s="12" t="str">
        <f t="shared" si="0"/>
        <v/>
      </c>
      <c r="I248" s="12">
        <f t="shared" si="0"/>
        <v>3</v>
      </c>
      <c r="J248" s="12">
        <f t="shared" si="0"/>
        <v>0</v>
      </c>
      <c r="K248" s="12">
        <f t="shared" si="0"/>
        <v>0</v>
      </c>
      <c r="L248" s="12">
        <f t="shared" si="1"/>
        <v>0</v>
      </c>
      <c r="M248" s="12">
        <f t="shared" si="1"/>
        <v>0</v>
      </c>
      <c r="N248" s="12">
        <f t="shared" si="1"/>
        <v>0</v>
      </c>
      <c r="O248" s="12">
        <f t="shared" si="1"/>
        <v>0</v>
      </c>
      <c r="P248" s="12">
        <f t="shared" si="1"/>
        <v>0</v>
      </c>
      <c r="Q248" s="12">
        <f t="shared" si="1"/>
        <v>0</v>
      </c>
      <c r="R248" s="12">
        <f t="shared" si="1"/>
        <v>0</v>
      </c>
      <c r="S248" s="12">
        <f t="shared" si="1"/>
        <v>0</v>
      </c>
      <c r="T248" s="12">
        <f t="shared" si="1"/>
        <v>0</v>
      </c>
      <c r="U248" s="12">
        <f t="shared" si="1"/>
        <v>0</v>
      </c>
      <c r="V248" s="12">
        <f t="shared" si="1"/>
        <v>0</v>
      </c>
      <c r="W248" s="12">
        <f t="shared" si="1"/>
        <v>0</v>
      </c>
      <c r="X248" s="12">
        <f t="shared" si="1"/>
        <v>0</v>
      </c>
    </row>
    <row r="249" spans="1:24">
      <c r="A249" s="9">
        <v>8</v>
      </c>
      <c r="B249" s="12">
        <f t="shared" si="0"/>
        <v>3</v>
      </c>
      <c r="C249" s="12">
        <f t="shared" si="0"/>
        <v>3</v>
      </c>
      <c r="D249" s="12">
        <f t="shared" si="0"/>
        <v>3</v>
      </c>
      <c r="E249" s="12">
        <f t="shared" si="0"/>
        <v>3</v>
      </c>
      <c r="F249" s="12">
        <f t="shared" si="0"/>
        <v>3</v>
      </c>
      <c r="G249" s="12">
        <f t="shared" si="0"/>
        <v>3</v>
      </c>
      <c r="H249" s="12">
        <f t="shared" si="0"/>
        <v>3</v>
      </c>
      <c r="I249" s="12" t="str">
        <f t="shared" si="0"/>
        <v/>
      </c>
      <c r="J249" s="12">
        <f t="shared" si="0"/>
        <v>0</v>
      </c>
      <c r="K249" s="12">
        <f t="shared" si="0"/>
        <v>0</v>
      </c>
      <c r="L249" s="12">
        <f t="shared" si="1"/>
        <v>0</v>
      </c>
      <c r="M249" s="12">
        <f t="shared" si="1"/>
        <v>0</v>
      </c>
      <c r="N249" s="12">
        <f t="shared" si="1"/>
        <v>0</v>
      </c>
      <c r="O249" s="12">
        <f t="shared" si="1"/>
        <v>0</v>
      </c>
      <c r="P249" s="12">
        <f t="shared" si="1"/>
        <v>0</v>
      </c>
      <c r="Q249" s="12">
        <f t="shared" si="1"/>
        <v>0</v>
      </c>
      <c r="R249" s="12">
        <f t="shared" si="1"/>
        <v>0</v>
      </c>
      <c r="S249" s="12">
        <f t="shared" si="1"/>
        <v>0</v>
      </c>
      <c r="T249" s="12">
        <f t="shared" si="1"/>
        <v>0</v>
      </c>
      <c r="U249" s="12">
        <f t="shared" si="1"/>
        <v>0</v>
      </c>
      <c r="V249" s="12">
        <f t="shared" si="1"/>
        <v>0</v>
      </c>
      <c r="W249" s="12">
        <f t="shared" si="1"/>
        <v>0</v>
      </c>
      <c r="X249" s="12">
        <f t="shared" si="1"/>
        <v>0</v>
      </c>
    </row>
    <row r="250" spans="1:24">
      <c r="A250" s="9">
        <v>9</v>
      </c>
      <c r="B250" s="12">
        <f t="shared" si="0"/>
        <v>0</v>
      </c>
      <c r="C250" s="12">
        <f t="shared" si="0"/>
        <v>0</v>
      </c>
      <c r="D250" s="12">
        <f t="shared" si="0"/>
        <v>0</v>
      </c>
      <c r="E250" s="12">
        <f t="shared" si="0"/>
        <v>0</v>
      </c>
      <c r="F250" s="12">
        <f t="shared" si="0"/>
        <v>0</v>
      </c>
      <c r="G250" s="12">
        <f t="shared" si="0"/>
        <v>0</v>
      </c>
      <c r="H250" s="12">
        <f t="shared" si="0"/>
        <v>0</v>
      </c>
      <c r="I250" s="12">
        <f t="shared" si="0"/>
        <v>0</v>
      </c>
      <c r="J250" s="12" t="str">
        <f t="shared" si="0"/>
        <v/>
      </c>
      <c r="K250" s="12">
        <f t="shared" si="0"/>
        <v>3</v>
      </c>
      <c r="L250" s="12">
        <f t="shared" si="1"/>
        <v>3</v>
      </c>
      <c r="M250" s="12">
        <f t="shared" si="1"/>
        <v>3</v>
      </c>
      <c r="N250" s="12">
        <f t="shared" si="1"/>
        <v>3</v>
      </c>
      <c r="O250" s="12">
        <f t="shared" si="1"/>
        <v>3</v>
      </c>
      <c r="P250" s="12">
        <f t="shared" si="1"/>
        <v>3</v>
      </c>
      <c r="Q250" s="12">
        <f t="shared" si="1"/>
        <v>3</v>
      </c>
      <c r="R250" s="12">
        <f t="shared" si="1"/>
        <v>0</v>
      </c>
      <c r="S250" s="12">
        <f t="shared" si="1"/>
        <v>0</v>
      </c>
      <c r="T250" s="12">
        <f t="shared" si="1"/>
        <v>0</v>
      </c>
      <c r="U250" s="12">
        <f t="shared" si="1"/>
        <v>0</v>
      </c>
      <c r="V250" s="12">
        <f t="shared" si="1"/>
        <v>0</v>
      </c>
      <c r="W250" s="12">
        <f t="shared" si="1"/>
        <v>0</v>
      </c>
      <c r="X250" s="12">
        <f t="shared" si="1"/>
        <v>0</v>
      </c>
    </row>
    <row r="251" spans="1:24">
      <c r="A251" s="9">
        <v>10</v>
      </c>
      <c r="B251" s="12">
        <f t="shared" si="0"/>
        <v>0</v>
      </c>
      <c r="C251" s="12">
        <f t="shared" si="0"/>
        <v>0</v>
      </c>
      <c r="D251" s="12">
        <f t="shared" si="0"/>
        <v>0</v>
      </c>
      <c r="E251" s="12">
        <f t="shared" si="0"/>
        <v>0</v>
      </c>
      <c r="F251" s="12">
        <f t="shared" si="0"/>
        <v>0</v>
      </c>
      <c r="G251" s="12">
        <f t="shared" si="0"/>
        <v>0</v>
      </c>
      <c r="H251" s="12">
        <f t="shared" si="0"/>
        <v>0</v>
      </c>
      <c r="I251" s="12">
        <f t="shared" si="0"/>
        <v>0</v>
      </c>
      <c r="J251" s="12">
        <f t="shared" si="0"/>
        <v>3</v>
      </c>
      <c r="K251" s="12" t="str">
        <f t="shared" si="0"/>
        <v/>
      </c>
      <c r="L251" s="12">
        <f t="shared" si="1"/>
        <v>3</v>
      </c>
      <c r="M251" s="12">
        <f t="shared" si="1"/>
        <v>3</v>
      </c>
      <c r="N251" s="12">
        <f t="shared" si="1"/>
        <v>3</v>
      </c>
      <c r="O251" s="12">
        <f t="shared" si="1"/>
        <v>3</v>
      </c>
      <c r="P251" s="12">
        <f t="shared" si="1"/>
        <v>3</v>
      </c>
      <c r="Q251" s="12">
        <f t="shared" si="1"/>
        <v>3</v>
      </c>
      <c r="R251" s="12">
        <f t="shared" si="1"/>
        <v>0</v>
      </c>
      <c r="S251" s="12">
        <f t="shared" si="1"/>
        <v>0</v>
      </c>
      <c r="T251" s="12">
        <f t="shared" si="1"/>
        <v>0</v>
      </c>
      <c r="U251" s="12">
        <f t="shared" si="1"/>
        <v>0</v>
      </c>
      <c r="V251" s="12">
        <f t="shared" si="1"/>
        <v>0</v>
      </c>
      <c r="W251" s="12">
        <f t="shared" si="1"/>
        <v>0</v>
      </c>
      <c r="X251" s="12">
        <f t="shared" si="1"/>
        <v>0</v>
      </c>
    </row>
    <row r="252" spans="1:24">
      <c r="A252" s="9">
        <v>11</v>
      </c>
      <c r="B252" s="12">
        <f t="shared" ref="B252:K264" si="2">IF($A252=B$241,"",COUNTIF($E$4:$E$237,$A252&amp;" ضد "&amp;B$241)+COUNTIF($E$4:$E$237,B$241&amp;" ضد "&amp;$A252))</f>
        <v>0</v>
      </c>
      <c r="C252" s="12">
        <f t="shared" si="2"/>
        <v>0</v>
      </c>
      <c r="D252" s="12">
        <f t="shared" si="2"/>
        <v>0</v>
      </c>
      <c r="E252" s="12">
        <f t="shared" si="2"/>
        <v>0</v>
      </c>
      <c r="F252" s="12">
        <f t="shared" si="2"/>
        <v>0</v>
      </c>
      <c r="G252" s="12">
        <f t="shared" si="2"/>
        <v>0</v>
      </c>
      <c r="H252" s="12">
        <f t="shared" si="2"/>
        <v>0</v>
      </c>
      <c r="I252" s="12">
        <f t="shared" si="2"/>
        <v>0</v>
      </c>
      <c r="J252" s="12">
        <f t="shared" si="2"/>
        <v>3</v>
      </c>
      <c r="K252" s="12">
        <f t="shared" si="2"/>
        <v>3</v>
      </c>
      <c r="L252" s="12" t="str">
        <f t="shared" ref="L252:X264" si="3">IF($A252=L$241,"",COUNTIF($E$4:$E$237,$A252&amp;" ضد "&amp;L$241)+COUNTIF($E$4:$E$237,L$241&amp;" ضد "&amp;$A252))</f>
        <v/>
      </c>
      <c r="M252" s="12">
        <f t="shared" si="3"/>
        <v>3</v>
      </c>
      <c r="N252" s="12">
        <f t="shared" si="3"/>
        <v>3</v>
      </c>
      <c r="O252" s="12">
        <f t="shared" si="3"/>
        <v>3</v>
      </c>
      <c r="P252" s="12">
        <f t="shared" si="3"/>
        <v>3</v>
      </c>
      <c r="Q252" s="12">
        <f t="shared" si="3"/>
        <v>3</v>
      </c>
      <c r="R252" s="12">
        <f t="shared" si="3"/>
        <v>0</v>
      </c>
      <c r="S252" s="12">
        <f t="shared" si="3"/>
        <v>0</v>
      </c>
      <c r="T252" s="12">
        <f t="shared" si="3"/>
        <v>0</v>
      </c>
      <c r="U252" s="12">
        <f t="shared" si="3"/>
        <v>0</v>
      </c>
      <c r="V252" s="12">
        <f t="shared" si="3"/>
        <v>0</v>
      </c>
      <c r="W252" s="12">
        <f t="shared" si="3"/>
        <v>0</v>
      </c>
      <c r="X252" s="12">
        <f t="shared" si="3"/>
        <v>0</v>
      </c>
    </row>
    <row r="253" spans="1:24">
      <c r="A253" s="9">
        <v>12</v>
      </c>
      <c r="B253" s="12">
        <f t="shared" si="2"/>
        <v>0</v>
      </c>
      <c r="C253" s="12">
        <f t="shared" si="2"/>
        <v>0</v>
      </c>
      <c r="D253" s="12">
        <f t="shared" si="2"/>
        <v>0</v>
      </c>
      <c r="E253" s="12">
        <f t="shared" si="2"/>
        <v>0</v>
      </c>
      <c r="F253" s="12">
        <f t="shared" si="2"/>
        <v>0</v>
      </c>
      <c r="G253" s="12">
        <f t="shared" si="2"/>
        <v>0</v>
      </c>
      <c r="H253" s="12">
        <f t="shared" si="2"/>
        <v>0</v>
      </c>
      <c r="I253" s="12">
        <f t="shared" si="2"/>
        <v>0</v>
      </c>
      <c r="J253" s="12">
        <f t="shared" si="2"/>
        <v>3</v>
      </c>
      <c r="K253" s="12">
        <f t="shared" si="2"/>
        <v>3</v>
      </c>
      <c r="L253" s="12">
        <f t="shared" si="3"/>
        <v>3</v>
      </c>
      <c r="M253" s="12" t="str">
        <f t="shared" si="3"/>
        <v/>
      </c>
      <c r="N253" s="12">
        <f t="shared" si="3"/>
        <v>3</v>
      </c>
      <c r="O253" s="12">
        <f t="shared" si="3"/>
        <v>3</v>
      </c>
      <c r="P253" s="12">
        <f t="shared" si="3"/>
        <v>3</v>
      </c>
      <c r="Q253" s="12">
        <f t="shared" si="3"/>
        <v>3</v>
      </c>
      <c r="R253" s="12">
        <f t="shared" si="3"/>
        <v>0</v>
      </c>
      <c r="S253" s="12">
        <f t="shared" si="3"/>
        <v>0</v>
      </c>
      <c r="T253" s="12">
        <f t="shared" si="3"/>
        <v>0</v>
      </c>
      <c r="U253" s="12">
        <f t="shared" si="3"/>
        <v>0</v>
      </c>
      <c r="V253" s="12">
        <f t="shared" si="3"/>
        <v>0</v>
      </c>
      <c r="W253" s="12">
        <f t="shared" si="3"/>
        <v>0</v>
      </c>
      <c r="X253" s="12">
        <f t="shared" si="3"/>
        <v>0</v>
      </c>
    </row>
    <row r="254" spans="1:24">
      <c r="A254" s="9">
        <v>13</v>
      </c>
      <c r="B254" s="12">
        <f t="shared" si="2"/>
        <v>0</v>
      </c>
      <c r="C254" s="12">
        <f t="shared" si="2"/>
        <v>0</v>
      </c>
      <c r="D254" s="12">
        <f t="shared" si="2"/>
        <v>0</v>
      </c>
      <c r="E254" s="12">
        <f t="shared" si="2"/>
        <v>0</v>
      </c>
      <c r="F254" s="12">
        <f t="shared" si="2"/>
        <v>0</v>
      </c>
      <c r="G254" s="12">
        <f t="shared" si="2"/>
        <v>0</v>
      </c>
      <c r="H254" s="12">
        <f t="shared" si="2"/>
        <v>0</v>
      </c>
      <c r="I254" s="12">
        <f t="shared" si="2"/>
        <v>0</v>
      </c>
      <c r="J254" s="12">
        <f t="shared" si="2"/>
        <v>3</v>
      </c>
      <c r="K254" s="12">
        <f t="shared" si="2"/>
        <v>3</v>
      </c>
      <c r="L254" s="12">
        <f t="shared" si="3"/>
        <v>3</v>
      </c>
      <c r="M254" s="12">
        <f t="shared" si="3"/>
        <v>3</v>
      </c>
      <c r="N254" s="12" t="str">
        <f t="shared" si="3"/>
        <v/>
      </c>
      <c r="O254" s="12">
        <f t="shared" si="3"/>
        <v>3</v>
      </c>
      <c r="P254" s="12">
        <f t="shared" si="3"/>
        <v>3</v>
      </c>
      <c r="Q254" s="12">
        <f t="shared" si="3"/>
        <v>3</v>
      </c>
      <c r="R254" s="12">
        <f t="shared" si="3"/>
        <v>0</v>
      </c>
      <c r="S254" s="12">
        <f t="shared" si="3"/>
        <v>0</v>
      </c>
      <c r="T254" s="12">
        <f t="shared" si="3"/>
        <v>0</v>
      </c>
      <c r="U254" s="12">
        <f t="shared" si="3"/>
        <v>0</v>
      </c>
      <c r="V254" s="12">
        <f t="shared" si="3"/>
        <v>0</v>
      </c>
      <c r="W254" s="12">
        <f t="shared" si="3"/>
        <v>0</v>
      </c>
      <c r="X254" s="12">
        <f t="shared" si="3"/>
        <v>0</v>
      </c>
    </row>
    <row r="255" spans="1:24">
      <c r="A255" s="9">
        <v>14</v>
      </c>
      <c r="B255" s="12">
        <f t="shared" si="2"/>
        <v>0</v>
      </c>
      <c r="C255" s="12">
        <f t="shared" si="2"/>
        <v>0</v>
      </c>
      <c r="D255" s="12">
        <f t="shared" si="2"/>
        <v>0</v>
      </c>
      <c r="E255" s="12">
        <f t="shared" si="2"/>
        <v>0</v>
      </c>
      <c r="F255" s="12">
        <f t="shared" si="2"/>
        <v>0</v>
      </c>
      <c r="G255" s="12">
        <f t="shared" si="2"/>
        <v>0</v>
      </c>
      <c r="H255" s="12">
        <f t="shared" si="2"/>
        <v>0</v>
      </c>
      <c r="I255" s="12">
        <f t="shared" si="2"/>
        <v>0</v>
      </c>
      <c r="J255" s="12">
        <f t="shared" si="2"/>
        <v>3</v>
      </c>
      <c r="K255" s="12">
        <f t="shared" si="2"/>
        <v>3</v>
      </c>
      <c r="L255" s="12">
        <f t="shared" si="3"/>
        <v>3</v>
      </c>
      <c r="M255" s="12">
        <f t="shared" si="3"/>
        <v>3</v>
      </c>
      <c r="N255" s="12">
        <f t="shared" si="3"/>
        <v>3</v>
      </c>
      <c r="O255" s="12" t="str">
        <f t="shared" si="3"/>
        <v/>
      </c>
      <c r="P255" s="12">
        <f t="shared" si="3"/>
        <v>3</v>
      </c>
      <c r="Q255" s="12">
        <f t="shared" si="3"/>
        <v>3</v>
      </c>
      <c r="R255" s="12">
        <f t="shared" si="3"/>
        <v>0</v>
      </c>
      <c r="S255" s="12">
        <f t="shared" si="3"/>
        <v>0</v>
      </c>
      <c r="T255" s="12">
        <f t="shared" si="3"/>
        <v>0</v>
      </c>
      <c r="U255" s="12">
        <f t="shared" si="3"/>
        <v>0</v>
      </c>
      <c r="V255" s="12">
        <f t="shared" si="3"/>
        <v>0</v>
      </c>
      <c r="W255" s="12">
        <f t="shared" si="3"/>
        <v>0</v>
      </c>
      <c r="X255" s="12">
        <f t="shared" si="3"/>
        <v>0</v>
      </c>
    </row>
    <row r="256" spans="1:24">
      <c r="A256" s="9">
        <v>15</v>
      </c>
      <c r="B256" s="12">
        <f t="shared" si="2"/>
        <v>0</v>
      </c>
      <c r="C256" s="12">
        <f t="shared" si="2"/>
        <v>0</v>
      </c>
      <c r="D256" s="12">
        <f t="shared" si="2"/>
        <v>0</v>
      </c>
      <c r="E256" s="12">
        <f t="shared" si="2"/>
        <v>0</v>
      </c>
      <c r="F256" s="12">
        <f t="shared" si="2"/>
        <v>0</v>
      </c>
      <c r="G256" s="12">
        <f t="shared" si="2"/>
        <v>0</v>
      </c>
      <c r="H256" s="12">
        <f t="shared" si="2"/>
        <v>0</v>
      </c>
      <c r="I256" s="12">
        <f t="shared" si="2"/>
        <v>0</v>
      </c>
      <c r="J256" s="12">
        <f t="shared" si="2"/>
        <v>3</v>
      </c>
      <c r="K256" s="12">
        <f t="shared" si="2"/>
        <v>3</v>
      </c>
      <c r="L256" s="12">
        <f t="shared" si="3"/>
        <v>3</v>
      </c>
      <c r="M256" s="12">
        <f t="shared" si="3"/>
        <v>3</v>
      </c>
      <c r="N256" s="12">
        <f t="shared" si="3"/>
        <v>3</v>
      </c>
      <c r="O256" s="12">
        <f t="shared" si="3"/>
        <v>3</v>
      </c>
      <c r="P256" s="12" t="str">
        <f t="shared" si="3"/>
        <v/>
      </c>
      <c r="Q256" s="12">
        <f t="shared" si="3"/>
        <v>3</v>
      </c>
      <c r="R256" s="12">
        <f t="shared" si="3"/>
        <v>0</v>
      </c>
      <c r="S256" s="12">
        <f t="shared" si="3"/>
        <v>0</v>
      </c>
      <c r="T256" s="12">
        <f t="shared" si="3"/>
        <v>0</v>
      </c>
      <c r="U256" s="12">
        <f t="shared" si="3"/>
        <v>0</v>
      </c>
      <c r="V256" s="12">
        <f t="shared" si="3"/>
        <v>0</v>
      </c>
      <c r="W256" s="12">
        <f t="shared" si="3"/>
        <v>0</v>
      </c>
      <c r="X256" s="12">
        <f t="shared" si="3"/>
        <v>0</v>
      </c>
    </row>
    <row r="257" spans="1:24">
      <c r="A257" s="9">
        <v>16</v>
      </c>
      <c r="B257" s="12">
        <f t="shared" si="2"/>
        <v>0</v>
      </c>
      <c r="C257" s="12">
        <f t="shared" si="2"/>
        <v>0</v>
      </c>
      <c r="D257" s="12">
        <f t="shared" si="2"/>
        <v>0</v>
      </c>
      <c r="E257" s="12">
        <f t="shared" si="2"/>
        <v>0</v>
      </c>
      <c r="F257" s="12">
        <f t="shared" si="2"/>
        <v>0</v>
      </c>
      <c r="G257" s="12">
        <f t="shared" si="2"/>
        <v>0</v>
      </c>
      <c r="H257" s="12">
        <f t="shared" si="2"/>
        <v>0</v>
      </c>
      <c r="I257" s="12">
        <f t="shared" si="2"/>
        <v>0</v>
      </c>
      <c r="J257" s="12">
        <f t="shared" si="2"/>
        <v>3</v>
      </c>
      <c r="K257" s="12">
        <f t="shared" si="2"/>
        <v>3</v>
      </c>
      <c r="L257" s="12">
        <f t="shared" si="3"/>
        <v>3</v>
      </c>
      <c r="M257" s="12">
        <f t="shared" si="3"/>
        <v>3</v>
      </c>
      <c r="N257" s="12">
        <f t="shared" si="3"/>
        <v>3</v>
      </c>
      <c r="O257" s="12">
        <f t="shared" si="3"/>
        <v>3</v>
      </c>
      <c r="P257" s="12">
        <f t="shared" si="3"/>
        <v>3</v>
      </c>
      <c r="Q257" s="12" t="str">
        <f t="shared" si="3"/>
        <v/>
      </c>
      <c r="R257" s="12">
        <f t="shared" si="3"/>
        <v>0</v>
      </c>
      <c r="S257" s="12">
        <f t="shared" si="3"/>
        <v>0</v>
      </c>
      <c r="T257" s="12">
        <f t="shared" si="3"/>
        <v>0</v>
      </c>
      <c r="U257" s="12">
        <f t="shared" si="3"/>
        <v>0</v>
      </c>
      <c r="V257" s="12">
        <f t="shared" si="3"/>
        <v>0</v>
      </c>
      <c r="W257" s="12">
        <f t="shared" si="3"/>
        <v>0</v>
      </c>
      <c r="X257" s="12">
        <f t="shared" si="3"/>
        <v>0</v>
      </c>
    </row>
    <row r="258" spans="1:24">
      <c r="A258" s="9">
        <v>17</v>
      </c>
      <c r="B258" s="12">
        <f t="shared" si="2"/>
        <v>0</v>
      </c>
      <c r="C258" s="12">
        <f t="shared" si="2"/>
        <v>0</v>
      </c>
      <c r="D258" s="12">
        <f t="shared" si="2"/>
        <v>0</v>
      </c>
      <c r="E258" s="12">
        <f t="shared" si="2"/>
        <v>0</v>
      </c>
      <c r="F258" s="12">
        <f t="shared" si="2"/>
        <v>0</v>
      </c>
      <c r="G258" s="12">
        <f t="shared" si="2"/>
        <v>0</v>
      </c>
      <c r="H258" s="12">
        <f t="shared" si="2"/>
        <v>0</v>
      </c>
      <c r="I258" s="12">
        <f t="shared" si="2"/>
        <v>0</v>
      </c>
      <c r="J258" s="12">
        <f t="shared" si="2"/>
        <v>0</v>
      </c>
      <c r="K258" s="12">
        <f t="shared" si="2"/>
        <v>0</v>
      </c>
      <c r="L258" s="12">
        <f t="shared" si="3"/>
        <v>0</v>
      </c>
      <c r="M258" s="12">
        <f t="shared" si="3"/>
        <v>0</v>
      </c>
      <c r="N258" s="12">
        <f t="shared" si="3"/>
        <v>0</v>
      </c>
      <c r="O258" s="12">
        <f t="shared" si="3"/>
        <v>0</v>
      </c>
      <c r="P258" s="12">
        <f t="shared" si="3"/>
        <v>0</v>
      </c>
      <c r="Q258" s="12">
        <f t="shared" si="3"/>
        <v>0</v>
      </c>
      <c r="R258" s="12" t="str">
        <f t="shared" si="3"/>
        <v/>
      </c>
      <c r="S258" s="12">
        <f t="shared" si="3"/>
        <v>3</v>
      </c>
      <c r="T258" s="12">
        <f t="shared" si="3"/>
        <v>3</v>
      </c>
      <c r="U258" s="12">
        <f t="shared" si="3"/>
        <v>3</v>
      </c>
      <c r="V258" s="12">
        <f t="shared" si="3"/>
        <v>3</v>
      </c>
      <c r="W258" s="12">
        <f t="shared" si="3"/>
        <v>3</v>
      </c>
      <c r="X258" s="12">
        <f t="shared" si="3"/>
        <v>3</v>
      </c>
    </row>
    <row r="259" spans="1:24">
      <c r="A259" s="9">
        <v>18</v>
      </c>
      <c r="B259" s="12">
        <f t="shared" si="2"/>
        <v>0</v>
      </c>
      <c r="C259" s="12">
        <f t="shared" si="2"/>
        <v>0</v>
      </c>
      <c r="D259" s="12">
        <f t="shared" si="2"/>
        <v>0</v>
      </c>
      <c r="E259" s="12">
        <f t="shared" si="2"/>
        <v>0</v>
      </c>
      <c r="F259" s="12">
        <f t="shared" si="2"/>
        <v>0</v>
      </c>
      <c r="G259" s="12">
        <f t="shared" si="2"/>
        <v>0</v>
      </c>
      <c r="H259" s="12">
        <f t="shared" si="2"/>
        <v>0</v>
      </c>
      <c r="I259" s="12">
        <f t="shared" si="2"/>
        <v>0</v>
      </c>
      <c r="J259" s="12">
        <f t="shared" si="2"/>
        <v>0</v>
      </c>
      <c r="K259" s="12">
        <f t="shared" si="2"/>
        <v>0</v>
      </c>
      <c r="L259" s="12">
        <f t="shared" si="3"/>
        <v>0</v>
      </c>
      <c r="M259" s="12">
        <f t="shared" si="3"/>
        <v>0</v>
      </c>
      <c r="N259" s="12">
        <f t="shared" si="3"/>
        <v>0</v>
      </c>
      <c r="O259" s="12">
        <f t="shared" si="3"/>
        <v>0</v>
      </c>
      <c r="P259" s="12">
        <f t="shared" si="3"/>
        <v>0</v>
      </c>
      <c r="Q259" s="12">
        <f t="shared" si="3"/>
        <v>0</v>
      </c>
      <c r="R259" s="12">
        <f t="shared" si="3"/>
        <v>3</v>
      </c>
      <c r="S259" s="12" t="str">
        <f t="shared" si="3"/>
        <v/>
      </c>
      <c r="T259" s="12">
        <f t="shared" si="3"/>
        <v>3</v>
      </c>
      <c r="U259" s="12">
        <f t="shared" si="3"/>
        <v>3</v>
      </c>
      <c r="V259" s="12">
        <f t="shared" si="3"/>
        <v>3</v>
      </c>
      <c r="W259" s="12">
        <f t="shared" si="3"/>
        <v>3</v>
      </c>
      <c r="X259" s="12">
        <f t="shared" si="3"/>
        <v>3</v>
      </c>
    </row>
    <row r="260" spans="1:24">
      <c r="A260" s="9">
        <v>19</v>
      </c>
      <c r="B260" s="12">
        <f t="shared" si="2"/>
        <v>0</v>
      </c>
      <c r="C260" s="12">
        <f t="shared" si="2"/>
        <v>0</v>
      </c>
      <c r="D260" s="12">
        <f t="shared" si="2"/>
        <v>0</v>
      </c>
      <c r="E260" s="12">
        <f t="shared" si="2"/>
        <v>0</v>
      </c>
      <c r="F260" s="12">
        <f t="shared" si="2"/>
        <v>0</v>
      </c>
      <c r="G260" s="12">
        <f t="shared" si="2"/>
        <v>0</v>
      </c>
      <c r="H260" s="12">
        <f t="shared" si="2"/>
        <v>0</v>
      </c>
      <c r="I260" s="12">
        <f t="shared" si="2"/>
        <v>0</v>
      </c>
      <c r="J260" s="12">
        <f t="shared" si="2"/>
        <v>0</v>
      </c>
      <c r="K260" s="12">
        <f t="shared" si="2"/>
        <v>0</v>
      </c>
      <c r="L260" s="12">
        <f t="shared" si="3"/>
        <v>0</v>
      </c>
      <c r="M260" s="12">
        <f t="shared" si="3"/>
        <v>0</v>
      </c>
      <c r="N260" s="12">
        <f t="shared" si="3"/>
        <v>0</v>
      </c>
      <c r="O260" s="12">
        <f t="shared" si="3"/>
        <v>0</v>
      </c>
      <c r="P260" s="12">
        <f t="shared" si="3"/>
        <v>0</v>
      </c>
      <c r="Q260" s="12">
        <f t="shared" si="3"/>
        <v>0</v>
      </c>
      <c r="R260" s="12">
        <f t="shared" si="3"/>
        <v>3</v>
      </c>
      <c r="S260" s="12">
        <f t="shared" si="3"/>
        <v>3</v>
      </c>
      <c r="T260" s="12" t="str">
        <f t="shared" si="3"/>
        <v/>
      </c>
      <c r="U260" s="12">
        <f t="shared" si="3"/>
        <v>3</v>
      </c>
      <c r="V260" s="12">
        <f t="shared" si="3"/>
        <v>3</v>
      </c>
      <c r="W260" s="12">
        <f t="shared" si="3"/>
        <v>3</v>
      </c>
      <c r="X260" s="12">
        <f t="shared" si="3"/>
        <v>3</v>
      </c>
    </row>
    <row r="261" spans="1:24">
      <c r="A261" s="9">
        <v>20</v>
      </c>
      <c r="B261" s="12">
        <f t="shared" si="2"/>
        <v>0</v>
      </c>
      <c r="C261" s="12">
        <f t="shared" si="2"/>
        <v>0</v>
      </c>
      <c r="D261" s="12">
        <f t="shared" si="2"/>
        <v>0</v>
      </c>
      <c r="E261" s="12">
        <f t="shared" si="2"/>
        <v>0</v>
      </c>
      <c r="F261" s="12">
        <f t="shared" si="2"/>
        <v>0</v>
      </c>
      <c r="G261" s="12">
        <f t="shared" si="2"/>
        <v>0</v>
      </c>
      <c r="H261" s="12">
        <f t="shared" si="2"/>
        <v>0</v>
      </c>
      <c r="I261" s="12">
        <f t="shared" si="2"/>
        <v>0</v>
      </c>
      <c r="J261" s="12">
        <f t="shared" si="2"/>
        <v>0</v>
      </c>
      <c r="K261" s="12">
        <f t="shared" si="2"/>
        <v>0</v>
      </c>
      <c r="L261" s="12">
        <f t="shared" si="3"/>
        <v>0</v>
      </c>
      <c r="M261" s="12">
        <f t="shared" si="3"/>
        <v>0</v>
      </c>
      <c r="N261" s="12">
        <f t="shared" si="3"/>
        <v>0</v>
      </c>
      <c r="O261" s="12">
        <f t="shared" si="3"/>
        <v>0</v>
      </c>
      <c r="P261" s="12">
        <f t="shared" si="3"/>
        <v>0</v>
      </c>
      <c r="Q261" s="12">
        <f t="shared" si="3"/>
        <v>0</v>
      </c>
      <c r="R261" s="12">
        <f t="shared" si="3"/>
        <v>3</v>
      </c>
      <c r="S261" s="12">
        <f t="shared" si="3"/>
        <v>3</v>
      </c>
      <c r="T261" s="12">
        <f t="shared" si="3"/>
        <v>3</v>
      </c>
      <c r="U261" s="12" t="str">
        <f t="shared" si="3"/>
        <v/>
      </c>
      <c r="V261" s="12">
        <f t="shared" si="3"/>
        <v>3</v>
      </c>
      <c r="W261" s="12">
        <f t="shared" si="3"/>
        <v>3</v>
      </c>
      <c r="X261" s="12">
        <f t="shared" si="3"/>
        <v>3</v>
      </c>
    </row>
    <row r="262" spans="1:24">
      <c r="A262" s="9">
        <v>21</v>
      </c>
      <c r="B262" s="12">
        <f t="shared" si="2"/>
        <v>0</v>
      </c>
      <c r="C262" s="12">
        <f t="shared" si="2"/>
        <v>0</v>
      </c>
      <c r="D262" s="12">
        <f t="shared" si="2"/>
        <v>0</v>
      </c>
      <c r="E262" s="12">
        <f t="shared" si="2"/>
        <v>0</v>
      </c>
      <c r="F262" s="12">
        <f t="shared" si="2"/>
        <v>0</v>
      </c>
      <c r="G262" s="12">
        <f t="shared" si="2"/>
        <v>0</v>
      </c>
      <c r="H262" s="12">
        <f t="shared" si="2"/>
        <v>0</v>
      </c>
      <c r="I262" s="12">
        <f t="shared" si="2"/>
        <v>0</v>
      </c>
      <c r="J262" s="12">
        <f t="shared" si="2"/>
        <v>0</v>
      </c>
      <c r="K262" s="12">
        <f t="shared" si="2"/>
        <v>0</v>
      </c>
      <c r="L262" s="12">
        <f t="shared" si="3"/>
        <v>0</v>
      </c>
      <c r="M262" s="12">
        <f t="shared" si="3"/>
        <v>0</v>
      </c>
      <c r="N262" s="12">
        <f t="shared" si="3"/>
        <v>0</v>
      </c>
      <c r="O262" s="12">
        <f t="shared" si="3"/>
        <v>0</v>
      </c>
      <c r="P262" s="12">
        <f t="shared" si="3"/>
        <v>0</v>
      </c>
      <c r="Q262" s="12">
        <f t="shared" si="3"/>
        <v>0</v>
      </c>
      <c r="R262" s="12">
        <f t="shared" si="3"/>
        <v>3</v>
      </c>
      <c r="S262" s="12">
        <f t="shared" si="3"/>
        <v>3</v>
      </c>
      <c r="T262" s="12">
        <f t="shared" si="3"/>
        <v>3</v>
      </c>
      <c r="U262" s="12">
        <f t="shared" si="3"/>
        <v>3</v>
      </c>
      <c r="V262" s="12" t="str">
        <f t="shared" si="3"/>
        <v/>
      </c>
      <c r="W262" s="12">
        <f t="shared" si="3"/>
        <v>3</v>
      </c>
      <c r="X262" s="12">
        <f t="shared" si="3"/>
        <v>3</v>
      </c>
    </row>
    <row r="263" spans="1:24">
      <c r="A263" s="9">
        <v>22</v>
      </c>
      <c r="B263" s="12">
        <f t="shared" si="2"/>
        <v>0</v>
      </c>
      <c r="C263" s="12">
        <f t="shared" si="2"/>
        <v>0</v>
      </c>
      <c r="D263" s="12">
        <f t="shared" si="2"/>
        <v>0</v>
      </c>
      <c r="E263" s="12">
        <f t="shared" si="2"/>
        <v>0</v>
      </c>
      <c r="F263" s="12">
        <f t="shared" si="2"/>
        <v>0</v>
      </c>
      <c r="G263" s="12">
        <f t="shared" si="2"/>
        <v>0</v>
      </c>
      <c r="H263" s="12">
        <f t="shared" si="2"/>
        <v>0</v>
      </c>
      <c r="I263" s="12">
        <f t="shared" si="2"/>
        <v>0</v>
      </c>
      <c r="J263" s="12">
        <f t="shared" si="2"/>
        <v>0</v>
      </c>
      <c r="K263" s="12">
        <f t="shared" si="2"/>
        <v>0</v>
      </c>
      <c r="L263" s="12">
        <f t="shared" si="3"/>
        <v>0</v>
      </c>
      <c r="M263" s="12">
        <f t="shared" si="3"/>
        <v>0</v>
      </c>
      <c r="N263" s="12">
        <f t="shared" si="3"/>
        <v>0</v>
      </c>
      <c r="O263" s="12">
        <f t="shared" si="3"/>
        <v>0</v>
      </c>
      <c r="P263" s="12">
        <f t="shared" si="3"/>
        <v>0</v>
      </c>
      <c r="Q263" s="12">
        <f t="shared" si="3"/>
        <v>0</v>
      </c>
      <c r="R263" s="12">
        <f t="shared" si="3"/>
        <v>3</v>
      </c>
      <c r="S263" s="12">
        <f t="shared" si="3"/>
        <v>3</v>
      </c>
      <c r="T263" s="12">
        <f t="shared" si="3"/>
        <v>3</v>
      </c>
      <c r="U263" s="12">
        <f t="shared" si="3"/>
        <v>3</v>
      </c>
      <c r="V263" s="12">
        <f t="shared" si="3"/>
        <v>3</v>
      </c>
      <c r="W263" s="12" t="str">
        <f t="shared" si="3"/>
        <v/>
      </c>
      <c r="X263" s="12">
        <f t="shared" si="3"/>
        <v>3</v>
      </c>
    </row>
    <row r="264" spans="1:24">
      <c r="A264" s="9">
        <v>23</v>
      </c>
      <c r="B264" s="12">
        <f t="shared" si="2"/>
        <v>0</v>
      </c>
      <c r="C264" s="12">
        <f t="shared" si="2"/>
        <v>0</v>
      </c>
      <c r="D264" s="12">
        <f t="shared" si="2"/>
        <v>0</v>
      </c>
      <c r="E264" s="12">
        <f t="shared" si="2"/>
        <v>0</v>
      </c>
      <c r="F264" s="12">
        <f t="shared" si="2"/>
        <v>0</v>
      </c>
      <c r="G264" s="12">
        <f t="shared" si="2"/>
        <v>0</v>
      </c>
      <c r="H264" s="12">
        <f t="shared" si="2"/>
        <v>0</v>
      </c>
      <c r="I264" s="12">
        <f t="shared" si="2"/>
        <v>0</v>
      </c>
      <c r="J264" s="12">
        <f t="shared" si="2"/>
        <v>0</v>
      </c>
      <c r="K264" s="12">
        <f t="shared" si="2"/>
        <v>0</v>
      </c>
      <c r="L264" s="12">
        <f t="shared" si="3"/>
        <v>0</v>
      </c>
      <c r="M264" s="12">
        <f t="shared" si="3"/>
        <v>0</v>
      </c>
      <c r="N264" s="12">
        <f t="shared" si="3"/>
        <v>0</v>
      </c>
      <c r="O264" s="12">
        <f t="shared" si="3"/>
        <v>0</v>
      </c>
      <c r="P264" s="12">
        <f t="shared" si="3"/>
        <v>0</v>
      </c>
      <c r="Q264" s="12">
        <f t="shared" si="3"/>
        <v>0</v>
      </c>
      <c r="R264" s="12">
        <f t="shared" si="3"/>
        <v>3</v>
      </c>
      <c r="S264" s="12">
        <f t="shared" si="3"/>
        <v>3</v>
      </c>
      <c r="T264" s="12">
        <f t="shared" si="3"/>
        <v>3</v>
      </c>
      <c r="U264" s="12">
        <f t="shared" si="3"/>
        <v>3</v>
      </c>
      <c r="V264" s="12">
        <f t="shared" si="3"/>
        <v>3</v>
      </c>
      <c r="W264" s="12">
        <f t="shared" si="3"/>
        <v>3</v>
      </c>
      <c r="X264" s="12" t="str">
        <f t="shared" si="3"/>
        <v/>
      </c>
    </row>
    <row r="265" spans="1:24">
      <c r="A265" s="21" t="s">
        <v>434</v>
      </c>
      <c r="B265" s="18">
        <f>_xlfn.MINIFS(B242:X264,B242:X264,"&gt;0")</f>
        <v>3</v>
      </c>
      <c r="C265" s="5"/>
      <c r="D265" s="5"/>
      <c r="E265" s="5"/>
      <c r="F265" s="5"/>
      <c r="G265" s="5"/>
    </row>
    <row r="266" spans="1:24">
      <c r="A266" s="21" t="s">
        <v>435</v>
      </c>
      <c r="B266" s="18">
        <f>MAX(B242:X264)</f>
        <v>3</v>
      </c>
      <c r="C266" s="5"/>
      <c r="D266" s="5"/>
      <c r="E266" s="5"/>
      <c r="F266" s="5"/>
      <c r="G266" s="5"/>
    </row>
    <row r="267" spans="1:24">
      <c r="A267" s="5"/>
      <c r="B267" s="5"/>
      <c r="C267" s="5"/>
      <c r="D267" s="5"/>
      <c r="E267" s="5"/>
      <c r="F267" s="5"/>
      <c r="G267" s="5"/>
    </row>
    <row r="268" spans="1:24">
      <c r="A268" s="5"/>
      <c r="B268" s="5"/>
      <c r="C268" s="5"/>
      <c r="D268" s="5"/>
      <c r="E268" s="5"/>
      <c r="F268" s="5"/>
      <c r="G268" s="5"/>
    </row>
    <row r="269" spans="1:24">
      <c r="A269" s="5"/>
      <c r="B269" s="5"/>
      <c r="C269" s="5"/>
      <c r="D269" s="5"/>
      <c r="E269" s="5"/>
      <c r="F269" s="5"/>
      <c r="G269" s="5"/>
    </row>
    <row r="270" spans="1:24">
      <c r="A270" s="5"/>
      <c r="B270" s="5"/>
      <c r="C270" s="5"/>
      <c r="D270" s="5"/>
      <c r="E270" s="5"/>
      <c r="F270" s="5"/>
      <c r="G270" s="5"/>
    </row>
    <row r="271" spans="1:24">
      <c r="A271" s="5"/>
      <c r="B271" s="5"/>
      <c r="C271" s="5"/>
      <c r="D271" s="5"/>
      <c r="E271" s="5"/>
      <c r="F271" s="5"/>
      <c r="G271" s="5"/>
    </row>
    <row r="272" spans="1:24">
      <c r="A272" s="5"/>
      <c r="B272" s="5"/>
      <c r="C272" s="5"/>
      <c r="D272" s="5"/>
      <c r="E272" s="5"/>
      <c r="F272" s="5"/>
      <c r="G272" s="5"/>
    </row>
    <row r="273" s="5" customFormat="1"/>
    <row r="274" s="5" customFormat="1"/>
    <row r="275" s="5" customFormat="1"/>
    <row r="276" s="5" customFormat="1"/>
    <row r="277" s="5" customFormat="1"/>
    <row r="278" s="5" customFormat="1"/>
    <row r="279" s="5" customFormat="1"/>
    <row r="280" s="5" customFormat="1"/>
    <row r="281" s="5" customFormat="1"/>
    <row r="282" s="5" customFormat="1"/>
    <row r="283" s="5" customFormat="1"/>
    <row r="284" s="5" customFormat="1"/>
    <row r="285" s="5" customFormat="1"/>
    <row r="286" s="5" customFormat="1"/>
    <row r="287" s="5" customFormat="1"/>
    <row r="288" s="5" customFormat="1"/>
    <row r="289" s="5" customFormat="1"/>
    <row r="290" s="5" customFormat="1"/>
    <row r="291" s="5" customFormat="1"/>
    <row r="292" s="5" customFormat="1"/>
    <row r="293" s="5" customFormat="1"/>
    <row r="294" s="5" customFormat="1"/>
    <row r="295" s="5" customFormat="1"/>
    <row r="296" s="5" customFormat="1"/>
    <row r="297" s="5" customFormat="1"/>
    <row r="298" s="5" customFormat="1"/>
    <row r="299" s="5" customFormat="1"/>
    <row r="300" s="5" customFormat="1"/>
    <row r="301" s="5" customFormat="1"/>
    <row r="302" s="5" customFormat="1"/>
    <row r="303" s="5" customFormat="1"/>
    <row r="304" s="5" customFormat="1"/>
    <row r="305" s="5" customFormat="1"/>
    <row r="306" s="5" customFormat="1"/>
    <row r="307" s="5" customFormat="1"/>
    <row r="308" s="5" customFormat="1"/>
    <row r="309" s="5" customFormat="1"/>
    <row r="310" s="5" customFormat="1"/>
    <row r="311" s="5" customFormat="1"/>
    <row r="312" s="5" customFormat="1"/>
    <row r="313" s="5" customFormat="1"/>
    <row r="314" s="5" customFormat="1"/>
    <row r="315" s="5" customFormat="1"/>
    <row r="316" s="5" customFormat="1"/>
    <row r="317" s="5" customFormat="1"/>
    <row r="318" s="5" customFormat="1"/>
    <row r="319" s="5" customFormat="1"/>
    <row r="320" s="5" customFormat="1"/>
    <row r="321" s="5" customFormat="1"/>
    <row r="322" s="5" customFormat="1"/>
    <row r="323" s="5" customFormat="1"/>
    <row r="324" s="5" customFormat="1"/>
    <row r="325" s="5" customFormat="1"/>
    <row r="326" s="5" customFormat="1"/>
    <row r="327" s="5" customFormat="1"/>
    <row r="328" s="5" customFormat="1"/>
    <row r="329" s="5" customFormat="1"/>
    <row r="330" s="5" customFormat="1"/>
    <row r="331" s="5" customFormat="1"/>
    <row r="332" s="5" customFormat="1"/>
    <row r="333" s="5" customFormat="1"/>
    <row r="334" s="5" customFormat="1"/>
    <row r="335" s="5" customFormat="1"/>
    <row r="336" s="5" customFormat="1"/>
    <row r="337" s="5" customFormat="1"/>
    <row r="338" s="5" customFormat="1"/>
    <row r="339" s="5" customFormat="1"/>
    <row r="340" s="5" customFormat="1"/>
    <row r="341" s="5" customFormat="1"/>
    <row r="342" s="5" customFormat="1"/>
    <row r="343" s="5" customFormat="1"/>
    <row r="344" s="5" customFormat="1"/>
    <row r="345" s="5" customFormat="1"/>
    <row r="346" s="5" customFormat="1"/>
    <row r="347" s="5" customFormat="1"/>
    <row r="348" s="5" customFormat="1"/>
    <row r="349" s="5" customFormat="1"/>
    <row r="350" s="5" customFormat="1"/>
    <row r="351" s="5" customFormat="1"/>
    <row r="352" s="5" customFormat="1"/>
    <row r="353" s="5" customFormat="1"/>
    <row r="354" s="5" customFormat="1"/>
    <row r="355" s="5" customFormat="1"/>
    <row r="356" s="5" customFormat="1"/>
    <row r="357" s="5" customFormat="1"/>
    <row r="358" s="5" customFormat="1"/>
    <row r="359" s="5" customFormat="1"/>
    <row r="360" s="5" customFormat="1"/>
    <row r="361" s="5" customFormat="1"/>
    <row r="362" s="5" customFormat="1"/>
    <row r="363" s="5" customFormat="1"/>
    <row r="364" s="5" customFormat="1"/>
    <row r="365" s="5" customFormat="1"/>
    <row r="366" s="5" customFormat="1"/>
    <row r="367" s="5" customFormat="1"/>
    <row r="368" s="5" customFormat="1"/>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sheetData>
  <mergeCells count="2">
    <mergeCell ref="A1:G1"/>
    <mergeCell ref="A240:X24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38008-67FE-4F26-BD97-64FE1CC16107}">
  <dimension ref="A1:AF801"/>
  <sheetViews>
    <sheetView rightToLeft="1" workbookViewId="0">
      <pane ySplit="3" topLeftCell="A4" activePane="bottomLeft" state="frozen"/>
      <selection sqref="A1:G1"/>
      <selection pane="bottomLeft" sqref="A1:XFD1048576"/>
    </sheetView>
  </sheetViews>
  <sheetFormatPr defaultRowHeight="14.5"/>
  <cols>
    <col min="1" max="1" width="20.1796875" style="15" bestFit="1" customWidth="1"/>
    <col min="2" max="2" width="10.1796875" style="15" bestFit="1" customWidth="1"/>
    <col min="3" max="3" width="5.81640625" style="15" bestFit="1" customWidth="1"/>
    <col min="4" max="4" width="12.90625" style="15" bestFit="1" customWidth="1"/>
    <col min="5" max="5" width="24.9062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72.1796875" style="5" bestFit="1" customWidth="1"/>
    <col min="13" max="13" width="10.1796875" style="5" bestFit="1" customWidth="1"/>
    <col min="14" max="14" width="8.7265625" style="5"/>
    <col min="15" max="15" width="65.36328125" style="5" bestFit="1" customWidth="1"/>
    <col min="16" max="16" width="10.1796875" style="5" bestFit="1" customWidth="1"/>
    <col min="17" max="16384" width="8.7265625" style="5"/>
  </cols>
  <sheetData>
    <row r="1" spans="1:16" ht="18.5">
      <c r="A1" s="49" t="s">
        <v>449</v>
      </c>
      <c r="B1" s="49"/>
      <c r="C1" s="49"/>
      <c r="D1" s="49"/>
      <c r="E1" s="49"/>
      <c r="F1" s="49"/>
      <c r="G1" s="49"/>
      <c r="H1" s="4"/>
      <c r="I1" s="4"/>
      <c r="J1" s="4"/>
      <c r="K1" s="4"/>
      <c r="L1" s="4"/>
      <c r="M1" s="4"/>
      <c r="N1" s="22"/>
      <c r="O1" s="22"/>
      <c r="P1" s="22"/>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16" t="s">
        <v>471</v>
      </c>
    </row>
    <row r="4" spans="1:16">
      <c r="A4" s="11">
        <v>1</v>
      </c>
      <c r="B4" s="12" t="str">
        <f>المدخلات!$F$4</f>
        <v>4:00–5:30 م</v>
      </c>
      <c r="C4" s="12">
        <v>1</v>
      </c>
      <c r="D4" s="12" t="s">
        <v>17</v>
      </c>
      <c r="E4" s="12" t="s">
        <v>44</v>
      </c>
      <c r="F4" s="5"/>
      <c r="G4" s="5"/>
    </row>
    <row r="5" spans="1:16">
      <c r="A5" s="11">
        <v>1</v>
      </c>
      <c r="B5" s="12" t="str">
        <f>المدخلات!$F$4</f>
        <v>4:00–5:30 م</v>
      </c>
      <c r="C5" s="12">
        <v>2</v>
      </c>
      <c r="D5" s="12" t="s">
        <v>17</v>
      </c>
      <c r="E5" s="12" t="s">
        <v>38</v>
      </c>
      <c r="F5" s="5"/>
      <c r="G5" s="5"/>
    </row>
    <row r="6" spans="1:16">
      <c r="A6" s="11">
        <v>1</v>
      </c>
      <c r="B6" s="12" t="str">
        <f>المدخلات!$F$4</f>
        <v>4:00–5:30 م</v>
      </c>
      <c r="C6" s="12">
        <v>3</v>
      </c>
      <c r="D6" s="12" t="s">
        <v>17</v>
      </c>
      <c r="E6" s="12" t="s">
        <v>31</v>
      </c>
      <c r="F6" s="5"/>
      <c r="G6" s="5"/>
    </row>
    <row r="7" spans="1:16">
      <c r="A7" s="11">
        <v>1</v>
      </c>
      <c r="B7" s="12" t="str">
        <f>المدخلات!$F$4</f>
        <v>4:00–5:30 م</v>
      </c>
      <c r="C7" s="12">
        <v>4</v>
      </c>
      <c r="D7" s="12" t="s">
        <v>17</v>
      </c>
      <c r="E7" s="12" t="s">
        <v>32</v>
      </c>
      <c r="F7" s="5"/>
      <c r="G7" s="5"/>
    </row>
    <row r="8" spans="1:16">
      <c r="A8" s="11">
        <v>1</v>
      </c>
      <c r="B8" s="12" t="str">
        <f>المدخلات!$F$4</f>
        <v>4:00–5:30 م</v>
      </c>
      <c r="C8" s="12">
        <v>5</v>
      </c>
      <c r="D8" s="12" t="s">
        <v>89</v>
      </c>
      <c r="E8" s="12" t="s">
        <v>110</v>
      </c>
      <c r="F8" s="5"/>
      <c r="G8" s="5"/>
    </row>
    <row r="9" spans="1:16">
      <c r="A9" s="11">
        <v>1</v>
      </c>
      <c r="B9" s="12" t="str">
        <f>المدخلات!$F$5</f>
        <v>5:40–7:10 م</v>
      </c>
      <c r="C9" s="12">
        <v>1</v>
      </c>
      <c r="D9" s="12" t="s">
        <v>89</v>
      </c>
      <c r="E9" s="12" t="s">
        <v>104</v>
      </c>
      <c r="F9" s="5"/>
      <c r="G9" s="5"/>
    </row>
    <row r="10" spans="1:16">
      <c r="A10" s="11">
        <v>1</v>
      </c>
      <c r="B10" s="12" t="str">
        <f>المدخلات!$F$5</f>
        <v>5:40–7:10 م</v>
      </c>
      <c r="C10" s="12">
        <v>2</v>
      </c>
      <c r="D10" s="12" t="s">
        <v>89</v>
      </c>
      <c r="E10" s="12" t="s">
        <v>103</v>
      </c>
      <c r="F10" s="5"/>
      <c r="G10" s="5"/>
    </row>
    <row r="11" spans="1:16">
      <c r="A11" s="11">
        <v>1</v>
      </c>
      <c r="B11" s="12" t="str">
        <f>المدخلات!$F$5</f>
        <v>5:40–7:10 م</v>
      </c>
      <c r="C11" s="12">
        <v>3</v>
      </c>
      <c r="D11" s="12" t="s">
        <v>89</v>
      </c>
      <c r="E11" s="12" t="s">
        <v>93</v>
      </c>
      <c r="F11" s="5"/>
      <c r="G11" s="5"/>
    </row>
    <row r="12" spans="1:16">
      <c r="A12" s="11">
        <v>1</v>
      </c>
      <c r="B12" s="12" t="str">
        <f>المدخلات!$F$5</f>
        <v>5:40–7:10 م</v>
      </c>
      <c r="C12" s="12">
        <v>4</v>
      </c>
      <c r="D12" s="12" t="s">
        <v>163</v>
      </c>
      <c r="E12" s="12" t="s">
        <v>269</v>
      </c>
      <c r="F12" s="5"/>
      <c r="G12" s="5"/>
    </row>
    <row r="13" spans="1:16">
      <c r="A13" s="11">
        <v>1</v>
      </c>
      <c r="B13" s="12" t="str">
        <f>المدخلات!$F$5</f>
        <v>5:40–7:10 م</v>
      </c>
      <c r="C13" s="12">
        <v>5</v>
      </c>
      <c r="D13" s="12" t="s">
        <v>163</v>
      </c>
      <c r="E13" s="12" t="s">
        <v>264</v>
      </c>
      <c r="F13" s="5"/>
      <c r="G13" s="5"/>
    </row>
    <row r="14" spans="1:16">
      <c r="A14" s="11">
        <v>1</v>
      </c>
      <c r="B14" s="12" t="str">
        <f>المدخلات!$F$6</f>
        <v>7:20–8:50 م</v>
      </c>
      <c r="C14" s="12">
        <v>1</v>
      </c>
      <c r="D14" s="12" t="s">
        <v>163</v>
      </c>
      <c r="E14" s="12" t="s">
        <v>255</v>
      </c>
      <c r="F14" s="5"/>
      <c r="G14" s="5"/>
    </row>
    <row r="15" spans="1:16">
      <c r="A15" s="11">
        <v>1</v>
      </c>
      <c r="B15" s="12" t="str">
        <f>المدخلات!$F$6</f>
        <v>7:20–8:50 م</v>
      </c>
      <c r="C15" s="12">
        <v>2</v>
      </c>
      <c r="D15" s="12" t="s">
        <v>163</v>
      </c>
      <c r="E15" s="12" t="s">
        <v>234</v>
      </c>
      <c r="F15" s="5"/>
      <c r="G15" s="5"/>
    </row>
    <row r="16" spans="1:16">
      <c r="A16" s="11">
        <v>1</v>
      </c>
      <c r="B16" s="12" t="str">
        <f>المدخلات!$F$6</f>
        <v>7:20–8:50 م</v>
      </c>
      <c r="C16" s="12">
        <v>3</v>
      </c>
      <c r="D16" s="12" t="s">
        <v>274</v>
      </c>
      <c r="E16" s="12" t="s">
        <v>302</v>
      </c>
      <c r="F16" s="5"/>
      <c r="G16" s="5"/>
    </row>
    <row r="17" spans="1:5" s="5" customFormat="1">
      <c r="A17" s="11">
        <v>1</v>
      </c>
      <c r="B17" s="12" t="str">
        <f>المدخلات!$F$6</f>
        <v>7:20–8:50 م</v>
      </c>
      <c r="C17" s="12">
        <v>4</v>
      </c>
      <c r="D17" s="12" t="s">
        <v>274</v>
      </c>
      <c r="E17" s="12" t="s">
        <v>294</v>
      </c>
    </row>
    <row r="18" spans="1:5" s="5" customFormat="1">
      <c r="A18" s="11">
        <v>1</v>
      </c>
      <c r="B18" s="12" t="str">
        <f>المدخلات!$F$6</f>
        <v>7:20–8:50 م</v>
      </c>
      <c r="C18" s="12">
        <v>5</v>
      </c>
      <c r="D18" s="12" t="s">
        <v>274</v>
      </c>
      <c r="E18" s="12" t="s">
        <v>289</v>
      </c>
    </row>
    <row r="19" spans="1:5" s="5" customFormat="1">
      <c r="A19" s="11">
        <v>2</v>
      </c>
      <c r="B19" s="12" t="str">
        <f>المدخلات!$F$4</f>
        <v>4:00–5:30 م</v>
      </c>
      <c r="C19" s="12">
        <v>1</v>
      </c>
      <c r="D19" s="12" t="s">
        <v>274</v>
      </c>
      <c r="E19" s="12" t="s">
        <v>286</v>
      </c>
    </row>
    <row r="20" spans="1:5" s="5" customFormat="1">
      <c r="A20" s="11">
        <v>2</v>
      </c>
      <c r="B20" s="12" t="str">
        <f>المدخلات!$F$4</f>
        <v>4:00–5:30 م</v>
      </c>
      <c r="C20" s="12">
        <v>2</v>
      </c>
      <c r="D20" s="12" t="s">
        <v>163</v>
      </c>
      <c r="E20" s="12" t="s">
        <v>410</v>
      </c>
    </row>
    <row r="21" spans="1:5" s="5" customFormat="1">
      <c r="A21" s="11">
        <v>2</v>
      </c>
      <c r="B21" s="12" t="str">
        <f>المدخلات!$F$4</f>
        <v>4:00–5:30 م</v>
      </c>
      <c r="C21" s="12">
        <v>3</v>
      </c>
      <c r="D21" s="12" t="s">
        <v>163</v>
      </c>
      <c r="E21" s="12" t="s">
        <v>235</v>
      </c>
    </row>
    <row r="22" spans="1:5" s="5" customFormat="1">
      <c r="A22" s="11">
        <v>2</v>
      </c>
      <c r="B22" s="12" t="str">
        <f>المدخلات!$F$4</f>
        <v>4:00–5:30 م</v>
      </c>
      <c r="C22" s="12">
        <v>4</v>
      </c>
      <c r="D22" s="12" t="s">
        <v>274</v>
      </c>
      <c r="E22" s="12" t="s">
        <v>290</v>
      </c>
    </row>
    <row r="23" spans="1:5" s="5" customFormat="1">
      <c r="A23" s="11">
        <v>2</v>
      </c>
      <c r="B23" s="12" t="str">
        <f>المدخلات!$F$4</f>
        <v>4:00–5:30 م</v>
      </c>
      <c r="C23" s="12">
        <v>5</v>
      </c>
      <c r="D23" s="12" t="s">
        <v>274</v>
      </c>
      <c r="E23" s="12" t="s">
        <v>303</v>
      </c>
    </row>
    <row r="24" spans="1:5" s="5" customFormat="1">
      <c r="A24" s="11">
        <v>2</v>
      </c>
      <c r="B24" s="12" t="str">
        <f>المدخلات!$F$5</f>
        <v>5:40–7:10 م</v>
      </c>
      <c r="C24" s="12">
        <v>1</v>
      </c>
      <c r="D24" s="12" t="s">
        <v>17</v>
      </c>
      <c r="E24" s="12" t="s">
        <v>19</v>
      </c>
    </row>
    <row r="25" spans="1:5" s="5" customFormat="1">
      <c r="A25" s="11">
        <v>2</v>
      </c>
      <c r="B25" s="12" t="str">
        <f>المدخلات!$F$5</f>
        <v>5:40–7:10 م</v>
      </c>
      <c r="C25" s="12">
        <v>2</v>
      </c>
      <c r="D25" s="12" t="s">
        <v>17</v>
      </c>
      <c r="E25" s="12" t="s">
        <v>20</v>
      </c>
    </row>
    <row r="26" spans="1:5" s="5" customFormat="1">
      <c r="A26" s="11">
        <v>2</v>
      </c>
      <c r="B26" s="12" t="str">
        <f>المدخلات!$F$5</f>
        <v>5:40–7:10 م</v>
      </c>
      <c r="C26" s="12">
        <v>3</v>
      </c>
      <c r="D26" s="12" t="s">
        <v>17</v>
      </c>
      <c r="E26" s="12" t="s">
        <v>39</v>
      </c>
    </row>
    <row r="27" spans="1:5" s="5" customFormat="1">
      <c r="A27" s="11">
        <v>2</v>
      </c>
      <c r="B27" s="12" t="str">
        <f>المدخلات!$F$5</f>
        <v>5:40–7:10 م</v>
      </c>
      <c r="C27" s="12">
        <v>4</v>
      </c>
      <c r="D27" s="12" t="s">
        <v>17</v>
      </c>
      <c r="E27" s="12" t="s">
        <v>405</v>
      </c>
    </row>
    <row r="28" spans="1:5" s="5" customFormat="1">
      <c r="A28" s="11">
        <v>2</v>
      </c>
      <c r="B28" s="12" t="str">
        <f>المدخلات!$F$5</f>
        <v>5:40–7:10 م</v>
      </c>
      <c r="C28" s="12">
        <v>5</v>
      </c>
      <c r="D28" s="12" t="s">
        <v>163</v>
      </c>
      <c r="E28" s="12" t="s">
        <v>214</v>
      </c>
    </row>
    <row r="29" spans="1:5" s="5" customFormat="1">
      <c r="A29" s="11">
        <v>2</v>
      </c>
      <c r="B29" s="12" t="str">
        <f>المدخلات!$F$6</f>
        <v>7:20–8:50 م</v>
      </c>
      <c r="C29" s="12">
        <v>1</v>
      </c>
      <c r="D29" s="12" t="s">
        <v>89</v>
      </c>
      <c r="E29" s="12" t="s">
        <v>407</v>
      </c>
    </row>
    <row r="30" spans="1:5" s="5" customFormat="1">
      <c r="A30" s="11">
        <v>2</v>
      </c>
      <c r="B30" s="12" t="str">
        <f>المدخلات!$F$6</f>
        <v>7:20–8:50 م</v>
      </c>
      <c r="C30" s="12">
        <v>2</v>
      </c>
      <c r="D30" s="12" t="s">
        <v>89</v>
      </c>
      <c r="E30" s="12" t="s">
        <v>105</v>
      </c>
    </row>
    <row r="31" spans="1:5" s="5" customFormat="1">
      <c r="A31" s="11">
        <v>2</v>
      </c>
      <c r="B31" s="12" t="str">
        <f>المدخلات!$F$6</f>
        <v>7:20–8:50 م</v>
      </c>
      <c r="C31" s="12">
        <v>3</v>
      </c>
      <c r="D31" s="12" t="s">
        <v>163</v>
      </c>
      <c r="E31" s="12" t="s">
        <v>265</v>
      </c>
    </row>
    <row r="32" spans="1:5" s="5" customFormat="1">
      <c r="A32" s="11">
        <v>2</v>
      </c>
      <c r="B32" s="12" t="str">
        <f>المدخلات!$F$6</f>
        <v>7:20–8:50 م</v>
      </c>
      <c r="C32" s="12">
        <v>4</v>
      </c>
      <c r="D32" s="12" t="s">
        <v>89</v>
      </c>
      <c r="E32" s="12" t="s">
        <v>94</v>
      </c>
    </row>
    <row r="33" spans="1:5" s="5" customFormat="1">
      <c r="A33" s="11">
        <v>2</v>
      </c>
      <c r="B33" s="12" t="str">
        <f>المدخلات!$F$6</f>
        <v>7:20–8:50 م</v>
      </c>
      <c r="C33" s="12">
        <v>5</v>
      </c>
      <c r="D33" s="12" t="s">
        <v>89</v>
      </c>
      <c r="E33" s="12" t="s">
        <v>84</v>
      </c>
    </row>
    <row r="34" spans="1:5" s="5" customFormat="1">
      <c r="A34" s="11">
        <v>3</v>
      </c>
      <c r="B34" s="12" t="str">
        <f>المدخلات!$F$4</f>
        <v>4:00–5:30 م</v>
      </c>
      <c r="C34" s="12">
        <v>1</v>
      </c>
      <c r="D34" s="12" t="s">
        <v>163</v>
      </c>
      <c r="E34" s="12" t="s">
        <v>412</v>
      </c>
    </row>
    <row r="35" spans="1:5" s="5" customFormat="1">
      <c r="A35" s="11">
        <v>3</v>
      </c>
      <c r="B35" s="12" t="str">
        <f>المدخلات!$F$4</f>
        <v>4:00–5:30 م</v>
      </c>
      <c r="C35" s="12">
        <v>2</v>
      </c>
      <c r="D35" s="12" t="s">
        <v>163</v>
      </c>
      <c r="E35" s="12" t="s">
        <v>192</v>
      </c>
    </row>
    <row r="36" spans="1:5" s="5" customFormat="1">
      <c r="A36" s="11">
        <v>3</v>
      </c>
      <c r="B36" s="12" t="str">
        <f>المدخلات!$F$4</f>
        <v>4:00–5:30 م</v>
      </c>
      <c r="C36" s="12">
        <v>3</v>
      </c>
      <c r="D36" s="12" t="s">
        <v>89</v>
      </c>
      <c r="E36" s="12" t="s">
        <v>74</v>
      </c>
    </row>
    <row r="37" spans="1:5" s="5" customFormat="1">
      <c r="A37" s="11">
        <v>3</v>
      </c>
      <c r="B37" s="12" t="str">
        <f>المدخلات!$F$4</f>
        <v>4:00–5:30 م</v>
      </c>
      <c r="C37" s="12">
        <v>4</v>
      </c>
      <c r="D37" s="12" t="s">
        <v>89</v>
      </c>
      <c r="E37" s="12" t="s">
        <v>98</v>
      </c>
    </row>
    <row r="38" spans="1:5" s="5" customFormat="1">
      <c r="A38" s="11">
        <v>3</v>
      </c>
      <c r="B38" s="12" t="str">
        <f>المدخلات!$F$4</f>
        <v>4:00–5:30 م</v>
      </c>
      <c r="C38" s="12">
        <v>5</v>
      </c>
      <c r="D38" s="12" t="s">
        <v>89</v>
      </c>
      <c r="E38" s="12" t="s">
        <v>409</v>
      </c>
    </row>
    <row r="39" spans="1:5" s="5" customFormat="1">
      <c r="A39" s="11">
        <v>3</v>
      </c>
      <c r="B39" s="12" t="str">
        <f>المدخلات!$F$5</f>
        <v>5:40–7:10 م</v>
      </c>
      <c r="C39" s="12">
        <v>1</v>
      </c>
      <c r="D39" s="12" t="s">
        <v>274</v>
      </c>
      <c r="E39" s="12" t="s">
        <v>395</v>
      </c>
    </row>
    <row r="40" spans="1:5" s="5" customFormat="1">
      <c r="A40" s="11">
        <v>3</v>
      </c>
      <c r="B40" s="12" t="str">
        <f>المدخلات!$F$5</f>
        <v>5:40–7:10 م</v>
      </c>
      <c r="C40" s="12">
        <v>2</v>
      </c>
      <c r="D40" s="12" t="s">
        <v>274</v>
      </c>
      <c r="E40" s="12" t="s">
        <v>281</v>
      </c>
    </row>
    <row r="41" spans="1:5" s="5" customFormat="1">
      <c r="A41" s="11">
        <v>3</v>
      </c>
      <c r="B41" s="12" t="str">
        <f>المدخلات!$F$5</f>
        <v>5:40–7:10 م</v>
      </c>
      <c r="C41" s="12">
        <v>3</v>
      </c>
      <c r="D41" s="12" t="s">
        <v>274</v>
      </c>
      <c r="E41" s="12" t="s">
        <v>292</v>
      </c>
    </row>
    <row r="42" spans="1:5" s="5" customFormat="1">
      <c r="A42" s="11">
        <v>3</v>
      </c>
      <c r="B42" s="12" t="str">
        <f>المدخلات!$F$5</f>
        <v>5:40–7:10 م</v>
      </c>
      <c r="C42" s="12">
        <v>4</v>
      </c>
      <c r="D42" s="12" t="s">
        <v>89</v>
      </c>
      <c r="E42" s="12" t="s">
        <v>411</v>
      </c>
    </row>
    <row r="43" spans="1:5" s="5" customFormat="1">
      <c r="A43" s="11">
        <v>3</v>
      </c>
      <c r="B43" s="12" t="str">
        <f>المدخلات!$F$5</f>
        <v>5:40–7:10 م</v>
      </c>
      <c r="C43" s="12">
        <v>5</v>
      </c>
      <c r="D43" s="12" t="s">
        <v>163</v>
      </c>
      <c r="E43" s="12" t="s">
        <v>256</v>
      </c>
    </row>
    <row r="44" spans="1:5" s="5" customFormat="1">
      <c r="A44" s="11">
        <v>3</v>
      </c>
      <c r="B44" s="12" t="str">
        <f>المدخلات!$F$6</f>
        <v>7:20–8:50 م</v>
      </c>
      <c r="C44" s="12">
        <v>1</v>
      </c>
      <c r="D44" s="12" t="s">
        <v>163</v>
      </c>
      <c r="E44" s="12" t="s">
        <v>413</v>
      </c>
    </row>
    <row r="45" spans="1:5" s="5" customFormat="1">
      <c r="A45" s="11">
        <v>3</v>
      </c>
      <c r="B45" s="12" t="str">
        <f>المدخلات!$F$6</f>
        <v>7:20–8:50 م</v>
      </c>
      <c r="C45" s="12">
        <v>2</v>
      </c>
      <c r="D45" s="12" t="s">
        <v>17</v>
      </c>
      <c r="E45" s="12" t="s">
        <v>18</v>
      </c>
    </row>
    <row r="46" spans="1:5" s="5" customFormat="1">
      <c r="A46" s="11">
        <v>3</v>
      </c>
      <c r="B46" s="12" t="str">
        <f>المدخلات!$F$6</f>
        <v>7:20–8:50 م</v>
      </c>
      <c r="C46" s="12">
        <v>3</v>
      </c>
      <c r="D46" s="12" t="s">
        <v>17</v>
      </c>
      <c r="E46" s="12" t="s">
        <v>406</v>
      </c>
    </row>
    <row r="47" spans="1:5" s="5" customFormat="1">
      <c r="A47" s="11">
        <v>3</v>
      </c>
      <c r="B47" s="12" t="str">
        <f>المدخلات!$F$6</f>
        <v>7:20–8:50 م</v>
      </c>
      <c r="C47" s="12">
        <v>4</v>
      </c>
      <c r="D47" s="12" t="s">
        <v>17</v>
      </c>
      <c r="E47" s="12" t="s">
        <v>23</v>
      </c>
    </row>
    <row r="48" spans="1:5" s="5" customFormat="1">
      <c r="A48" s="11">
        <v>3</v>
      </c>
      <c r="B48" s="12" t="str">
        <f>المدخلات!$F$6</f>
        <v>7:20–8:50 م</v>
      </c>
      <c r="C48" s="12">
        <v>5</v>
      </c>
      <c r="D48" s="12" t="s">
        <v>17</v>
      </c>
      <c r="E48" s="12" t="s">
        <v>365</v>
      </c>
    </row>
    <row r="49" spans="1:5" s="5" customFormat="1">
      <c r="A49" s="11">
        <v>4</v>
      </c>
      <c r="B49" s="12" t="str">
        <f>المدخلات!$F$4</f>
        <v>4:00–5:30 م</v>
      </c>
      <c r="C49" s="12">
        <v>1</v>
      </c>
      <c r="D49" s="12" t="s">
        <v>17</v>
      </c>
      <c r="E49" s="12" t="s">
        <v>375</v>
      </c>
    </row>
    <row r="50" spans="1:5" s="5" customFormat="1">
      <c r="A50" s="11">
        <v>4</v>
      </c>
      <c r="B50" s="12" t="str">
        <f>المدخلات!$F$4</f>
        <v>4:00–5:30 م</v>
      </c>
      <c r="C50" s="12">
        <v>2</v>
      </c>
      <c r="D50" s="12" t="s">
        <v>274</v>
      </c>
      <c r="E50" s="12" t="s">
        <v>396</v>
      </c>
    </row>
    <row r="51" spans="1:5" s="5" customFormat="1">
      <c r="A51" s="11">
        <v>4</v>
      </c>
      <c r="B51" s="12" t="str">
        <f>المدخلات!$F$4</f>
        <v>4:00–5:30 م</v>
      </c>
      <c r="C51" s="12">
        <v>3</v>
      </c>
      <c r="D51" s="12" t="s">
        <v>89</v>
      </c>
      <c r="E51" s="12" t="s">
        <v>366</v>
      </c>
    </row>
    <row r="52" spans="1:5" s="5" customFormat="1">
      <c r="A52" s="11">
        <v>4</v>
      </c>
      <c r="B52" s="12" t="str">
        <f>المدخلات!$F$4</f>
        <v>4:00–5:30 م</v>
      </c>
      <c r="C52" s="12">
        <v>4</v>
      </c>
      <c r="D52" s="12" t="s">
        <v>163</v>
      </c>
      <c r="E52" s="12" t="s">
        <v>416</v>
      </c>
    </row>
    <row r="53" spans="1:5" s="5" customFormat="1">
      <c r="A53" s="11">
        <v>4</v>
      </c>
      <c r="B53" s="12" t="str">
        <f>المدخلات!$F$4</f>
        <v>4:00–5:30 م</v>
      </c>
      <c r="C53" s="12">
        <v>5</v>
      </c>
      <c r="D53" s="12" t="s">
        <v>17</v>
      </c>
      <c r="E53" s="12" t="s">
        <v>408</v>
      </c>
    </row>
    <row r="54" spans="1:5" s="5" customFormat="1">
      <c r="A54" s="11">
        <v>4</v>
      </c>
      <c r="B54" s="12" t="str">
        <f>المدخلات!$F$5</f>
        <v>5:40–7:10 م</v>
      </c>
      <c r="C54" s="12">
        <v>1</v>
      </c>
      <c r="D54" s="12" t="s">
        <v>89</v>
      </c>
      <c r="E54" s="12" t="s">
        <v>92</v>
      </c>
    </row>
    <row r="55" spans="1:5" s="5" customFormat="1">
      <c r="A55" s="11">
        <v>4</v>
      </c>
      <c r="B55" s="12" t="str">
        <f>المدخلات!$F$5</f>
        <v>5:40–7:10 م</v>
      </c>
      <c r="C55" s="12">
        <v>2</v>
      </c>
      <c r="D55" s="12" t="s">
        <v>89</v>
      </c>
      <c r="E55" s="12" t="s">
        <v>415</v>
      </c>
    </row>
    <row r="56" spans="1:5" s="5" customFormat="1">
      <c r="A56" s="11">
        <v>4</v>
      </c>
      <c r="B56" s="12" t="str">
        <f>المدخلات!$F$5</f>
        <v>5:40–7:10 م</v>
      </c>
      <c r="C56" s="12">
        <v>3</v>
      </c>
      <c r="D56" s="12" t="s">
        <v>17</v>
      </c>
      <c r="E56" s="12" t="s">
        <v>21</v>
      </c>
    </row>
    <row r="57" spans="1:5" s="5" customFormat="1">
      <c r="A57" s="11">
        <v>4</v>
      </c>
      <c r="B57" s="12" t="str">
        <f>المدخلات!$F$5</f>
        <v>5:40–7:10 م</v>
      </c>
      <c r="C57" s="12">
        <v>4</v>
      </c>
      <c r="D57" s="12" t="s">
        <v>163</v>
      </c>
      <c r="E57" s="12" t="s">
        <v>417</v>
      </c>
    </row>
    <row r="58" spans="1:5" s="5" customFormat="1">
      <c r="A58" s="11">
        <v>4</v>
      </c>
      <c r="B58" s="12" t="str">
        <f>المدخلات!$F$5</f>
        <v>5:40–7:10 م</v>
      </c>
      <c r="C58" s="12">
        <v>5</v>
      </c>
      <c r="D58" s="12" t="s">
        <v>17</v>
      </c>
      <c r="E58" s="12" t="s">
        <v>370</v>
      </c>
    </row>
    <row r="59" spans="1:5" s="5" customFormat="1">
      <c r="A59" s="11">
        <v>4</v>
      </c>
      <c r="B59" s="12" t="str">
        <f>المدخلات!$F$6</f>
        <v>7:20–8:50 م</v>
      </c>
      <c r="C59" s="12">
        <v>1</v>
      </c>
      <c r="D59" s="12" t="s">
        <v>163</v>
      </c>
      <c r="E59" s="12" t="s">
        <v>226</v>
      </c>
    </row>
    <row r="60" spans="1:5" s="5" customFormat="1">
      <c r="A60" s="11">
        <v>4</v>
      </c>
      <c r="B60" s="12" t="str">
        <f>المدخلات!$F$6</f>
        <v>7:20–8:50 م</v>
      </c>
      <c r="C60" s="12">
        <v>2</v>
      </c>
      <c r="D60" s="12" t="s">
        <v>274</v>
      </c>
      <c r="E60" s="12" t="s">
        <v>288</v>
      </c>
    </row>
    <row r="61" spans="1:5" s="5" customFormat="1">
      <c r="A61" s="11">
        <v>4</v>
      </c>
      <c r="B61" s="12" t="str">
        <f>المدخلات!$F$6</f>
        <v>7:20–8:50 م</v>
      </c>
      <c r="C61" s="12">
        <v>3</v>
      </c>
      <c r="D61" s="12" t="s">
        <v>163</v>
      </c>
      <c r="E61" s="12" t="s">
        <v>418</v>
      </c>
    </row>
    <row r="62" spans="1:5" s="5" customFormat="1">
      <c r="A62" s="11">
        <v>4</v>
      </c>
      <c r="B62" s="12" t="str">
        <f>المدخلات!$F$6</f>
        <v>7:20–8:50 م</v>
      </c>
      <c r="C62" s="12">
        <v>4</v>
      </c>
      <c r="D62" s="12" t="s">
        <v>89</v>
      </c>
      <c r="E62" s="12" t="s">
        <v>414</v>
      </c>
    </row>
    <row r="63" spans="1:5" s="5" customFormat="1">
      <c r="A63" s="11">
        <v>4</v>
      </c>
      <c r="B63" s="12" t="str">
        <f>المدخلات!$F$6</f>
        <v>7:20–8:50 م</v>
      </c>
      <c r="C63" s="12">
        <v>5</v>
      </c>
      <c r="D63" s="12" t="s">
        <v>274</v>
      </c>
      <c r="E63" s="12" t="s">
        <v>397</v>
      </c>
    </row>
    <row r="64" spans="1:5" s="5" customFormat="1">
      <c r="A64" s="11">
        <v>5</v>
      </c>
      <c r="B64" s="12" t="str">
        <f>المدخلات!$F$4</f>
        <v>4:00–5:30 م</v>
      </c>
      <c r="C64" s="12">
        <v>1</v>
      </c>
      <c r="D64" s="12" t="s">
        <v>89</v>
      </c>
      <c r="E64" s="12" t="s">
        <v>371</v>
      </c>
    </row>
    <row r="65" spans="1:5" s="5" customFormat="1">
      <c r="A65" s="11">
        <v>5</v>
      </c>
      <c r="B65" s="12" t="str">
        <f>المدخلات!$F$4</f>
        <v>4:00–5:30 م</v>
      </c>
      <c r="C65" s="12">
        <v>2</v>
      </c>
      <c r="D65" s="12" t="s">
        <v>163</v>
      </c>
      <c r="E65" s="12" t="s">
        <v>215</v>
      </c>
    </row>
    <row r="66" spans="1:5" s="5" customFormat="1">
      <c r="A66" s="11">
        <v>5</v>
      </c>
      <c r="B66" s="12" t="str">
        <f>المدخلات!$F$4</f>
        <v>4:00–5:30 م</v>
      </c>
      <c r="C66" s="12">
        <v>3</v>
      </c>
      <c r="D66" s="12" t="s">
        <v>89</v>
      </c>
      <c r="E66" s="12" t="s">
        <v>114</v>
      </c>
    </row>
    <row r="67" spans="1:5" s="5" customFormat="1">
      <c r="A67" s="11">
        <v>5</v>
      </c>
      <c r="B67" s="12" t="str">
        <f>المدخلات!$F$4</f>
        <v>4:00–5:30 م</v>
      </c>
      <c r="C67" s="12">
        <v>4</v>
      </c>
      <c r="D67" s="12" t="s">
        <v>17</v>
      </c>
      <c r="E67" s="12" t="s">
        <v>24</v>
      </c>
    </row>
    <row r="68" spans="1:5" s="5" customFormat="1">
      <c r="A68" s="11">
        <v>5</v>
      </c>
      <c r="B68" s="12" t="str">
        <f>المدخلات!$F$4</f>
        <v>4:00–5:30 م</v>
      </c>
      <c r="C68" s="12">
        <v>5</v>
      </c>
      <c r="D68" s="12" t="s">
        <v>163</v>
      </c>
      <c r="E68" s="12" t="s">
        <v>271</v>
      </c>
    </row>
    <row r="69" spans="1:5" s="5" customFormat="1">
      <c r="A69" s="11">
        <v>5</v>
      </c>
      <c r="B69" s="12" t="str">
        <f>المدخلات!$F$5</f>
        <v>5:40–7:10 م</v>
      </c>
      <c r="C69" s="12">
        <v>1</v>
      </c>
      <c r="D69" s="12" t="s">
        <v>274</v>
      </c>
      <c r="E69" s="12" t="s">
        <v>401</v>
      </c>
    </row>
    <row r="70" spans="1:5" s="5" customFormat="1">
      <c r="A70" s="11">
        <v>5</v>
      </c>
      <c r="B70" s="12" t="str">
        <f>المدخلات!$F$5</f>
        <v>5:40–7:10 م</v>
      </c>
      <c r="C70" s="12">
        <v>2</v>
      </c>
      <c r="D70" s="12" t="s">
        <v>17</v>
      </c>
      <c r="E70" s="12" t="s">
        <v>48</v>
      </c>
    </row>
    <row r="71" spans="1:5" s="5" customFormat="1">
      <c r="A71" s="11">
        <v>5</v>
      </c>
      <c r="B71" s="12" t="str">
        <f>المدخلات!$F$5</f>
        <v>5:40–7:10 م</v>
      </c>
      <c r="C71" s="12">
        <v>3</v>
      </c>
      <c r="D71" s="12" t="s">
        <v>274</v>
      </c>
      <c r="E71" s="12" t="s">
        <v>400</v>
      </c>
    </row>
    <row r="72" spans="1:5" s="5" customFormat="1">
      <c r="A72" s="11">
        <v>5</v>
      </c>
      <c r="B72" s="12" t="str">
        <f>المدخلات!$F$5</f>
        <v>5:40–7:10 م</v>
      </c>
      <c r="C72" s="12">
        <v>4</v>
      </c>
      <c r="D72" s="12" t="s">
        <v>274</v>
      </c>
      <c r="E72" s="12" t="s">
        <v>287</v>
      </c>
    </row>
    <row r="73" spans="1:5" s="5" customFormat="1">
      <c r="A73" s="11">
        <v>5</v>
      </c>
      <c r="B73" s="12" t="str">
        <f>المدخلات!$F$5</f>
        <v>5:40–7:10 م</v>
      </c>
      <c r="C73" s="12">
        <v>5</v>
      </c>
      <c r="D73" s="12" t="s">
        <v>163</v>
      </c>
      <c r="E73" s="12" t="s">
        <v>367</v>
      </c>
    </row>
    <row r="74" spans="1:5" s="5" customFormat="1">
      <c r="A74" s="11">
        <v>5</v>
      </c>
      <c r="B74" s="12" t="str">
        <f>المدخلات!$F$6</f>
        <v>7:20–8:50 م</v>
      </c>
      <c r="C74" s="12">
        <v>1</v>
      </c>
      <c r="D74" s="12" t="s">
        <v>89</v>
      </c>
      <c r="E74" s="12" t="s">
        <v>85</v>
      </c>
    </row>
    <row r="75" spans="1:5" s="5" customFormat="1">
      <c r="A75" s="11">
        <v>5</v>
      </c>
      <c r="B75" s="12" t="str">
        <f>المدخلات!$F$6</f>
        <v>7:20–8:50 م</v>
      </c>
      <c r="C75" s="12">
        <v>2</v>
      </c>
      <c r="D75" s="12" t="s">
        <v>17</v>
      </c>
      <c r="E75" s="12" t="s">
        <v>380</v>
      </c>
    </row>
    <row r="76" spans="1:5" s="5" customFormat="1">
      <c r="A76" s="11">
        <v>5</v>
      </c>
      <c r="B76" s="12" t="str">
        <f>المدخلات!$F$6</f>
        <v>7:20–8:50 م</v>
      </c>
      <c r="C76" s="12">
        <v>3</v>
      </c>
      <c r="D76" s="12" t="s">
        <v>17</v>
      </c>
      <c r="E76" s="12" t="s">
        <v>385</v>
      </c>
    </row>
    <row r="77" spans="1:5" s="5" customFormat="1">
      <c r="A77" s="11">
        <v>5</v>
      </c>
      <c r="B77" s="12" t="str">
        <f>المدخلات!$F$6</f>
        <v>7:20–8:50 م</v>
      </c>
      <c r="C77" s="12">
        <v>4</v>
      </c>
      <c r="D77" s="12" t="s">
        <v>163</v>
      </c>
      <c r="E77" s="12" t="s">
        <v>419</v>
      </c>
    </row>
    <row r="78" spans="1:5" s="5" customFormat="1">
      <c r="A78" s="11">
        <v>5</v>
      </c>
      <c r="B78" s="12" t="str">
        <f>المدخلات!$F$6</f>
        <v>7:20–8:50 م</v>
      </c>
      <c r="C78" s="12">
        <v>5</v>
      </c>
      <c r="D78" s="12" t="s">
        <v>89</v>
      </c>
      <c r="E78" s="12" t="s">
        <v>376</v>
      </c>
    </row>
    <row r="79" spans="1:5" s="5" customFormat="1">
      <c r="A79" s="11">
        <v>6</v>
      </c>
      <c r="B79" s="12" t="str">
        <f>المدخلات!$F$4</f>
        <v>4:00–5:30 م</v>
      </c>
      <c r="C79" s="12">
        <v>1</v>
      </c>
      <c r="D79" s="12" t="s">
        <v>274</v>
      </c>
      <c r="E79" s="12" t="s">
        <v>280</v>
      </c>
    </row>
    <row r="80" spans="1:5" s="5" customFormat="1">
      <c r="A80" s="11">
        <v>6</v>
      </c>
      <c r="B80" s="12" t="str">
        <f>المدخلات!$F$4</f>
        <v>4:00–5:30 م</v>
      </c>
      <c r="C80" s="12">
        <v>2</v>
      </c>
      <c r="D80" s="12" t="s">
        <v>89</v>
      </c>
      <c r="E80" s="12" t="s">
        <v>381</v>
      </c>
    </row>
    <row r="81" spans="1:5" s="5" customFormat="1">
      <c r="A81" s="11">
        <v>6</v>
      </c>
      <c r="B81" s="12" t="str">
        <f>المدخلات!$F$4</f>
        <v>4:00–5:30 م</v>
      </c>
      <c r="C81" s="12">
        <v>3</v>
      </c>
      <c r="D81" s="12" t="s">
        <v>163</v>
      </c>
      <c r="E81" s="12" t="s">
        <v>178</v>
      </c>
    </row>
    <row r="82" spans="1:5" s="5" customFormat="1">
      <c r="A82" s="11">
        <v>6</v>
      </c>
      <c r="B82" s="12" t="str">
        <f>المدخلات!$F$4</f>
        <v>4:00–5:30 م</v>
      </c>
      <c r="C82" s="12">
        <v>4</v>
      </c>
      <c r="D82" s="12" t="s">
        <v>274</v>
      </c>
      <c r="E82" s="12" t="s">
        <v>305</v>
      </c>
    </row>
    <row r="83" spans="1:5" s="5" customFormat="1">
      <c r="A83" s="11">
        <v>6</v>
      </c>
      <c r="B83" s="12" t="str">
        <f>المدخلات!$F$4</f>
        <v>4:00–5:30 م</v>
      </c>
      <c r="C83" s="12">
        <v>5</v>
      </c>
      <c r="D83" s="12" t="s">
        <v>17</v>
      </c>
      <c r="E83" s="12" t="s">
        <v>49</v>
      </c>
    </row>
    <row r="84" spans="1:5" s="5" customFormat="1">
      <c r="A84" s="11">
        <v>6</v>
      </c>
      <c r="B84" s="12" t="str">
        <f>المدخلات!$F$5</f>
        <v>5:40–7:10 م</v>
      </c>
      <c r="C84" s="12">
        <v>1</v>
      </c>
      <c r="D84" s="12" t="s">
        <v>163</v>
      </c>
      <c r="E84" s="12" t="s">
        <v>372</v>
      </c>
    </row>
    <row r="85" spans="1:5" s="5" customFormat="1">
      <c r="A85" s="11">
        <v>6</v>
      </c>
      <c r="B85" s="12" t="str">
        <f>المدخلات!$F$5</f>
        <v>5:40–7:10 م</v>
      </c>
      <c r="C85" s="12">
        <v>2</v>
      </c>
      <c r="D85" s="12" t="s">
        <v>89</v>
      </c>
      <c r="E85" s="12" t="s">
        <v>108</v>
      </c>
    </row>
    <row r="86" spans="1:5" s="5" customFormat="1">
      <c r="A86" s="11">
        <v>6</v>
      </c>
      <c r="B86" s="12" t="str">
        <f>المدخلات!$F$5</f>
        <v>5:40–7:10 م</v>
      </c>
      <c r="C86" s="12">
        <v>3</v>
      </c>
      <c r="D86" s="12" t="s">
        <v>89</v>
      </c>
      <c r="E86" s="12" t="s">
        <v>70</v>
      </c>
    </row>
    <row r="87" spans="1:5" s="5" customFormat="1">
      <c r="A87" s="11">
        <v>6</v>
      </c>
      <c r="B87" s="12" t="str">
        <f>المدخلات!$F$5</f>
        <v>5:40–7:10 م</v>
      </c>
      <c r="C87" s="12">
        <v>4</v>
      </c>
      <c r="D87" s="12" t="s">
        <v>163</v>
      </c>
      <c r="E87" s="12" t="s">
        <v>272</v>
      </c>
    </row>
    <row r="88" spans="1:5" s="5" customFormat="1">
      <c r="A88" s="11">
        <v>6</v>
      </c>
      <c r="B88" s="12" t="str">
        <f>المدخلات!$F$5</f>
        <v>5:40–7:10 م</v>
      </c>
      <c r="C88" s="12">
        <v>5</v>
      </c>
      <c r="D88" s="12" t="s">
        <v>17</v>
      </c>
      <c r="E88" s="12" t="s">
        <v>27</v>
      </c>
    </row>
    <row r="89" spans="1:5" s="5" customFormat="1">
      <c r="A89" s="11">
        <v>6</v>
      </c>
      <c r="B89" s="12" t="str">
        <f>المدخلات!$F$6</f>
        <v>7:20–8:50 م</v>
      </c>
      <c r="C89" s="12">
        <v>1</v>
      </c>
      <c r="D89" s="12" t="s">
        <v>17</v>
      </c>
      <c r="E89" s="12" t="s">
        <v>390</v>
      </c>
    </row>
    <row r="90" spans="1:5" s="5" customFormat="1">
      <c r="A90" s="11">
        <v>6</v>
      </c>
      <c r="B90" s="12" t="str">
        <f>المدخلات!$F$6</f>
        <v>7:20–8:50 م</v>
      </c>
      <c r="C90" s="12">
        <v>2</v>
      </c>
      <c r="D90" s="12" t="s">
        <v>89</v>
      </c>
      <c r="E90" s="12" t="s">
        <v>115</v>
      </c>
    </row>
    <row r="91" spans="1:5" s="5" customFormat="1">
      <c r="A91" s="11">
        <v>6</v>
      </c>
      <c r="B91" s="12" t="str">
        <f>المدخلات!$F$6</f>
        <v>7:20–8:50 م</v>
      </c>
      <c r="C91" s="12">
        <v>3</v>
      </c>
      <c r="D91" s="12" t="s">
        <v>163</v>
      </c>
      <c r="E91" s="12" t="s">
        <v>267</v>
      </c>
    </row>
    <row r="92" spans="1:5" s="5" customFormat="1">
      <c r="A92" s="11">
        <v>6</v>
      </c>
      <c r="B92" s="12" t="str">
        <f>المدخلات!$F$6</f>
        <v>7:20–8:50 م</v>
      </c>
      <c r="C92" s="12">
        <v>4</v>
      </c>
      <c r="D92" s="12" t="s">
        <v>17</v>
      </c>
      <c r="E92" s="12" t="s">
        <v>42</v>
      </c>
    </row>
    <row r="93" spans="1:5" s="5" customFormat="1">
      <c r="A93" s="11">
        <v>6</v>
      </c>
      <c r="B93" s="12" t="str">
        <f>المدخلات!$F$6</f>
        <v>7:20–8:50 م</v>
      </c>
      <c r="C93" s="12">
        <v>5</v>
      </c>
      <c r="D93" s="12" t="s">
        <v>274</v>
      </c>
      <c r="E93" s="12" t="s">
        <v>368</v>
      </c>
    </row>
    <row r="94" spans="1:5" s="5" customFormat="1">
      <c r="A94" s="11">
        <v>7</v>
      </c>
      <c r="B94" s="12" t="str">
        <f>المدخلات!$F$4</f>
        <v>4:00–5:30 م</v>
      </c>
      <c r="C94" s="12">
        <v>1</v>
      </c>
      <c r="D94" s="12" t="s">
        <v>17</v>
      </c>
      <c r="E94" s="12" t="s">
        <v>29</v>
      </c>
    </row>
    <row r="95" spans="1:5" s="5" customFormat="1">
      <c r="A95" s="11">
        <v>7</v>
      </c>
      <c r="B95" s="12" t="str">
        <f>المدخلات!$F$4</f>
        <v>4:00–5:30 م</v>
      </c>
      <c r="C95" s="12">
        <v>2</v>
      </c>
      <c r="D95" s="12" t="s">
        <v>17</v>
      </c>
      <c r="E95" s="12" t="s">
        <v>30</v>
      </c>
    </row>
    <row r="96" spans="1:5" s="5" customFormat="1">
      <c r="A96" s="11">
        <v>7</v>
      </c>
      <c r="B96" s="12" t="str">
        <f>المدخلات!$F$4</f>
        <v>4:00–5:30 م</v>
      </c>
      <c r="C96" s="12">
        <v>3</v>
      </c>
      <c r="D96" s="12" t="s">
        <v>17</v>
      </c>
      <c r="E96" s="12" t="s">
        <v>43</v>
      </c>
    </row>
    <row r="97" spans="1:5" s="5" customFormat="1">
      <c r="A97" s="11">
        <v>7</v>
      </c>
      <c r="B97" s="12" t="str">
        <f>المدخلات!$F$4</f>
        <v>4:00–5:30 م</v>
      </c>
      <c r="C97" s="12">
        <v>4</v>
      </c>
      <c r="D97" s="12" t="s">
        <v>89</v>
      </c>
      <c r="E97" s="12" t="s">
        <v>64</v>
      </c>
    </row>
    <row r="98" spans="1:5" s="5" customFormat="1">
      <c r="A98" s="11">
        <v>7</v>
      </c>
      <c r="B98" s="12" t="str">
        <f>المدخلات!$F$4</f>
        <v>4:00–5:30 م</v>
      </c>
      <c r="C98" s="12">
        <v>5</v>
      </c>
      <c r="D98" s="12" t="s">
        <v>89</v>
      </c>
      <c r="E98" s="12" t="s">
        <v>116</v>
      </c>
    </row>
    <row r="99" spans="1:5" s="5" customFormat="1">
      <c r="A99" s="11">
        <v>7</v>
      </c>
      <c r="B99" s="12" t="str">
        <f>المدخلات!$F$5</f>
        <v>5:40–7:10 م</v>
      </c>
      <c r="C99" s="12">
        <v>1</v>
      </c>
      <c r="D99" s="12" t="s">
        <v>89</v>
      </c>
      <c r="E99" s="12" t="s">
        <v>109</v>
      </c>
    </row>
    <row r="100" spans="1:5" s="5" customFormat="1">
      <c r="A100" s="11">
        <v>7</v>
      </c>
      <c r="B100" s="12" t="str">
        <f>المدخلات!$F$5</f>
        <v>5:40–7:10 م</v>
      </c>
      <c r="C100" s="12">
        <v>2</v>
      </c>
      <c r="D100" s="12" t="s">
        <v>274</v>
      </c>
      <c r="E100" s="12" t="s">
        <v>306</v>
      </c>
    </row>
    <row r="101" spans="1:5" s="5" customFormat="1">
      <c r="A101" s="11">
        <v>7</v>
      </c>
      <c r="B101" s="12" t="str">
        <f>المدخلات!$F$5</f>
        <v>5:40–7:10 م</v>
      </c>
      <c r="C101" s="12">
        <v>3</v>
      </c>
      <c r="D101" s="12" t="s">
        <v>89</v>
      </c>
      <c r="E101" s="12" t="s">
        <v>102</v>
      </c>
    </row>
    <row r="102" spans="1:5" s="5" customFormat="1">
      <c r="A102" s="11">
        <v>7</v>
      </c>
      <c r="B102" s="12" t="str">
        <f>المدخلات!$F$5</f>
        <v>5:40–7:10 م</v>
      </c>
      <c r="C102" s="12">
        <v>4</v>
      </c>
      <c r="D102" s="12" t="s">
        <v>163</v>
      </c>
      <c r="E102" s="12" t="s">
        <v>268</v>
      </c>
    </row>
    <row r="103" spans="1:5" s="5" customFormat="1">
      <c r="A103" s="11">
        <v>7</v>
      </c>
      <c r="B103" s="12" t="str">
        <f>المدخلات!$F$5</f>
        <v>5:40–7:10 م</v>
      </c>
      <c r="C103" s="12">
        <v>5</v>
      </c>
      <c r="D103" s="12" t="s">
        <v>163</v>
      </c>
      <c r="E103" s="12" t="s">
        <v>254</v>
      </c>
    </row>
    <row r="104" spans="1:5" s="5" customFormat="1">
      <c r="A104" s="11">
        <v>7</v>
      </c>
      <c r="B104" s="12" t="str">
        <f>المدخلات!$F$6</f>
        <v>7:20–8:50 م</v>
      </c>
      <c r="C104" s="12">
        <v>1</v>
      </c>
      <c r="D104" s="12" t="s">
        <v>17</v>
      </c>
      <c r="E104" s="12" t="s">
        <v>50</v>
      </c>
    </row>
    <row r="105" spans="1:5" s="5" customFormat="1">
      <c r="A105" s="11">
        <v>7</v>
      </c>
      <c r="B105" s="12" t="str">
        <f>المدخلات!$F$6</f>
        <v>7:20–8:50 م</v>
      </c>
      <c r="C105" s="12">
        <v>2</v>
      </c>
      <c r="D105" s="12" t="s">
        <v>163</v>
      </c>
      <c r="E105" s="12" t="s">
        <v>273</v>
      </c>
    </row>
    <row r="106" spans="1:5" s="5" customFormat="1">
      <c r="A106" s="11">
        <v>7</v>
      </c>
      <c r="B106" s="12" t="str">
        <f>المدخلات!$F$6</f>
        <v>7:20–8:50 م</v>
      </c>
      <c r="C106" s="12">
        <v>3</v>
      </c>
      <c r="D106" s="12" t="s">
        <v>274</v>
      </c>
      <c r="E106" s="12" t="s">
        <v>278</v>
      </c>
    </row>
    <row r="107" spans="1:5" s="5" customFormat="1">
      <c r="A107" s="11">
        <v>7</v>
      </c>
      <c r="B107" s="12" t="str">
        <f>المدخلات!$F$6</f>
        <v>7:20–8:50 م</v>
      </c>
      <c r="C107" s="12">
        <v>4</v>
      </c>
      <c r="D107" s="12" t="s">
        <v>163</v>
      </c>
      <c r="E107" s="12" t="s">
        <v>167</v>
      </c>
    </row>
    <row r="108" spans="1:5" s="5" customFormat="1">
      <c r="A108" s="11">
        <v>7</v>
      </c>
      <c r="B108" s="12" t="str">
        <f>المدخلات!$F$6</f>
        <v>7:20–8:50 م</v>
      </c>
      <c r="C108" s="12">
        <v>5</v>
      </c>
      <c r="D108" s="12" t="s">
        <v>274</v>
      </c>
      <c r="E108" s="12" t="s">
        <v>293</v>
      </c>
    </row>
    <row r="109" spans="1:5" s="5" customFormat="1">
      <c r="A109" s="11">
        <v>8</v>
      </c>
      <c r="B109" s="12" t="str">
        <f>المدخلات!$F$4</f>
        <v>4:00–5:30 م</v>
      </c>
      <c r="C109" s="12">
        <v>1</v>
      </c>
      <c r="D109" s="12" t="s">
        <v>163</v>
      </c>
      <c r="E109" s="12" t="s">
        <v>255</v>
      </c>
    </row>
    <row r="110" spans="1:5" s="5" customFormat="1">
      <c r="A110" s="11">
        <v>8</v>
      </c>
      <c r="B110" s="12" t="str">
        <f>المدخلات!$F$4</f>
        <v>4:00–5:30 م</v>
      </c>
      <c r="C110" s="12">
        <v>2</v>
      </c>
      <c r="D110" s="12" t="s">
        <v>163</v>
      </c>
      <c r="E110" s="12" t="s">
        <v>264</v>
      </c>
    </row>
    <row r="111" spans="1:5" s="5" customFormat="1">
      <c r="A111" s="11">
        <v>8</v>
      </c>
      <c r="B111" s="12" t="str">
        <f>المدخلات!$F$4</f>
        <v>4:00–5:30 م</v>
      </c>
      <c r="C111" s="12">
        <v>3</v>
      </c>
      <c r="D111" s="12" t="s">
        <v>274</v>
      </c>
      <c r="E111" s="12" t="s">
        <v>289</v>
      </c>
    </row>
    <row r="112" spans="1:5" s="5" customFormat="1">
      <c r="A112" s="11">
        <v>8</v>
      </c>
      <c r="B112" s="12" t="str">
        <f>المدخلات!$F$4</f>
        <v>4:00–5:30 م</v>
      </c>
      <c r="C112" s="12">
        <v>4</v>
      </c>
      <c r="D112" s="12" t="s">
        <v>274</v>
      </c>
      <c r="E112" s="12" t="s">
        <v>302</v>
      </c>
    </row>
    <row r="113" spans="1:5" s="5" customFormat="1">
      <c r="A113" s="11">
        <v>8</v>
      </c>
      <c r="B113" s="12" t="str">
        <f>المدخلات!$F$4</f>
        <v>4:00–5:30 م</v>
      </c>
      <c r="C113" s="12">
        <v>5</v>
      </c>
      <c r="D113" s="12" t="s">
        <v>89</v>
      </c>
      <c r="E113" s="12" t="s">
        <v>93</v>
      </c>
    </row>
    <row r="114" spans="1:5" s="5" customFormat="1">
      <c r="A114" s="11">
        <v>8</v>
      </c>
      <c r="B114" s="12" t="str">
        <f>المدخلات!$F$5</f>
        <v>5:40–7:10 م</v>
      </c>
      <c r="C114" s="12">
        <v>1</v>
      </c>
      <c r="D114" s="12" t="s">
        <v>163</v>
      </c>
      <c r="E114" s="12" t="s">
        <v>269</v>
      </c>
    </row>
    <row r="115" spans="1:5" s="5" customFormat="1">
      <c r="A115" s="11">
        <v>8</v>
      </c>
      <c r="B115" s="12" t="str">
        <f>المدخلات!$F$5</f>
        <v>5:40–7:10 م</v>
      </c>
      <c r="C115" s="12">
        <v>2</v>
      </c>
      <c r="D115" s="12" t="s">
        <v>17</v>
      </c>
      <c r="E115" s="12" t="s">
        <v>32</v>
      </c>
    </row>
    <row r="116" spans="1:5" s="5" customFormat="1">
      <c r="A116" s="11">
        <v>8</v>
      </c>
      <c r="B116" s="12" t="str">
        <f>المدخلات!$F$5</f>
        <v>5:40–7:10 م</v>
      </c>
      <c r="C116" s="12">
        <v>3</v>
      </c>
      <c r="D116" s="12" t="s">
        <v>89</v>
      </c>
      <c r="E116" s="12" t="s">
        <v>110</v>
      </c>
    </row>
    <row r="117" spans="1:5" s="5" customFormat="1">
      <c r="A117" s="11">
        <v>8</v>
      </c>
      <c r="B117" s="12" t="str">
        <f>المدخلات!$F$5</f>
        <v>5:40–7:10 م</v>
      </c>
      <c r="C117" s="12">
        <v>4</v>
      </c>
      <c r="D117" s="12" t="s">
        <v>17</v>
      </c>
      <c r="E117" s="12" t="s">
        <v>38</v>
      </c>
    </row>
    <row r="118" spans="1:5" s="5" customFormat="1">
      <c r="A118" s="11">
        <v>8</v>
      </c>
      <c r="B118" s="12" t="str">
        <f>المدخلات!$F$5</f>
        <v>5:40–7:10 م</v>
      </c>
      <c r="C118" s="12">
        <v>5</v>
      </c>
      <c r="D118" s="12" t="s">
        <v>17</v>
      </c>
      <c r="E118" s="12" t="s">
        <v>31</v>
      </c>
    </row>
    <row r="119" spans="1:5" s="5" customFormat="1">
      <c r="A119" s="11">
        <v>8</v>
      </c>
      <c r="B119" s="12" t="str">
        <f>المدخلات!$F$6</f>
        <v>7:20–8:50 م</v>
      </c>
      <c r="C119" s="12">
        <v>1</v>
      </c>
      <c r="D119" s="12" t="s">
        <v>89</v>
      </c>
      <c r="E119" s="12" t="s">
        <v>103</v>
      </c>
    </row>
    <row r="120" spans="1:5" s="5" customFormat="1">
      <c r="A120" s="11">
        <v>8</v>
      </c>
      <c r="B120" s="12" t="str">
        <f>المدخلات!$F$6</f>
        <v>7:20–8:50 م</v>
      </c>
      <c r="C120" s="12">
        <v>2</v>
      </c>
      <c r="D120" s="12" t="s">
        <v>274</v>
      </c>
      <c r="E120" s="12" t="s">
        <v>294</v>
      </c>
    </row>
    <row r="121" spans="1:5" s="5" customFormat="1">
      <c r="A121" s="11">
        <v>8</v>
      </c>
      <c r="B121" s="12" t="str">
        <f>المدخلات!$F$6</f>
        <v>7:20–8:50 م</v>
      </c>
      <c r="C121" s="12">
        <v>3</v>
      </c>
      <c r="D121" s="12" t="s">
        <v>163</v>
      </c>
      <c r="E121" s="12" t="s">
        <v>234</v>
      </c>
    </row>
    <row r="122" spans="1:5" s="5" customFormat="1">
      <c r="A122" s="11">
        <v>8</v>
      </c>
      <c r="B122" s="12" t="str">
        <f>المدخلات!$F$6</f>
        <v>7:20–8:50 م</v>
      </c>
      <c r="C122" s="12">
        <v>4</v>
      </c>
      <c r="D122" s="12" t="s">
        <v>17</v>
      </c>
      <c r="E122" s="12" t="s">
        <v>44</v>
      </c>
    </row>
    <row r="123" spans="1:5" s="5" customFormat="1">
      <c r="A123" s="11">
        <v>8</v>
      </c>
      <c r="B123" s="12" t="str">
        <f>المدخلات!$F$6</f>
        <v>7:20–8:50 م</v>
      </c>
      <c r="C123" s="12">
        <v>5</v>
      </c>
      <c r="D123" s="12" t="s">
        <v>89</v>
      </c>
      <c r="E123" s="12" t="s">
        <v>104</v>
      </c>
    </row>
    <row r="124" spans="1:5" s="5" customFormat="1">
      <c r="A124" s="11">
        <v>9</v>
      </c>
      <c r="B124" s="12" t="str">
        <f>المدخلات!$F$4</f>
        <v>4:00–5:30 م</v>
      </c>
      <c r="C124" s="12">
        <v>1</v>
      </c>
      <c r="D124" s="12" t="s">
        <v>274</v>
      </c>
      <c r="E124" s="12" t="s">
        <v>290</v>
      </c>
    </row>
    <row r="125" spans="1:5" s="5" customFormat="1">
      <c r="A125" s="11">
        <v>9</v>
      </c>
      <c r="B125" s="12" t="str">
        <f>المدخلات!$F$4</f>
        <v>4:00–5:30 م</v>
      </c>
      <c r="C125" s="12">
        <v>2</v>
      </c>
      <c r="D125" s="12" t="s">
        <v>163</v>
      </c>
      <c r="E125" s="12" t="s">
        <v>265</v>
      </c>
    </row>
    <row r="126" spans="1:5" s="5" customFormat="1">
      <c r="A126" s="11">
        <v>9</v>
      </c>
      <c r="B126" s="12" t="str">
        <f>المدخلات!$F$4</f>
        <v>4:00–5:30 م</v>
      </c>
      <c r="C126" s="12">
        <v>3</v>
      </c>
      <c r="D126" s="12" t="s">
        <v>163</v>
      </c>
      <c r="E126" s="12" t="s">
        <v>410</v>
      </c>
    </row>
    <row r="127" spans="1:5" s="5" customFormat="1">
      <c r="A127" s="11">
        <v>9</v>
      </c>
      <c r="B127" s="12" t="str">
        <f>المدخلات!$F$4</f>
        <v>4:00–5:30 م</v>
      </c>
      <c r="C127" s="12">
        <v>4</v>
      </c>
      <c r="D127" s="12" t="s">
        <v>89</v>
      </c>
      <c r="E127" s="12" t="s">
        <v>407</v>
      </c>
    </row>
    <row r="128" spans="1:5" s="5" customFormat="1">
      <c r="A128" s="11">
        <v>9</v>
      </c>
      <c r="B128" s="12" t="str">
        <f>المدخلات!$F$4</f>
        <v>4:00–5:30 م</v>
      </c>
      <c r="C128" s="12">
        <v>5</v>
      </c>
      <c r="D128" s="12" t="s">
        <v>89</v>
      </c>
      <c r="E128" s="12" t="s">
        <v>105</v>
      </c>
    </row>
    <row r="129" spans="1:5" s="5" customFormat="1">
      <c r="A129" s="11">
        <v>9</v>
      </c>
      <c r="B129" s="12" t="str">
        <f>المدخلات!$F$5</f>
        <v>5:40–7:10 م</v>
      </c>
      <c r="C129" s="12">
        <v>1</v>
      </c>
      <c r="D129" s="12" t="s">
        <v>89</v>
      </c>
      <c r="E129" s="12" t="s">
        <v>94</v>
      </c>
    </row>
    <row r="130" spans="1:5" s="5" customFormat="1">
      <c r="A130" s="11">
        <v>9</v>
      </c>
      <c r="B130" s="12" t="str">
        <f>المدخلات!$F$5</f>
        <v>5:40–7:10 م</v>
      </c>
      <c r="C130" s="12">
        <v>2</v>
      </c>
      <c r="D130" s="12" t="s">
        <v>17</v>
      </c>
      <c r="E130" s="12" t="s">
        <v>405</v>
      </c>
    </row>
    <row r="131" spans="1:5" s="5" customFormat="1">
      <c r="A131" s="11">
        <v>9</v>
      </c>
      <c r="B131" s="12" t="str">
        <f>المدخلات!$F$5</f>
        <v>5:40–7:10 م</v>
      </c>
      <c r="C131" s="12">
        <v>3</v>
      </c>
      <c r="D131" s="12" t="s">
        <v>17</v>
      </c>
      <c r="E131" s="12" t="s">
        <v>19</v>
      </c>
    </row>
    <row r="132" spans="1:5" s="5" customFormat="1">
      <c r="A132" s="11">
        <v>9</v>
      </c>
      <c r="B132" s="12" t="str">
        <f>المدخلات!$F$5</f>
        <v>5:40–7:10 م</v>
      </c>
      <c r="C132" s="12">
        <v>4</v>
      </c>
      <c r="D132" s="12" t="s">
        <v>274</v>
      </c>
      <c r="E132" s="12" t="s">
        <v>286</v>
      </c>
    </row>
    <row r="133" spans="1:5" s="5" customFormat="1">
      <c r="A133" s="11">
        <v>9</v>
      </c>
      <c r="B133" s="12" t="str">
        <f>المدخلات!$F$5</f>
        <v>5:40–7:10 م</v>
      </c>
      <c r="C133" s="12">
        <v>5</v>
      </c>
      <c r="D133" s="12" t="s">
        <v>163</v>
      </c>
      <c r="E133" s="12" t="s">
        <v>235</v>
      </c>
    </row>
    <row r="134" spans="1:5" s="5" customFormat="1">
      <c r="A134" s="11">
        <v>9</v>
      </c>
      <c r="B134" s="12" t="str">
        <f>المدخلات!$F$6</f>
        <v>7:20–8:50 م</v>
      </c>
      <c r="C134" s="12">
        <v>1</v>
      </c>
      <c r="D134" s="12" t="s">
        <v>274</v>
      </c>
      <c r="E134" s="12" t="s">
        <v>303</v>
      </c>
    </row>
    <row r="135" spans="1:5" s="5" customFormat="1">
      <c r="A135" s="11">
        <v>9</v>
      </c>
      <c r="B135" s="12" t="str">
        <f>المدخلات!$F$6</f>
        <v>7:20–8:50 م</v>
      </c>
      <c r="C135" s="12">
        <v>2</v>
      </c>
      <c r="D135" s="12" t="s">
        <v>89</v>
      </c>
      <c r="E135" s="12" t="s">
        <v>84</v>
      </c>
    </row>
    <row r="136" spans="1:5" s="5" customFormat="1">
      <c r="A136" s="11">
        <v>9</v>
      </c>
      <c r="B136" s="12" t="str">
        <f>المدخلات!$F$6</f>
        <v>7:20–8:50 م</v>
      </c>
      <c r="C136" s="12">
        <v>3</v>
      </c>
      <c r="D136" s="12" t="s">
        <v>163</v>
      </c>
      <c r="E136" s="12" t="s">
        <v>214</v>
      </c>
    </row>
    <row r="137" spans="1:5" s="5" customFormat="1">
      <c r="A137" s="11">
        <v>9</v>
      </c>
      <c r="B137" s="12" t="str">
        <f>المدخلات!$F$6</f>
        <v>7:20–8:50 م</v>
      </c>
      <c r="C137" s="12">
        <v>4</v>
      </c>
      <c r="D137" s="12" t="s">
        <v>17</v>
      </c>
      <c r="E137" s="12" t="s">
        <v>20</v>
      </c>
    </row>
    <row r="138" spans="1:5" s="5" customFormat="1">
      <c r="A138" s="11">
        <v>9</v>
      </c>
      <c r="B138" s="12" t="str">
        <f>المدخلات!$F$6</f>
        <v>7:20–8:50 م</v>
      </c>
      <c r="C138" s="12">
        <v>5</v>
      </c>
      <c r="D138" s="12" t="s">
        <v>17</v>
      </c>
      <c r="E138" s="12" t="s">
        <v>39</v>
      </c>
    </row>
    <row r="139" spans="1:5" s="5" customFormat="1">
      <c r="A139" s="11">
        <v>10</v>
      </c>
      <c r="B139" s="12" t="str">
        <f>المدخلات!$F$4</f>
        <v>4:00–5:30 م</v>
      </c>
      <c r="C139" s="12">
        <v>1</v>
      </c>
      <c r="D139" s="12" t="s">
        <v>17</v>
      </c>
      <c r="E139" s="12" t="s">
        <v>18</v>
      </c>
    </row>
    <row r="140" spans="1:5" s="5" customFormat="1">
      <c r="A140" s="11">
        <v>10</v>
      </c>
      <c r="B140" s="12" t="str">
        <f>المدخلات!$F$4</f>
        <v>4:00–5:30 م</v>
      </c>
      <c r="C140" s="12">
        <v>2</v>
      </c>
      <c r="D140" s="12" t="s">
        <v>274</v>
      </c>
      <c r="E140" s="12" t="s">
        <v>281</v>
      </c>
    </row>
    <row r="141" spans="1:5" s="5" customFormat="1">
      <c r="A141" s="11">
        <v>10</v>
      </c>
      <c r="B141" s="12" t="str">
        <f>المدخلات!$F$4</f>
        <v>4:00–5:30 م</v>
      </c>
      <c r="C141" s="12">
        <v>3</v>
      </c>
      <c r="D141" s="12" t="s">
        <v>17</v>
      </c>
      <c r="E141" s="12" t="s">
        <v>23</v>
      </c>
    </row>
    <row r="142" spans="1:5" s="5" customFormat="1">
      <c r="A142" s="11">
        <v>10</v>
      </c>
      <c r="B142" s="12" t="str">
        <f>المدخلات!$F$4</f>
        <v>4:00–5:30 م</v>
      </c>
      <c r="C142" s="12">
        <v>4</v>
      </c>
      <c r="D142" s="12" t="s">
        <v>163</v>
      </c>
      <c r="E142" s="12" t="s">
        <v>192</v>
      </c>
    </row>
    <row r="143" spans="1:5" s="5" customFormat="1">
      <c r="A143" s="11">
        <v>10</v>
      </c>
      <c r="B143" s="12" t="str">
        <f>المدخلات!$F$4</f>
        <v>4:00–5:30 م</v>
      </c>
      <c r="C143" s="12">
        <v>5</v>
      </c>
      <c r="D143" s="12" t="s">
        <v>163</v>
      </c>
      <c r="E143" s="12" t="s">
        <v>413</v>
      </c>
    </row>
    <row r="144" spans="1:5" s="5" customFormat="1">
      <c r="A144" s="11">
        <v>10</v>
      </c>
      <c r="B144" s="12" t="str">
        <f>المدخلات!$F$5</f>
        <v>5:40–7:10 م</v>
      </c>
      <c r="C144" s="12">
        <v>1</v>
      </c>
      <c r="D144" s="12" t="s">
        <v>17</v>
      </c>
      <c r="E144" s="12" t="s">
        <v>406</v>
      </c>
    </row>
    <row r="145" spans="1:5" s="5" customFormat="1">
      <c r="A145" s="11">
        <v>10</v>
      </c>
      <c r="B145" s="12" t="str">
        <f>المدخلات!$F$5</f>
        <v>5:40–7:10 م</v>
      </c>
      <c r="C145" s="12">
        <v>2</v>
      </c>
      <c r="D145" s="12" t="s">
        <v>274</v>
      </c>
      <c r="E145" s="12" t="s">
        <v>395</v>
      </c>
    </row>
    <row r="146" spans="1:5" s="5" customFormat="1">
      <c r="A146" s="11">
        <v>10</v>
      </c>
      <c r="B146" s="12" t="str">
        <f>المدخلات!$F$5</f>
        <v>5:40–7:10 م</v>
      </c>
      <c r="C146" s="12">
        <v>3</v>
      </c>
      <c r="D146" s="12" t="s">
        <v>89</v>
      </c>
      <c r="E146" s="12" t="s">
        <v>74</v>
      </c>
    </row>
    <row r="147" spans="1:5" s="5" customFormat="1">
      <c r="A147" s="11">
        <v>10</v>
      </c>
      <c r="B147" s="12" t="str">
        <f>المدخلات!$F$5</f>
        <v>5:40–7:10 م</v>
      </c>
      <c r="C147" s="12">
        <v>4</v>
      </c>
      <c r="D147" s="12" t="s">
        <v>274</v>
      </c>
      <c r="E147" s="12" t="s">
        <v>292</v>
      </c>
    </row>
    <row r="148" spans="1:5" s="5" customFormat="1">
      <c r="A148" s="11">
        <v>10</v>
      </c>
      <c r="B148" s="12" t="str">
        <f>المدخلات!$F$5</f>
        <v>5:40–7:10 م</v>
      </c>
      <c r="C148" s="12">
        <v>5</v>
      </c>
      <c r="D148" s="12" t="s">
        <v>163</v>
      </c>
      <c r="E148" s="12" t="s">
        <v>256</v>
      </c>
    </row>
    <row r="149" spans="1:5" s="5" customFormat="1">
      <c r="A149" s="11">
        <v>10</v>
      </c>
      <c r="B149" s="12" t="str">
        <f>المدخلات!$F$6</f>
        <v>7:20–8:50 م</v>
      </c>
      <c r="C149" s="12">
        <v>1</v>
      </c>
      <c r="D149" s="12" t="s">
        <v>17</v>
      </c>
      <c r="E149" s="12" t="s">
        <v>365</v>
      </c>
    </row>
    <row r="150" spans="1:5" s="5" customFormat="1">
      <c r="A150" s="11">
        <v>10</v>
      </c>
      <c r="B150" s="12" t="str">
        <f>المدخلات!$F$6</f>
        <v>7:20–8:50 م</v>
      </c>
      <c r="C150" s="12">
        <v>2</v>
      </c>
      <c r="D150" s="12" t="s">
        <v>163</v>
      </c>
      <c r="E150" s="12" t="s">
        <v>412</v>
      </c>
    </row>
    <row r="151" spans="1:5" s="5" customFormat="1">
      <c r="A151" s="11">
        <v>10</v>
      </c>
      <c r="B151" s="12" t="str">
        <f>المدخلات!$F$6</f>
        <v>7:20–8:50 م</v>
      </c>
      <c r="C151" s="12">
        <v>3</v>
      </c>
      <c r="D151" s="12" t="s">
        <v>89</v>
      </c>
      <c r="E151" s="12" t="s">
        <v>411</v>
      </c>
    </row>
    <row r="152" spans="1:5" s="5" customFormat="1">
      <c r="A152" s="11">
        <v>10</v>
      </c>
      <c r="B152" s="12" t="str">
        <f>المدخلات!$F$6</f>
        <v>7:20–8:50 م</v>
      </c>
      <c r="C152" s="12">
        <v>4</v>
      </c>
      <c r="D152" s="12" t="s">
        <v>89</v>
      </c>
      <c r="E152" s="12" t="s">
        <v>409</v>
      </c>
    </row>
    <row r="153" spans="1:5" s="5" customFormat="1">
      <c r="A153" s="11">
        <v>10</v>
      </c>
      <c r="B153" s="12" t="str">
        <f>المدخلات!$F$6</f>
        <v>7:20–8:50 م</v>
      </c>
      <c r="C153" s="12">
        <v>5</v>
      </c>
      <c r="D153" s="12" t="s">
        <v>89</v>
      </c>
      <c r="E153" s="12" t="s">
        <v>98</v>
      </c>
    </row>
    <row r="154" spans="1:5" s="5" customFormat="1">
      <c r="A154" s="11">
        <v>11</v>
      </c>
      <c r="B154" s="12" t="str">
        <f>المدخلات!$F$4</f>
        <v>4:00–5:30 م</v>
      </c>
      <c r="C154" s="12">
        <v>1</v>
      </c>
      <c r="D154" s="12" t="s">
        <v>274</v>
      </c>
      <c r="E154" s="12" t="s">
        <v>396</v>
      </c>
    </row>
    <row r="155" spans="1:5" s="5" customFormat="1">
      <c r="A155" s="11">
        <v>11</v>
      </c>
      <c r="B155" s="12" t="str">
        <f>المدخلات!$F$4</f>
        <v>4:00–5:30 م</v>
      </c>
      <c r="C155" s="12">
        <v>2</v>
      </c>
      <c r="D155" s="12" t="s">
        <v>274</v>
      </c>
      <c r="E155" s="12" t="s">
        <v>288</v>
      </c>
    </row>
    <row r="156" spans="1:5" s="5" customFormat="1">
      <c r="A156" s="11">
        <v>11</v>
      </c>
      <c r="B156" s="12" t="str">
        <f>المدخلات!$F$4</f>
        <v>4:00–5:30 م</v>
      </c>
      <c r="C156" s="12">
        <v>3</v>
      </c>
      <c r="D156" s="12" t="s">
        <v>163</v>
      </c>
      <c r="E156" s="12" t="s">
        <v>226</v>
      </c>
    </row>
    <row r="157" spans="1:5" s="5" customFormat="1">
      <c r="A157" s="11">
        <v>11</v>
      </c>
      <c r="B157" s="12" t="str">
        <f>المدخلات!$F$4</f>
        <v>4:00–5:30 م</v>
      </c>
      <c r="C157" s="12">
        <v>4</v>
      </c>
      <c r="D157" s="12" t="s">
        <v>89</v>
      </c>
      <c r="E157" s="12" t="s">
        <v>366</v>
      </c>
    </row>
    <row r="158" spans="1:5" s="5" customFormat="1">
      <c r="A158" s="11">
        <v>11</v>
      </c>
      <c r="B158" s="12" t="str">
        <f>المدخلات!$F$4</f>
        <v>4:00–5:30 م</v>
      </c>
      <c r="C158" s="12">
        <v>5</v>
      </c>
      <c r="D158" s="12" t="s">
        <v>17</v>
      </c>
      <c r="E158" s="12" t="s">
        <v>370</v>
      </c>
    </row>
    <row r="159" spans="1:5" s="5" customFormat="1">
      <c r="A159" s="11">
        <v>11</v>
      </c>
      <c r="B159" s="12" t="str">
        <f>المدخلات!$F$5</f>
        <v>5:40–7:10 م</v>
      </c>
      <c r="C159" s="12">
        <v>1</v>
      </c>
      <c r="D159" s="12" t="s">
        <v>163</v>
      </c>
      <c r="E159" s="12" t="s">
        <v>417</v>
      </c>
    </row>
    <row r="160" spans="1:5" s="5" customFormat="1">
      <c r="A160" s="11">
        <v>11</v>
      </c>
      <c r="B160" s="12" t="str">
        <f>المدخلات!$F$5</f>
        <v>5:40–7:10 م</v>
      </c>
      <c r="C160" s="12">
        <v>2</v>
      </c>
      <c r="D160" s="12" t="s">
        <v>163</v>
      </c>
      <c r="E160" s="12" t="s">
        <v>416</v>
      </c>
    </row>
    <row r="161" spans="1:5" s="5" customFormat="1">
      <c r="A161" s="11">
        <v>11</v>
      </c>
      <c r="B161" s="12" t="str">
        <f>المدخلات!$F$5</f>
        <v>5:40–7:10 م</v>
      </c>
      <c r="C161" s="12">
        <v>3</v>
      </c>
      <c r="D161" s="12" t="s">
        <v>163</v>
      </c>
      <c r="E161" s="12" t="s">
        <v>418</v>
      </c>
    </row>
    <row r="162" spans="1:5" s="5" customFormat="1">
      <c r="A162" s="11">
        <v>11</v>
      </c>
      <c r="B162" s="12" t="str">
        <f>المدخلات!$F$5</f>
        <v>5:40–7:10 م</v>
      </c>
      <c r="C162" s="12">
        <v>4</v>
      </c>
      <c r="D162" s="12" t="s">
        <v>89</v>
      </c>
      <c r="E162" s="12" t="s">
        <v>414</v>
      </c>
    </row>
    <row r="163" spans="1:5" s="5" customFormat="1">
      <c r="A163" s="11">
        <v>11</v>
      </c>
      <c r="B163" s="12" t="str">
        <f>المدخلات!$F$5</f>
        <v>5:40–7:10 م</v>
      </c>
      <c r="C163" s="12">
        <v>5</v>
      </c>
      <c r="D163" s="12" t="s">
        <v>17</v>
      </c>
      <c r="E163" s="12" t="s">
        <v>375</v>
      </c>
    </row>
    <row r="164" spans="1:5" s="5" customFormat="1">
      <c r="A164" s="11">
        <v>11</v>
      </c>
      <c r="B164" s="12" t="str">
        <f>المدخلات!$F$6</f>
        <v>7:20–8:50 م</v>
      </c>
      <c r="C164" s="12">
        <v>1</v>
      </c>
      <c r="D164" s="12" t="s">
        <v>89</v>
      </c>
      <c r="E164" s="12" t="s">
        <v>415</v>
      </c>
    </row>
    <row r="165" spans="1:5" s="5" customFormat="1">
      <c r="A165" s="11">
        <v>11</v>
      </c>
      <c r="B165" s="12" t="str">
        <f>المدخلات!$F$6</f>
        <v>7:20–8:50 م</v>
      </c>
      <c r="C165" s="12">
        <v>2</v>
      </c>
      <c r="D165" s="12" t="s">
        <v>89</v>
      </c>
      <c r="E165" s="12" t="s">
        <v>92</v>
      </c>
    </row>
    <row r="166" spans="1:5" s="5" customFormat="1">
      <c r="A166" s="11">
        <v>11</v>
      </c>
      <c r="B166" s="12" t="str">
        <f>المدخلات!$F$6</f>
        <v>7:20–8:50 م</v>
      </c>
      <c r="C166" s="12">
        <v>3</v>
      </c>
      <c r="D166" s="12" t="s">
        <v>274</v>
      </c>
      <c r="E166" s="12" t="s">
        <v>397</v>
      </c>
    </row>
    <row r="167" spans="1:5" s="5" customFormat="1">
      <c r="A167" s="11">
        <v>11</v>
      </c>
      <c r="B167" s="12" t="str">
        <f>المدخلات!$F$6</f>
        <v>7:20–8:50 م</v>
      </c>
      <c r="C167" s="12">
        <v>4</v>
      </c>
      <c r="D167" s="12" t="s">
        <v>17</v>
      </c>
      <c r="E167" s="12" t="s">
        <v>21</v>
      </c>
    </row>
    <row r="168" spans="1:5" s="5" customFormat="1">
      <c r="A168" s="11">
        <v>11</v>
      </c>
      <c r="B168" s="12" t="str">
        <f>المدخلات!$F$6</f>
        <v>7:20–8:50 م</v>
      </c>
      <c r="C168" s="12">
        <v>5</v>
      </c>
      <c r="D168" s="12" t="s">
        <v>17</v>
      </c>
      <c r="E168" s="12" t="s">
        <v>408</v>
      </c>
    </row>
    <row r="169" spans="1:5" s="5" customFormat="1">
      <c r="A169" s="11">
        <v>12</v>
      </c>
      <c r="B169" s="12" t="str">
        <f>المدخلات!$F$4</f>
        <v>4:00–5:30 م</v>
      </c>
      <c r="C169" s="12">
        <v>1</v>
      </c>
      <c r="D169" s="12" t="s">
        <v>89</v>
      </c>
      <c r="E169" s="12" t="s">
        <v>114</v>
      </c>
    </row>
    <row r="170" spans="1:5" s="5" customFormat="1">
      <c r="A170" s="11">
        <v>12</v>
      </c>
      <c r="B170" s="12" t="str">
        <f>المدخلات!$F$4</f>
        <v>4:00–5:30 م</v>
      </c>
      <c r="C170" s="12">
        <v>2</v>
      </c>
      <c r="D170" s="12" t="s">
        <v>17</v>
      </c>
      <c r="E170" s="12" t="s">
        <v>380</v>
      </c>
    </row>
    <row r="171" spans="1:5" s="5" customFormat="1">
      <c r="A171" s="11">
        <v>12</v>
      </c>
      <c r="B171" s="12" t="str">
        <f>المدخلات!$F$4</f>
        <v>4:00–5:30 م</v>
      </c>
      <c r="C171" s="12">
        <v>3</v>
      </c>
      <c r="D171" s="12" t="s">
        <v>17</v>
      </c>
      <c r="E171" s="12" t="s">
        <v>48</v>
      </c>
    </row>
    <row r="172" spans="1:5" s="5" customFormat="1">
      <c r="A172" s="11">
        <v>12</v>
      </c>
      <c r="B172" s="12" t="str">
        <f>المدخلات!$F$4</f>
        <v>4:00–5:30 م</v>
      </c>
      <c r="C172" s="12">
        <v>4</v>
      </c>
      <c r="D172" s="12" t="s">
        <v>163</v>
      </c>
      <c r="E172" s="12" t="s">
        <v>367</v>
      </c>
    </row>
    <row r="173" spans="1:5" s="5" customFormat="1">
      <c r="A173" s="11">
        <v>12</v>
      </c>
      <c r="B173" s="12" t="str">
        <f>المدخلات!$F$4</f>
        <v>4:00–5:30 م</v>
      </c>
      <c r="C173" s="12">
        <v>5</v>
      </c>
      <c r="D173" s="12" t="s">
        <v>89</v>
      </c>
      <c r="E173" s="12" t="s">
        <v>371</v>
      </c>
    </row>
    <row r="174" spans="1:5" s="5" customFormat="1">
      <c r="A174" s="11">
        <v>12</v>
      </c>
      <c r="B174" s="12" t="str">
        <f>المدخلات!$F$5</f>
        <v>5:40–7:10 م</v>
      </c>
      <c r="C174" s="12">
        <v>1</v>
      </c>
      <c r="D174" s="12" t="s">
        <v>89</v>
      </c>
      <c r="E174" s="12" t="s">
        <v>85</v>
      </c>
    </row>
    <row r="175" spans="1:5" s="5" customFormat="1">
      <c r="A175" s="11">
        <v>12</v>
      </c>
      <c r="B175" s="12" t="str">
        <f>المدخلات!$F$5</f>
        <v>5:40–7:10 م</v>
      </c>
      <c r="C175" s="12">
        <v>2</v>
      </c>
      <c r="D175" s="12" t="s">
        <v>89</v>
      </c>
      <c r="E175" s="12" t="s">
        <v>376</v>
      </c>
    </row>
    <row r="176" spans="1:5" s="5" customFormat="1">
      <c r="A176" s="11">
        <v>12</v>
      </c>
      <c r="B176" s="12" t="str">
        <f>المدخلات!$F$5</f>
        <v>5:40–7:10 م</v>
      </c>
      <c r="C176" s="12">
        <v>3</v>
      </c>
      <c r="D176" s="12" t="s">
        <v>17</v>
      </c>
      <c r="E176" s="12" t="s">
        <v>24</v>
      </c>
    </row>
    <row r="177" spans="1:5" s="5" customFormat="1">
      <c r="A177" s="11">
        <v>12</v>
      </c>
      <c r="B177" s="12" t="str">
        <f>المدخلات!$F$5</f>
        <v>5:40–7:10 م</v>
      </c>
      <c r="C177" s="12">
        <v>4</v>
      </c>
      <c r="D177" s="12" t="s">
        <v>274</v>
      </c>
      <c r="E177" s="12" t="s">
        <v>400</v>
      </c>
    </row>
    <row r="178" spans="1:5" s="5" customFormat="1">
      <c r="A178" s="11">
        <v>12</v>
      </c>
      <c r="B178" s="12" t="str">
        <f>المدخلات!$F$5</f>
        <v>5:40–7:10 م</v>
      </c>
      <c r="C178" s="12">
        <v>5</v>
      </c>
      <c r="D178" s="12" t="s">
        <v>274</v>
      </c>
      <c r="E178" s="12" t="s">
        <v>401</v>
      </c>
    </row>
    <row r="179" spans="1:5" s="5" customFormat="1">
      <c r="A179" s="11">
        <v>12</v>
      </c>
      <c r="B179" s="12" t="str">
        <f>المدخلات!$F$6</f>
        <v>7:20–8:50 م</v>
      </c>
      <c r="C179" s="12">
        <v>1</v>
      </c>
      <c r="D179" s="12" t="s">
        <v>163</v>
      </c>
      <c r="E179" s="12" t="s">
        <v>419</v>
      </c>
    </row>
    <row r="180" spans="1:5" s="5" customFormat="1">
      <c r="A180" s="11">
        <v>12</v>
      </c>
      <c r="B180" s="12" t="str">
        <f>المدخلات!$F$6</f>
        <v>7:20–8:50 م</v>
      </c>
      <c r="C180" s="12">
        <v>2</v>
      </c>
      <c r="D180" s="12" t="s">
        <v>17</v>
      </c>
      <c r="E180" s="12" t="s">
        <v>385</v>
      </c>
    </row>
    <row r="181" spans="1:5" s="5" customFormat="1">
      <c r="A181" s="11">
        <v>12</v>
      </c>
      <c r="B181" s="12" t="str">
        <f>المدخلات!$F$6</f>
        <v>7:20–8:50 م</v>
      </c>
      <c r="C181" s="12">
        <v>3</v>
      </c>
      <c r="D181" s="12" t="s">
        <v>274</v>
      </c>
      <c r="E181" s="12" t="s">
        <v>287</v>
      </c>
    </row>
    <row r="182" spans="1:5" s="5" customFormat="1">
      <c r="A182" s="11">
        <v>12</v>
      </c>
      <c r="B182" s="12" t="str">
        <f>المدخلات!$F$6</f>
        <v>7:20–8:50 م</v>
      </c>
      <c r="C182" s="12">
        <v>4</v>
      </c>
      <c r="D182" s="12" t="s">
        <v>163</v>
      </c>
      <c r="E182" s="12" t="s">
        <v>271</v>
      </c>
    </row>
    <row r="183" spans="1:5" s="5" customFormat="1">
      <c r="A183" s="11">
        <v>12</v>
      </c>
      <c r="B183" s="12" t="str">
        <f>المدخلات!$F$6</f>
        <v>7:20–8:50 م</v>
      </c>
      <c r="C183" s="12">
        <v>5</v>
      </c>
      <c r="D183" s="12" t="s">
        <v>163</v>
      </c>
      <c r="E183" s="12" t="s">
        <v>215</v>
      </c>
    </row>
    <row r="184" spans="1:5" s="5" customFormat="1">
      <c r="A184" s="11">
        <v>13</v>
      </c>
      <c r="B184" s="12" t="str">
        <f>المدخلات!$F$4</f>
        <v>4:00–5:30 م</v>
      </c>
      <c r="C184" s="12">
        <v>1</v>
      </c>
      <c r="D184" s="12" t="s">
        <v>163</v>
      </c>
      <c r="E184" s="12" t="s">
        <v>372</v>
      </c>
    </row>
    <row r="185" spans="1:5" s="5" customFormat="1">
      <c r="A185" s="11">
        <v>13</v>
      </c>
      <c r="B185" s="12" t="str">
        <f>المدخلات!$F$4</f>
        <v>4:00–5:30 م</v>
      </c>
      <c r="C185" s="12">
        <v>2</v>
      </c>
      <c r="D185" s="12" t="s">
        <v>89</v>
      </c>
      <c r="E185" s="12" t="s">
        <v>70</v>
      </c>
    </row>
    <row r="186" spans="1:5" s="5" customFormat="1">
      <c r="A186" s="11">
        <v>13</v>
      </c>
      <c r="B186" s="12" t="str">
        <f>المدخلات!$F$4</f>
        <v>4:00–5:30 م</v>
      </c>
      <c r="C186" s="12">
        <v>3</v>
      </c>
      <c r="D186" s="12" t="s">
        <v>274</v>
      </c>
      <c r="E186" s="12" t="s">
        <v>305</v>
      </c>
    </row>
    <row r="187" spans="1:5" s="5" customFormat="1">
      <c r="A187" s="11">
        <v>13</v>
      </c>
      <c r="B187" s="12" t="str">
        <f>المدخلات!$F$4</f>
        <v>4:00–5:30 م</v>
      </c>
      <c r="C187" s="12">
        <v>4</v>
      </c>
      <c r="D187" s="12" t="s">
        <v>89</v>
      </c>
      <c r="E187" s="12" t="s">
        <v>381</v>
      </c>
    </row>
    <row r="188" spans="1:5" s="5" customFormat="1">
      <c r="A188" s="11">
        <v>13</v>
      </c>
      <c r="B188" s="12" t="str">
        <f>المدخلات!$F$4</f>
        <v>4:00–5:30 م</v>
      </c>
      <c r="C188" s="12">
        <v>5</v>
      </c>
      <c r="D188" s="12" t="s">
        <v>274</v>
      </c>
      <c r="E188" s="12" t="s">
        <v>280</v>
      </c>
    </row>
    <row r="189" spans="1:5" s="5" customFormat="1">
      <c r="A189" s="11">
        <v>13</v>
      </c>
      <c r="B189" s="12" t="str">
        <f>المدخلات!$F$5</f>
        <v>5:40–7:10 م</v>
      </c>
      <c r="C189" s="12">
        <v>1</v>
      </c>
      <c r="D189" s="12" t="s">
        <v>17</v>
      </c>
      <c r="E189" s="12" t="s">
        <v>27</v>
      </c>
    </row>
    <row r="190" spans="1:5" s="5" customFormat="1">
      <c r="A190" s="11">
        <v>13</v>
      </c>
      <c r="B190" s="12" t="str">
        <f>المدخلات!$F$5</f>
        <v>5:40–7:10 م</v>
      </c>
      <c r="C190" s="12">
        <v>2</v>
      </c>
      <c r="D190" s="12" t="s">
        <v>89</v>
      </c>
      <c r="E190" s="12" t="s">
        <v>115</v>
      </c>
    </row>
    <row r="191" spans="1:5" s="5" customFormat="1">
      <c r="A191" s="11">
        <v>13</v>
      </c>
      <c r="B191" s="12" t="str">
        <f>المدخلات!$F$5</f>
        <v>5:40–7:10 م</v>
      </c>
      <c r="C191" s="12">
        <v>3</v>
      </c>
      <c r="D191" s="12" t="s">
        <v>89</v>
      </c>
      <c r="E191" s="12" t="s">
        <v>108</v>
      </c>
    </row>
    <row r="192" spans="1:5" s="5" customFormat="1">
      <c r="A192" s="11">
        <v>13</v>
      </c>
      <c r="B192" s="12" t="str">
        <f>المدخلات!$F$5</f>
        <v>5:40–7:10 م</v>
      </c>
      <c r="C192" s="12">
        <v>4</v>
      </c>
      <c r="D192" s="12" t="s">
        <v>17</v>
      </c>
      <c r="E192" s="12" t="s">
        <v>42</v>
      </c>
    </row>
    <row r="193" spans="1:5" s="5" customFormat="1">
      <c r="A193" s="11">
        <v>13</v>
      </c>
      <c r="B193" s="12" t="str">
        <f>المدخلات!$F$5</f>
        <v>5:40–7:10 م</v>
      </c>
      <c r="C193" s="12">
        <v>5</v>
      </c>
      <c r="D193" s="12" t="s">
        <v>17</v>
      </c>
      <c r="E193" s="12" t="s">
        <v>390</v>
      </c>
    </row>
    <row r="194" spans="1:5" s="5" customFormat="1">
      <c r="A194" s="11">
        <v>13</v>
      </c>
      <c r="B194" s="12" t="str">
        <f>المدخلات!$F$6</f>
        <v>7:20–8:50 م</v>
      </c>
      <c r="C194" s="12">
        <v>1</v>
      </c>
      <c r="D194" s="12" t="s">
        <v>163</v>
      </c>
      <c r="E194" s="12" t="s">
        <v>272</v>
      </c>
    </row>
    <row r="195" spans="1:5" s="5" customFormat="1">
      <c r="A195" s="11">
        <v>13</v>
      </c>
      <c r="B195" s="12" t="str">
        <f>المدخلات!$F$6</f>
        <v>7:20–8:50 م</v>
      </c>
      <c r="C195" s="12">
        <v>2</v>
      </c>
      <c r="D195" s="12" t="s">
        <v>163</v>
      </c>
      <c r="E195" s="12" t="s">
        <v>178</v>
      </c>
    </row>
    <row r="196" spans="1:5" s="5" customFormat="1">
      <c r="A196" s="11">
        <v>13</v>
      </c>
      <c r="B196" s="12" t="str">
        <f>المدخلات!$F$6</f>
        <v>7:20–8:50 م</v>
      </c>
      <c r="C196" s="12">
        <v>3</v>
      </c>
      <c r="D196" s="12" t="s">
        <v>163</v>
      </c>
      <c r="E196" s="12" t="s">
        <v>267</v>
      </c>
    </row>
    <row r="197" spans="1:5" s="5" customFormat="1">
      <c r="A197" s="11">
        <v>13</v>
      </c>
      <c r="B197" s="12" t="str">
        <f>المدخلات!$F$6</f>
        <v>7:20–8:50 م</v>
      </c>
      <c r="C197" s="12">
        <v>4</v>
      </c>
      <c r="D197" s="12" t="s">
        <v>17</v>
      </c>
      <c r="E197" s="12" t="s">
        <v>49</v>
      </c>
    </row>
    <row r="198" spans="1:5" s="5" customFormat="1">
      <c r="A198" s="11">
        <v>13</v>
      </c>
      <c r="B198" s="12" t="str">
        <f>المدخلات!$F$6</f>
        <v>7:20–8:50 م</v>
      </c>
      <c r="C198" s="12">
        <v>5</v>
      </c>
      <c r="D198" s="12" t="s">
        <v>274</v>
      </c>
      <c r="E198" s="12" t="s">
        <v>368</v>
      </c>
    </row>
    <row r="199" spans="1:5" s="5" customFormat="1">
      <c r="A199" s="11">
        <v>14</v>
      </c>
      <c r="B199" s="12" t="str">
        <f>المدخلات!$F$4</f>
        <v>4:00–5:30 م</v>
      </c>
      <c r="C199" s="12">
        <v>1</v>
      </c>
      <c r="D199" s="12" t="s">
        <v>17</v>
      </c>
      <c r="E199" s="12" t="s">
        <v>30</v>
      </c>
    </row>
    <row r="200" spans="1:5" s="5" customFormat="1">
      <c r="A200" s="11">
        <v>14</v>
      </c>
      <c r="B200" s="12" t="str">
        <f>المدخلات!$F$4</f>
        <v>4:00–5:30 م</v>
      </c>
      <c r="C200" s="12">
        <v>2</v>
      </c>
      <c r="D200" s="12" t="s">
        <v>163</v>
      </c>
      <c r="E200" s="12" t="s">
        <v>254</v>
      </c>
    </row>
    <row r="201" spans="1:5" s="5" customFormat="1">
      <c r="A201" s="11">
        <v>14</v>
      </c>
      <c r="B201" s="12" t="str">
        <f>المدخلات!$F$4</f>
        <v>4:00–5:30 م</v>
      </c>
      <c r="C201" s="12">
        <v>3</v>
      </c>
      <c r="D201" s="12" t="s">
        <v>17</v>
      </c>
      <c r="E201" s="12" t="s">
        <v>50</v>
      </c>
    </row>
    <row r="202" spans="1:5" s="5" customFormat="1">
      <c r="A202" s="11">
        <v>14</v>
      </c>
      <c r="B202" s="12" t="str">
        <f>المدخلات!$F$4</f>
        <v>4:00–5:30 م</v>
      </c>
      <c r="C202" s="12">
        <v>4</v>
      </c>
      <c r="D202" s="12" t="s">
        <v>89</v>
      </c>
      <c r="E202" s="12" t="s">
        <v>102</v>
      </c>
    </row>
    <row r="203" spans="1:5" s="5" customFormat="1">
      <c r="A203" s="11">
        <v>14</v>
      </c>
      <c r="B203" s="12" t="str">
        <f>المدخلات!$F$4</f>
        <v>4:00–5:30 م</v>
      </c>
      <c r="C203" s="12">
        <v>5</v>
      </c>
      <c r="D203" s="12" t="s">
        <v>17</v>
      </c>
      <c r="E203" s="12" t="s">
        <v>29</v>
      </c>
    </row>
    <row r="204" spans="1:5" s="5" customFormat="1">
      <c r="A204" s="11">
        <v>14</v>
      </c>
      <c r="B204" s="12" t="str">
        <f>المدخلات!$F$5</f>
        <v>5:40–7:10 م</v>
      </c>
      <c r="C204" s="12">
        <v>1</v>
      </c>
      <c r="D204" s="12" t="s">
        <v>163</v>
      </c>
      <c r="E204" s="12" t="s">
        <v>167</v>
      </c>
    </row>
    <row r="205" spans="1:5" s="5" customFormat="1">
      <c r="A205" s="11">
        <v>14</v>
      </c>
      <c r="B205" s="12" t="str">
        <f>المدخلات!$F$5</f>
        <v>5:40–7:10 م</v>
      </c>
      <c r="C205" s="12">
        <v>2</v>
      </c>
      <c r="D205" s="12" t="s">
        <v>274</v>
      </c>
      <c r="E205" s="12" t="s">
        <v>278</v>
      </c>
    </row>
    <row r="206" spans="1:5" s="5" customFormat="1">
      <c r="A206" s="11">
        <v>14</v>
      </c>
      <c r="B206" s="12" t="str">
        <f>المدخلات!$F$5</f>
        <v>5:40–7:10 م</v>
      </c>
      <c r="C206" s="12">
        <v>3</v>
      </c>
      <c r="D206" s="12" t="s">
        <v>163</v>
      </c>
      <c r="E206" s="12" t="s">
        <v>268</v>
      </c>
    </row>
    <row r="207" spans="1:5" s="5" customFormat="1">
      <c r="A207" s="11">
        <v>14</v>
      </c>
      <c r="B207" s="12" t="str">
        <f>المدخلات!$F$5</f>
        <v>5:40–7:10 م</v>
      </c>
      <c r="C207" s="12">
        <v>4</v>
      </c>
      <c r="D207" s="12" t="s">
        <v>274</v>
      </c>
      <c r="E207" s="12" t="s">
        <v>306</v>
      </c>
    </row>
    <row r="208" spans="1:5" s="5" customFormat="1">
      <c r="A208" s="11">
        <v>14</v>
      </c>
      <c r="B208" s="12" t="str">
        <f>المدخلات!$F$5</f>
        <v>5:40–7:10 م</v>
      </c>
      <c r="C208" s="12">
        <v>5</v>
      </c>
      <c r="D208" s="12" t="s">
        <v>163</v>
      </c>
      <c r="E208" s="12" t="s">
        <v>273</v>
      </c>
    </row>
    <row r="209" spans="1:5" s="5" customFormat="1">
      <c r="A209" s="11">
        <v>14</v>
      </c>
      <c r="B209" s="12" t="str">
        <f>المدخلات!$F$6</f>
        <v>7:20–8:50 م</v>
      </c>
      <c r="C209" s="12">
        <v>1</v>
      </c>
      <c r="D209" s="12" t="s">
        <v>17</v>
      </c>
      <c r="E209" s="12" t="s">
        <v>43</v>
      </c>
    </row>
    <row r="210" spans="1:5" s="5" customFormat="1">
      <c r="A210" s="11">
        <v>14</v>
      </c>
      <c r="B210" s="12" t="str">
        <f>المدخلات!$F$6</f>
        <v>7:20–8:50 م</v>
      </c>
      <c r="C210" s="12">
        <v>2</v>
      </c>
      <c r="D210" s="12" t="s">
        <v>89</v>
      </c>
      <c r="E210" s="12" t="s">
        <v>109</v>
      </c>
    </row>
    <row r="211" spans="1:5" s="5" customFormat="1">
      <c r="A211" s="11">
        <v>14</v>
      </c>
      <c r="B211" s="12" t="str">
        <f>المدخلات!$F$6</f>
        <v>7:20–8:50 م</v>
      </c>
      <c r="C211" s="12">
        <v>3</v>
      </c>
      <c r="D211" s="12" t="s">
        <v>89</v>
      </c>
      <c r="E211" s="12" t="s">
        <v>64</v>
      </c>
    </row>
    <row r="212" spans="1:5" s="5" customFormat="1">
      <c r="A212" s="11">
        <v>14</v>
      </c>
      <c r="B212" s="12" t="str">
        <f>المدخلات!$F$6</f>
        <v>7:20–8:50 م</v>
      </c>
      <c r="C212" s="12">
        <v>4</v>
      </c>
      <c r="D212" s="12" t="s">
        <v>89</v>
      </c>
      <c r="E212" s="12" t="s">
        <v>116</v>
      </c>
    </row>
    <row r="213" spans="1:5" s="5" customFormat="1">
      <c r="A213" s="11">
        <v>14</v>
      </c>
      <c r="B213" s="12" t="str">
        <f>المدخلات!$F$6</f>
        <v>7:20–8:50 م</v>
      </c>
      <c r="C213" s="12">
        <v>5</v>
      </c>
      <c r="D213" s="12" t="s">
        <v>274</v>
      </c>
      <c r="E213" s="12" t="s">
        <v>293</v>
      </c>
    </row>
    <row r="214" spans="1:5" s="5" customFormat="1">
      <c r="A214" s="11">
        <v>15</v>
      </c>
      <c r="B214" s="12" t="str">
        <f>المدخلات!$F$4</f>
        <v>4:00–5:30 م</v>
      </c>
      <c r="C214" s="12">
        <v>1</v>
      </c>
      <c r="D214" s="12" t="s">
        <v>274</v>
      </c>
      <c r="E214" s="12" t="s">
        <v>302</v>
      </c>
    </row>
    <row r="215" spans="1:5" s="5" customFormat="1">
      <c r="A215" s="11">
        <v>15</v>
      </c>
      <c r="B215" s="12" t="str">
        <f>المدخلات!$F$4</f>
        <v>4:00–5:30 م</v>
      </c>
      <c r="C215" s="12">
        <v>2</v>
      </c>
      <c r="D215" s="12" t="s">
        <v>17</v>
      </c>
      <c r="E215" s="12" t="s">
        <v>38</v>
      </c>
    </row>
    <row r="216" spans="1:5" s="5" customFormat="1">
      <c r="A216" s="11">
        <v>15</v>
      </c>
      <c r="B216" s="12" t="str">
        <f>المدخلات!$F$4</f>
        <v>4:00–5:30 م</v>
      </c>
      <c r="C216" s="12">
        <v>3</v>
      </c>
      <c r="D216" s="12" t="s">
        <v>274</v>
      </c>
      <c r="E216" s="12" t="s">
        <v>289</v>
      </c>
    </row>
    <row r="217" spans="1:5" s="5" customFormat="1">
      <c r="A217" s="11">
        <v>15</v>
      </c>
      <c r="B217" s="12" t="str">
        <f>المدخلات!$F$4</f>
        <v>4:00–5:30 م</v>
      </c>
      <c r="C217" s="12">
        <v>4</v>
      </c>
      <c r="D217" s="12" t="s">
        <v>163</v>
      </c>
      <c r="E217" s="12" t="s">
        <v>269</v>
      </c>
    </row>
    <row r="218" spans="1:5" s="5" customFormat="1">
      <c r="A218" s="11">
        <v>15</v>
      </c>
      <c r="B218" s="12" t="str">
        <f>المدخلات!$F$4</f>
        <v>4:00–5:30 م</v>
      </c>
      <c r="C218" s="12">
        <v>5</v>
      </c>
      <c r="D218" s="12" t="s">
        <v>89</v>
      </c>
      <c r="E218" s="12" t="s">
        <v>104</v>
      </c>
    </row>
    <row r="219" spans="1:5" s="5" customFormat="1">
      <c r="A219" s="11">
        <v>15</v>
      </c>
      <c r="B219" s="12" t="str">
        <f>المدخلات!$F$5</f>
        <v>5:40–7:10 م</v>
      </c>
      <c r="C219" s="12">
        <v>1</v>
      </c>
      <c r="D219" s="12" t="s">
        <v>89</v>
      </c>
      <c r="E219" s="12" t="s">
        <v>103</v>
      </c>
    </row>
    <row r="220" spans="1:5" s="5" customFormat="1">
      <c r="A220" s="11">
        <v>15</v>
      </c>
      <c r="B220" s="12" t="str">
        <f>المدخلات!$F$5</f>
        <v>5:40–7:10 م</v>
      </c>
      <c r="C220" s="12">
        <v>2</v>
      </c>
      <c r="D220" s="12" t="s">
        <v>17</v>
      </c>
      <c r="E220" s="12" t="s">
        <v>44</v>
      </c>
    </row>
    <row r="221" spans="1:5" s="5" customFormat="1">
      <c r="A221" s="11">
        <v>15</v>
      </c>
      <c r="B221" s="12" t="str">
        <f>المدخلات!$F$5</f>
        <v>5:40–7:10 م</v>
      </c>
      <c r="C221" s="12">
        <v>3</v>
      </c>
      <c r="D221" s="12" t="s">
        <v>89</v>
      </c>
      <c r="E221" s="12" t="s">
        <v>93</v>
      </c>
    </row>
    <row r="222" spans="1:5" s="5" customFormat="1">
      <c r="A222" s="11">
        <v>15</v>
      </c>
      <c r="B222" s="12" t="str">
        <f>المدخلات!$F$5</f>
        <v>5:40–7:10 م</v>
      </c>
      <c r="C222" s="12">
        <v>4</v>
      </c>
      <c r="D222" s="12" t="s">
        <v>163</v>
      </c>
      <c r="E222" s="12" t="s">
        <v>234</v>
      </c>
    </row>
    <row r="223" spans="1:5" s="5" customFormat="1">
      <c r="A223" s="11">
        <v>15</v>
      </c>
      <c r="B223" s="12" t="str">
        <f>المدخلات!$F$5</f>
        <v>5:40–7:10 م</v>
      </c>
      <c r="C223" s="12">
        <v>5</v>
      </c>
      <c r="D223" s="12" t="s">
        <v>89</v>
      </c>
      <c r="E223" s="12" t="s">
        <v>110</v>
      </c>
    </row>
    <row r="224" spans="1:5" s="5" customFormat="1">
      <c r="A224" s="11">
        <v>15</v>
      </c>
      <c r="B224" s="12" t="str">
        <f>المدخلات!$F$6</f>
        <v>7:20–8:50 م</v>
      </c>
      <c r="C224" s="12">
        <v>1</v>
      </c>
      <c r="D224" s="12" t="s">
        <v>274</v>
      </c>
      <c r="E224" s="12" t="s">
        <v>294</v>
      </c>
    </row>
    <row r="225" spans="1:5" s="5" customFormat="1">
      <c r="A225" s="11">
        <v>15</v>
      </c>
      <c r="B225" s="12" t="str">
        <f>المدخلات!$F$6</f>
        <v>7:20–8:50 م</v>
      </c>
      <c r="C225" s="12">
        <v>2</v>
      </c>
      <c r="D225" s="12" t="s">
        <v>17</v>
      </c>
      <c r="E225" s="12" t="s">
        <v>32</v>
      </c>
    </row>
    <row r="226" spans="1:5" s="5" customFormat="1">
      <c r="A226" s="11">
        <v>15</v>
      </c>
      <c r="B226" s="12" t="str">
        <f>المدخلات!$F$6</f>
        <v>7:20–8:50 م</v>
      </c>
      <c r="C226" s="12">
        <v>3</v>
      </c>
      <c r="D226" s="12" t="s">
        <v>163</v>
      </c>
      <c r="E226" s="12" t="s">
        <v>255</v>
      </c>
    </row>
    <row r="227" spans="1:5" s="5" customFormat="1">
      <c r="A227" s="11">
        <v>15</v>
      </c>
      <c r="B227" s="12" t="str">
        <f>المدخلات!$F$6</f>
        <v>7:20–8:50 م</v>
      </c>
      <c r="C227" s="12">
        <v>4</v>
      </c>
      <c r="D227" s="12" t="s">
        <v>17</v>
      </c>
      <c r="E227" s="12" t="s">
        <v>31</v>
      </c>
    </row>
    <row r="228" spans="1:5" s="5" customFormat="1">
      <c r="A228" s="11">
        <v>15</v>
      </c>
      <c r="B228" s="12" t="str">
        <f>المدخلات!$F$6</f>
        <v>7:20–8:50 م</v>
      </c>
      <c r="C228" s="12">
        <v>5</v>
      </c>
      <c r="D228" s="12" t="s">
        <v>163</v>
      </c>
      <c r="E228" s="12" t="s">
        <v>264</v>
      </c>
    </row>
    <row r="229" spans="1:5" s="5" customFormat="1">
      <c r="A229" s="11">
        <v>16</v>
      </c>
      <c r="B229" s="12" t="str">
        <f>المدخلات!$F$4</f>
        <v>4:00–5:30 م</v>
      </c>
      <c r="C229" s="12">
        <v>1</v>
      </c>
      <c r="D229" s="12" t="s">
        <v>163</v>
      </c>
      <c r="E229" s="12" t="s">
        <v>265</v>
      </c>
    </row>
    <row r="230" spans="1:5" s="5" customFormat="1">
      <c r="A230" s="11">
        <v>16</v>
      </c>
      <c r="B230" s="12" t="str">
        <f>المدخلات!$F$4</f>
        <v>4:00–5:30 م</v>
      </c>
      <c r="C230" s="12">
        <v>2</v>
      </c>
      <c r="D230" s="12" t="s">
        <v>163</v>
      </c>
      <c r="E230" s="12" t="s">
        <v>235</v>
      </c>
    </row>
    <row r="231" spans="1:5" s="5" customFormat="1">
      <c r="A231" s="11">
        <v>16</v>
      </c>
      <c r="B231" s="12" t="str">
        <f>المدخلات!$F$4</f>
        <v>4:00–5:30 م</v>
      </c>
      <c r="C231" s="12">
        <v>3</v>
      </c>
      <c r="D231" s="12" t="s">
        <v>17</v>
      </c>
      <c r="E231" s="12" t="s">
        <v>20</v>
      </c>
    </row>
    <row r="232" spans="1:5" s="5" customFormat="1">
      <c r="A232" s="11">
        <v>16</v>
      </c>
      <c r="B232" s="12" t="str">
        <f>المدخلات!$F$4</f>
        <v>4:00–5:30 م</v>
      </c>
      <c r="C232" s="12">
        <v>4</v>
      </c>
      <c r="D232" s="12" t="s">
        <v>163</v>
      </c>
      <c r="E232" s="12" t="s">
        <v>214</v>
      </c>
    </row>
    <row r="233" spans="1:5" s="5" customFormat="1">
      <c r="A233" s="11">
        <v>16</v>
      </c>
      <c r="B233" s="12" t="str">
        <f>المدخلات!$F$4</f>
        <v>4:00–5:30 م</v>
      </c>
      <c r="C233" s="12">
        <v>5</v>
      </c>
      <c r="D233" s="12" t="s">
        <v>89</v>
      </c>
      <c r="E233" s="12" t="s">
        <v>84</v>
      </c>
    </row>
    <row r="234" spans="1:5" s="5" customFormat="1">
      <c r="A234" s="11">
        <v>16</v>
      </c>
      <c r="B234" s="12" t="str">
        <f>المدخلات!$F$5</f>
        <v>5:40–7:10 م</v>
      </c>
      <c r="C234" s="12">
        <v>1</v>
      </c>
      <c r="D234" s="12" t="s">
        <v>17</v>
      </c>
      <c r="E234" s="12" t="s">
        <v>405</v>
      </c>
    </row>
    <row r="235" spans="1:5" s="5" customFormat="1">
      <c r="A235" s="11">
        <v>16</v>
      </c>
      <c r="B235" s="12" t="str">
        <f>المدخلات!$F$5</f>
        <v>5:40–7:10 م</v>
      </c>
      <c r="C235" s="12">
        <v>2</v>
      </c>
      <c r="D235" s="12" t="s">
        <v>163</v>
      </c>
      <c r="E235" s="12" t="s">
        <v>410</v>
      </c>
    </row>
    <row r="236" spans="1:5" s="5" customFormat="1">
      <c r="A236" s="11">
        <v>16</v>
      </c>
      <c r="B236" s="12" t="str">
        <f>المدخلات!$F$5</f>
        <v>5:40–7:10 م</v>
      </c>
      <c r="C236" s="12">
        <v>3</v>
      </c>
      <c r="D236" s="12" t="s">
        <v>274</v>
      </c>
      <c r="E236" s="12" t="s">
        <v>286</v>
      </c>
    </row>
    <row r="237" spans="1:5" s="5" customFormat="1">
      <c r="A237" s="11">
        <v>16</v>
      </c>
      <c r="B237" s="12" t="str">
        <f>المدخلات!$F$5</f>
        <v>5:40–7:10 م</v>
      </c>
      <c r="C237" s="12">
        <v>4</v>
      </c>
      <c r="D237" s="12" t="s">
        <v>17</v>
      </c>
      <c r="E237" s="12" t="s">
        <v>19</v>
      </c>
    </row>
    <row r="238" spans="1:5" s="5" customFormat="1">
      <c r="A238" s="11">
        <v>16</v>
      </c>
      <c r="B238" s="12" t="str">
        <f>المدخلات!$F$5</f>
        <v>5:40–7:10 م</v>
      </c>
      <c r="C238" s="12">
        <v>5</v>
      </c>
      <c r="D238" s="12" t="s">
        <v>274</v>
      </c>
      <c r="E238" s="12" t="s">
        <v>303</v>
      </c>
    </row>
    <row r="239" spans="1:5" s="5" customFormat="1">
      <c r="A239" s="11">
        <v>16</v>
      </c>
      <c r="B239" s="12" t="str">
        <f>المدخلات!$F$6</f>
        <v>7:20–8:50 م</v>
      </c>
      <c r="C239" s="12">
        <v>1</v>
      </c>
      <c r="D239" s="12" t="s">
        <v>89</v>
      </c>
      <c r="E239" s="12" t="s">
        <v>407</v>
      </c>
    </row>
    <row r="240" spans="1:5" s="5" customFormat="1">
      <c r="A240" s="11">
        <v>16</v>
      </c>
      <c r="B240" s="12" t="str">
        <f>المدخلات!$F$6</f>
        <v>7:20–8:50 م</v>
      </c>
      <c r="C240" s="12">
        <v>2</v>
      </c>
      <c r="D240" s="12" t="s">
        <v>89</v>
      </c>
      <c r="E240" s="12" t="s">
        <v>94</v>
      </c>
    </row>
    <row r="241" spans="1:5" s="5" customFormat="1">
      <c r="A241" s="11">
        <v>16</v>
      </c>
      <c r="B241" s="12" t="str">
        <f>المدخلات!$F$6</f>
        <v>7:20–8:50 م</v>
      </c>
      <c r="C241" s="12">
        <v>3</v>
      </c>
      <c r="D241" s="12" t="s">
        <v>89</v>
      </c>
      <c r="E241" s="12" t="s">
        <v>105</v>
      </c>
    </row>
    <row r="242" spans="1:5" s="5" customFormat="1">
      <c r="A242" s="11">
        <v>16</v>
      </c>
      <c r="B242" s="12" t="str">
        <f>المدخلات!$F$6</f>
        <v>7:20–8:50 م</v>
      </c>
      <c r="C242" s="12">
        <v>4</v>
      </c>
      <c r="D242" s="12" t="s">
        <v>274</v>
      </c>
      <c r="E242" s="12" t="s">
        <v>290</v>
      </c>
    </row>
    <row r="243" spans="1:5" s="5" customFormat="1">
      <c r="A243" s="11">
        <v>16</v>
      </c>
      <c r="B243" s="12" t="str">
        <f>المدخلات!$F$6</f>
        <v>7:20–8:50 م</v>
      </c>
      <c r="C243" s="12">
        <v>5</v>
      </c>
      <c r="D243" s="12" t="s">
        <v>17</v>
      </c>
      <c r="E243" s="12" t="s">
        <v>39</v>
      </c>
    </row>
    <row r="244" spans="1:5" s="5" customFormat="1">
      <c r="A244" s="11">
        <v>17</v>
      </c>
      <c r="B244" s="12" t="str">
        <f>المدخلات!$F$4</f>
        <v>4:00–5:30 م</v>
      </c>
      <c r="C244" s="12">
        <v>1</v>
      </c>
      <c r="D244" s="12" t="s">
        <v>89</v>
      </c>
      <c r="E244" s="12" t="s">
        <v>409</v>
      </c>
    </row>
    <row r="245" spans="1:5" s="5" customFormat="1">
      <c r="A245" s="11">
        <v>17</v>
      </c>
      <c r="B245" s="12" t="str">
        <f>المدخلات!$F$4</f>
        <v>4:00–5:30 م</v>
      </c>
      <c r="C245" s="12">
        <v>2</v>
      </c>
      <c r="D245" s="12" t="s">
        <v>274</v>
      </c>
      <c r="E245" s="12" t="s">
        <v>292</v>
      </c>
    </row>
    <row r="246" spans="1:5" s="5" customFormat="1">
      <c r="A246" s="11">
        <v>17</v>
      </c>
      <c r="B246" s="12" t="str">
        <f>المدخلات!$F$4</f>
        <v>4:00–5:30 م</v>
      </c>
      <c r="C246" s="12">
        <v>3</v>
      </c>
      <c r="D246" s="12" t="s">
        <v>17</v>
      </c>
      <c r="E246" s="12" t="s">
        <v>365</v>
      </c>
    </row>
    <row r="247" spans="1:5" s="5" customFormat="1">
      <c r="A247" s="11">
        <v>17</v>
      </c>
      <c r="B247" s="12" t="str">
        <f>المدخلات!$F$4</f>
        <v>4:00–5:30 م</v>
      </c>
      <c r="C247" s="12">
        <v>4</v>
      </c>
      <c r="D247" s="12" t="s">
        <v>89</v>
      </c>
      <c r="E247" s="12" t="s">
        <v>98</v>
      </c>
    </row>
    <row r="248" spans="1:5" s="5" customFormat="1">
      <c r="A248" s="11">
        <v>17</v>
      </c>
      <c r="B248" s="12" t="str">
        <f>المدخلات!$F$4</f>
        <v>4:00–5:30 م</v>
      </c>
      <c r="C248" s="12">
        <v>5</v>
      </c>
      <c r="D248" s="12" t="s">
        <v>274</v>
      </c>
      <c r="E248" s="12" t="s">
        <v>281</v>
      </c>
    </row>
    <row r="249" spans="1:5" s="5" customFormat="1">
      <c r="A249" s="11">
        <v>17</v>
      </c>
      <c r="B249" s="12" t="str">
        <f>المدخلات!$F$5</f>
        <v>5:40–7:10 م</v>
      </c>
      <c r="C249" s="12">
        <v>1</v>
      </c>
      <c r="D249" s="12" t="s">
        <v>274</v>
      </c>
      <c r="E249" s="12" t="s">
        <v>395</v>
      </c>
    </row>
    <row r="250" spans="1:5" s="5" customFormat="1">
      <c r="A250" s="11">
        <v>17</v>
      </c>
      <c r="B250" s="12" t="str">
        <f>المدخلات!$F$5</f>
        <v>5:40–7:10 م</v>
      </c>
      <c r="C250" s="12">
        <v>2</v>
      </c>
      <c r="D250" s="12" t="s">
        <v>89</v>
      </c>
      <c r="E250" s="12" t="s">
        <v>411</v>
      </c>
    </row>
    <row r="251" spans="1:5" s="5" customFormat="1">
      <c r="A251" s="11">
        <v>17</v>
      </c>
      <c r="B251" s="12" t="str">
        <f>المدخلات!$F$5</f>
        <v>5:40–7:10 م</v>
      </c>
      <c r="C251" s="12">
        <v>3</v>
      </c>
      <c r="D251" s="12" t="s">
        <v>89</v>
      </c>
      <c r="E251" s="12" t="s">
        <v>74</v>
      </c>
    </row>
    <row r="252" spans="1:5" s="5" customFormat="1">
      <c r="A252" s="11">
        <v>17</v>
      </c>
      <c r="B252" s="12" t="str">
        <f>المدخلات!$F$5</f>
        <v>5:40–7:10 م</v>
      </c>
      <c r="C252" s="12">
        <v>4</v>
      </c>
      <c r="D252" s="12" t="s">
        <v>163</v>
      </c>
      <c r="E252" s="12" t="s">
        <v>256</v>
      </c>
    </row>
    <row r="253" spans="1:5" s="5" customFormat="1">
      <c r="A253" s="11">
        <v>17</v>
      </c>
      <c r="B253" s="12" t="str">
        <f>المدخلات!$F$5</f>
        <v>5:40–7:10 م</v>
      </c>
      <c r="C253" s="12">
        <v>5</v>
      </c>
      <c r="D253" s="12" t="s">
        <v>163</v>
      </c>
      <c r="E253" s="12" t="s">
        <v>412</v>
      </c>
    </row>
    <row r="254" spans="1:5" s="5" customFormat="1">
      <c r="A254" s="11">
        <v>17</v>
      </c>
      <c r="B254" s="12" t="str">
        <f>المدخلات!$F$6</f>
        <v>7:20–8:50 م</v>
      </c>
      <c r="C254" s="12">
        <v>1</v>
      </c>
      <c r="D254" s="12" t="s">
        <v>17</v>
      </c>
      <c r="E254" s="12" t="s">
        <v>23</v>
      </c>
    </row>
    <row r="255" spans="1:5" s="5" customFormat="1">
      <c r="A255" s="11">
        <v>17</v>
      </c>
      <c r="B255" s="12" t="str">
        <f>المدخلات!$F$6</f>
        <v>7:20–8:50 م</v>
      </c>
      <c r="C255" s="12">
        <v>2</v>
      </c>
      <c r="D255" s="12" t="s">
        <v>163</v>
      </c>
      <c r="E255" s="12" t="s">
        <v>192</v>
      </c>
    </row>
    <row r="256" spans="1:5" s="5" customFormat="1">
      <c r="A256" s="11">
        <v>17</v>
      </c>
      <c r="B256" s="12" t="str">
        <f>المدخلات!$F$6</f>
        <v>7:20–8:50 م</v>
      </c>
      <c r="C256" s="12">
        <v>3</v>
      </c>
      <c r="D256" s="12" t="s">
        <v>17</v>
      </c>
      <c r="E256" s="12" t="s">
        <v>18</v>
      </c>
    </row>
    <row r="257" spans="1:5" s="5" customFormat="1">
      <c r="A257" s="11">
        <v>17</v>
      </c>
      <c r="B257" s="12" t="str">
        <f>المدخلات!$F$6</f>
        <v>7:20–8:50 م</v>
      </c>
      <c r="C257" s="12">
        <v>4</v>
      </c>
      <c r="D257" s="12" t="s">
        <v>17</v>
      </c>
      <c r="E257" s="12" t="s">
        <v>406</v>
      </c>
    </row>
    <row r="258" spans="1:5" s="5" customFormat="1">
      <c r="A258" s="11">
        <v>17</v>
      </c>
      <c r="B258" s="12" t="str">
        <f>المدخلات!$F$6</f>
        <v>7:20–8:50 م</v>
      </c>
      <c r="C258" s="12">
        <v>5</v>
      </c>
      <c r="D258" s="12" t="s">
        <v>163</v>
      </c>
      <c r="E258" s="12" t="s">
        <v>413</v>
      </c>
    </row>
    <row r="259" spans="1:5" s="5" customFormat="1">
      <c r="A259" s="11">
        <v>18</v>
      </c>
      <c r="B259" s="12" t="str">
        <f>المدخلات!$F$4</f>
        <v>4:00–5:30 م</v>
      </c>
      <c r="C259" s="12">
        <v>1</v>
      </c>
      <c r="D259" s="12" t="s">
        <v>163</v>
      </c>
      <c r="E259" s="12" t="s">
        <v>416</v>
      </c>
    </row>
    <row r="260" spans="1:5" s="5" customFormat="1">
      <c r="A260" s="11">
        <v>18</v>
      </c>
      <c r="B260" s="12" t="str">
        <f>المدخلات!$F$4</f>
        <v>4:00–5:30 م</v>
      </c>
      <c r="C260" s="12">
        <v>2</v>
      </c>
      <c r="D260" s="12" t="s">
        <v>17</v>
      </c>
      <c r="E260" s="12" t="s">
        <v>370</v>
      </c>
    </row>
    <row r="261" spans="1:5" s="5" customFormat="1">
      <c r="A261" s="11">
        <v>18</v>
      </c>
      <c r="B261" s="12" t="str">
        <f>المدخلات!$F$4</f>
        <v>4:00–5:30 م</v>
      </c>
      <c r="C261" s="12">
        <v>3</v>
      </c>
      <c r="D261" s="12" t="s">
        <v>17</v>
      </c>
      <c r="E261" s="12" t="s">
        <v>408</v>
      </c>
    </row>
    <row r="262" spans="1:5" s="5" customFormat="1">
      <c r="A262" s="11">
        <v>18</v>
      </c>
      <c r="B262" s="12" t="str">
        <f>المدخلات!$F$4</f>
        <v>4:00–5:30 م</v>
      </c>
      <c r="C262" s="12">
        <v>4</v>
      </c>
      <c r="D262" s="12" t="s">
        <v>89</v>
      </c>
      <c r="E262" s="12" t="s">
        <v>415</v>
      </c>
    </row>
    <row r="263" spans="1:5" s="5" customFormat="1">
      <c r="A263" s="11">
        <v>18</v>
      </c>
      <c r="B263" s="12" t="str">
        <f>المدخلات!$F$4</f>
        <v>4:00–5:30 م</v>
      </c>
      <c r="C263" s="12">
        <v>5</v>
      </c>
      <c r="D263" s="12" t="s">
        <v>17</v>
      </c>
      <c r="E263" s="12" t="s">
        <v>21</v>
      </c>
    </row>
    <row r="264" spans="1:5" s="5" customFormat="1">
      <c r="A264" s="11">
        <v>18</v>
      </c>
      <c r="B264" s="12" t="str">
        <f>المدخلات!$F$5</f>
        <v>5:40–7:10 م</v>
      </c>
      <c r="C264" s="12">
        <v>1</v>
      </c>
      <c r="D264" s="12" t="s">
        <v>163</v>
      </c>
      <c r="E264" s="12" t="s">
        <v>417</v>
      </c>
    </row>
    <row r="265" spans="1:5" s="5" customFormat="1">
      <c r="A265" s="11">
        <v>18</v>
      </c>
      <c r="B265" s="12" t="str">
        <f>المدخلات!$F$5</f>
        <v>5:40–7:10 م</v>
      </c>
      <c r="C265" s="12">
        <v>2</v>
      </c>
      <c r="D265" s="12" t="s">
        <v>89</v>
      </c>
      <c r="E265" s="12" t="s">
        <v>414</v>
      </c>
    </row>
    <row r="266" spans="1:5" s="5" customFormat="1">
      <c r="A266" s="11">
        <v>18</v>
      </c>
      <c r="B266" s="12" t="str">
        <f>المدخلات!$F$5</f>
        <v>5:40–7:10 م</v>
      </c>
      <c r="C266" s="12">
        <v>3</v>
      </c>
      <c r="D266" s="12" t="s">
        <v>163</v>
      </c>
      <c r="E266" s="12" t="s">
        <v>418</v>
      </c>
    </row>
    <row r="267" spans="1:5" s="5" customFormat="1">
      <c r="A267" s="11">
        <v>18</v>
      </c>
      <c r="B267" s="12" t="str">
        <f>المدخلات!$F$5</f>
        <v>5:40–7:10 م</v>
      </c>
      <c r="C267" s="12">
        <v>4</v>
      </c>
      <c r="D267" s="12" t="s">
        <v>17</v>
      </c>
      <c r="E267" s="12" t="s">
        <v>375</v>
      </c>
    </row>
    <row r="268" spans="1:5" s="5" customFormat="1">
      <c r="A268" s="11">
        <v>18</v>
      </c>
      <c r="B268" s="12" t="str">
        <f>المدخلات!$F$5</f>
        <v>5:40–7:10 م</v>
      </c>
      <c r="C268" s="12">
        <v>5</v>
      </c>
      <c r="D268" s="12" t="s">
        <v>274</v>
      </c>
      <c r="E268" s="12" t="s">
        <v>396</v>
      </c>
    </row>
    <row r="269" spans="1:5" s="5" customFormat="1">
      <c r="A269" s="11">
        <v>18</v>
      </c>
      <c r="B269" s="12" t="str">
        <f>المدخلات!$F$6</f>
        <v>7:20–8:50 م</v>
      </c>
      <c r="C269" s="12">
        <v>1</v>
      </c>
      <c r="D269" s="12" t="s">
        <v>274</v>
      </c>
      <c r="E269" s="12" t="s">
        <v>288</v>
      </c>
    </row>
    <row r="270" spans="1:5" s="5" customFormat="1">
      <c r="A270" s="11">
        <v>18</v>
      </c>
      <c r="B270" s="12" t="str">
        <f>المدخلات!$F$6</f>
        <v>7:20–8:50 م</v>
      </c>
      <c r="C270" s="12">
        <v>2</v>
      </c>
      <c r="D270" s="12" t="s">
        <v>274</v>
      </c>
      <c r="E270" s="12" t="s">
        <v>397</v>
      </c>
    </row>
    <row r="271" spans="1:5" s="5" customFormat="1">
      <c r="A271" s="11">
        <v>18</v>
      </c>
      <c r="B271" s="12" t="str">
        <f>المدخلات!$F$6</f>
        <v>7:20–8:50 م</v>
      </c>
      <c r="C271" s="12">
        <v>3</v>
      </c>
      <c r="D271" s="12" t="s">
        <v>163</v>
      </c>
      <c r="E271" s="12" t="s">
        <v>226</v>
      </c>
    </row>
    <row r="272" spans="1:5" s="5" customFormat="1">
      <c r="A272" s="11">
        <v>18</v>
      </c>
      <c r="B272" s="12" t="str">
        <f>المدخلات!$F$6</f>
        <v>7:20–8:50 م</v>
      </c>
      <c r="C272" s="12">
        <v>4</v>
      </c>
      <c r="D272" s="12" t="s">
        <v>89</v>
      </c>
      <c r="E272" s="12" t="s">
        <v>92</v>
      </c>
    </row>
    <row r="273" spans="1:5" s="5" customFormat="1">
      <c r="A273" s="11">
        <v>18</v>
      </c>
      <c r="B273" s="12" t="str">
        <f>المدخلات!$F$6</f>
        <v>7:20–8:50 م</v>
      </c>
      <c r="C273" s="12">
        <v>5</v>
      </c>
      <c r="D273" s="12" t="s">
        <v>89</v>
      </c>
      <c r="E273" s="12" t="s">
        <v>366</v>
      </c>
    </row>
    <row r="274" spans="1:5" s="5" customFormat="1">
      <c r="A274" s="11">
        <v>19</v>
      </c>
      <c r="B274" s="12" t="str">
        <f>المدخلات!$F$4</f>
        <v>4:00–5:30 م</v>
      </c>
      <c r="C274" s="12">
        <v>1</v>
      </c>
      <c r="D274" s="12" t="s">
        <v>17</v>
      </c>
      <c r="E274" s="12" t="s">
        <v>24</v>
      </c>
    </row>
    <row r="275" spans="1:5" s="5" customFormat="1">
      <c r="A275" s="11">
        <v>19</v>
      </c>
      <c r="B275" s="12" t="str">
        <f>المدخلات!$F$4</f>
        <v>4:00–5:30 م</v>
      </c>
      <c r="C275" s="12">
        <v>2</v>
      </c>
      <c r="D275" s="12" t="s">
        <v>163</v>
      </c>
      <c r="E275" s="12" t="s">
        <v>271</v>
      </c>
    </row>
    <row r="276" spans="1:5" s="5" customFormat="1">
      <c r="A276" s="11">
        <v>19</v>
      </c>
      <c r="B276" s="12" t="str">
        <f>المدخلات!$F$4</f>
        <v>4:00–5:30 م</v>
      </c>
      <c r="C276" s="12">
        <v>3</v>
      </c>
      <c r="D276" s="12" t="s">
        <v>89</v>
      </c>
      <c r="E276" s="12" t="s">
        <v>114</v>
      </c>
    </row>
    <row r="277" spans="1:5" s="5" customFormat="1">
      <c r="A277" s="11">
        <v>19</v>
      </c>
      <c r="B277" s="12" t="str">
        <f>المدخلات!$F$4</f>
        <v>4:00–5:30 م</v>
      </c>
      <c r="C277" s="12">
        <v>4</v>
      </c>
      <c r="D277" s="12" t="s">
        <v>274</v>
      </c>
      <c r="E277" s="12" t="s">
        <v>400</v>
      </c>
    </row>
    <row r="278" spans="1:5" s="5" customFormat="1">
      <c r="A278" s="11">
        <v>19</v>
      </c>
      <c r="B278" s="12" t="str">
        <f>المدخلات!$F$4</f>
        <v>4:00–5:30 م</v>
      </c>
      <c r="C278" s="12">
        <v>5</v>
      </c>
      <c r="D278" s="12" t="s">
        <v>89</v>
      </c>
      <c r="E278" s="12" t="s">
        <v>376</v>
      </c>
    </row>
    <row r="279" spans="1:5" s="5" customFormat="1">
      <c r="A279" s="11">
        <v>19</v>
      </c>
      <c r="B279" s="12" t="str">
        <f>المدخلات!$F$5</f>
        <v>5:40–7:10 م</v>
      </c>
      <c r="C279" s="12">
        <v>1</v>
      </c>
      <c r="D279" s="12" t="s">
        <v>89</v>
      </c>
      <c r="E279" s="12" t="s">
        <v>85</v>
      </c>
    </row>
    <row r="280" spans="1:5" s="5" customFormat="1">
      <c r="A280" s="11">
        <v>19</v>
      </c>
      <c r="B280" s="12" t="str">
        <f>المدخلات!$F$5</f>
        <v>5:40–7:10 م</v>
      </c>
      <c r="C280" s="12">
        <v>2</v>
      </c>
      <c r="D280" s="12" t="s">
        <v>163</v>
      </c>
      <c r="E280" s="12" t="s">
        <v>215</v>
      </c>
    </row>
    <row r="281" spans="1:5" s="5" customFormat="1">
      <c r="A281" s="11">
        <v>19</v>
      </c>
      <c r="B281" s="12" t="str">
        <f>المدخلات!$F$5</f>
        <v>5:40–7:10 م</v>
      </c>
      <c r="C281" s="12">
        <v>3</v>
      </c>
      <c r="D281" s="12" t="s">
        <v>274</v>
      </c>
      <c r="E281" s="12" t="s">
        <v>401</v>
      </c>
    </row>
    <row r="282" spans="1:5" s="5" customFormat="1">
      <c r="A282" s="11">
        <v>19</v>
      </c>
      <c r="B282" s="12" t="str">
        <f>المدخلات!$F$5</f>
        <v>5:40–7:10 م</v>
      </c>
      <c r="C282" s="12">
        <v>4</v>
      </c>
      <c r="D282" s="12" t="s">
        <v>17</v>
      </c>
      <c r="E282" s="12" t="s">
        <v>385</v>
      </c>
    </row>
    <row r="283" spans="1:5" s="5" customFormat="1">
      <c r="A283" s="11">
        <v>19</v>
      </c>
      <c r="B283" s="12" t="str">
        <f>المدخلات!$F$5</f>
        <v>5:40–7:10 م</v>
      </c>
      <c r="C283" s="12">
        <v>5</v>
      </c>
      <c r="D283" s="12" t="s">
        <v>17</v>
      </c>
      <c r="E283" s="12" t="s">
        <v>380</v>
      </c>
    </row>
    <row r="284" spans="1:5" s="5" customFormat="1">
      <c r="A284" s="11">
        <v>19</v>
      </c>
      <c r="B284" s="12" t="str">
        <f>المدخلات!$F$6</f>
        <v>7:20–8:50 م</v>
      </c>
      <c r="C284" s="12">
        <v>1</v>
      </c>
      <c r="D284" s="12" t="s">
        <v>274</v>
      </c>
      <c r="E284" s="12" t="s">
        <v>287</v>
      </c>
    </row>
    <row r="285" spans="1:5" s="5" customFormat="1">
      <c r="A285" s="11">
        <v>19</v>
      </c>
      <c r="B285" s="12" t="str">
        <f>المدخلات!$F$6</f>
        <v>7:20–8:50 م</v>
      </c>
      <c r="C285" s="12">
        <v>2</v>
      </c>
      <c r="D285" s="12" t="s">
        <v>17</v>
      </c>
      <c r="E285" s="12" t="s">
        <v>48</v>
      </c>
    </row>
    <row r="286" spans="1:5" s="5" customFormat="1">
      <c r="A286" s="11">
        <v>19</v>
      </c>
      <c r="B286" s="12" t="str">
        <f>المدخلات!$F$6</f>
        <v>7:20–8:50 م</v>
      </c>
      <c r="C286" s="12">
        <v>3</v>
      </c>
      <c r="D286" s="12" t="s">
        <v>89</v>
      </c>
      <c r="E286" s="12" t="s">
        <v>371</v>
      </c>
    </row>
    <row r="287" spans="1:5" s="5" customFormat="1">
      <c r="A287" s="11">
        <v>19</v>
      </c>
      <c r="B287" s="12" t="str">
        <f>المدخلات!$F$6</f>
        <v>7:20–8:50 م</v>
      </c>
      <c r="C287" s="12">
        <v>4</v>
      </c>
      <c r="D287" s="12" t="s">
        <v>163</v>
      </c>
      <c r="E287" s="12" t="s">
        <v>367</v>
      </c>
    </row>
    <row r="288" spans="1:5" s="5" customFormat="1">
      <c r="A288" s="11">
        <v>19</v>
      </c>
      <c r="B288" s="12" t="str">
        <f>المدخلات!$F$6</f>
        <v>7:20–8:50 م</v>
      </c>
      <c r="C288" s="12">
        <v>5</v>
      </c>
      <c r="D288" s="12" t="s">
        <v>163</v>
      </c>
      <c r="E288" s="12" t="s">
        <v>419</v>
      </c>
    </row>
    <row r="289" spans="1:5" s="5" customFormat="1">
      <c r="A289" s="11">
        <v>20</v>
      </c>
      <c r="B289" s="12" t="str">
        <f>المدخلات!$F$4</f>
        <v>4:00–5:30 م</v>
      </c>
      <c r="C289" s="12">
        <v>1</v>
      </c>
      <c r="D289" s="12" t="s">
        <v>163</v>
      </c>
      <c r="E289" s="12" t="s">
        <v>272</v>
      </c>
    </row>
    <row r="290" spans="1:5" s="5" customFormat="1">
      <c r="A290" s="11">
        <v>20</v>
      </c>
      <c r="B290" s="12" t="str">
        <f>المدخلات!$F$4</f>
        <v>4:00–5:30 م</v>
      </c>
      <c r="C290" s="12">
        <v>2</v>
      </c>
      <c r="D290" s="12" t="s">
        <v>89</v>
      </c>
      <c r="E290" s="12" t="s">
        <v>70</v>
      </c>
    </row>
    <row r="291" spans="1:5" s="5" customFormat="1">
      <c r="A291" s="11">
        <v>20</v>
      </c>
      <c r="B291" s="12" t="str">
        <f>المدخلات!$F$4</f>
        <v>4:00–5:30 م</v>
      </c>
      <c r="C291" s="12">
        <v>3</v>
      </c>
      <c r="D291" s="12" t="s">
        <v>163</v>
      </c>
      <c r="E291" s="12" t="s">
        <v>372</v>
      </c>
    </row>
    <row r="292" spans="1:5" s="5" customFormat="1">
      <c r="A292" s="11">
        <v>20</v>
      </c>
      <c r="B292" s="12" t="str">
        <f>المدخلات!$F$4</f>
        <v>4:00–5:30 م</v>
      </c>
      <c r="C292" s="12">
        <v>4</v>
      </c>
      <c r="D292" s="12" t="s">
        <v>163</v>
      </c>
      <c r="E292" s="12" t="s">
        <v>267</v>
      </c>
    </row>
    <row r="293" spans="1:5" s="5" customFormat="1">
      <c r="A293" s="11">
        <v>20</v>
      </c>
      <c r="B293" s="12" t="str">
        <f>المدخلات!$F$4</f>
        <v>4:00–5:30 م</v>
      </c>
      <c r="C293" s="12">
        <v>5</v>
      </c>
      <c r="D293" s="12" t="s">
        <v>163</v>
      </c>
      <c r="E293" s="12" t="s">
        <v>178</v>
      </c>
    </row>
    <row r="294" spans="1:5" s="5" customFormat="1">
      <c r="A294" s="11">
        <v>20</v>
      </c>
      <c r="B294" s="12" t="str">
        <f>المدخلات!$F$5</f>
        <v>5:40–7:10 م</v>
      </c>
      <c r="C294" s="12">
        <v>1</v>
      </c>
      <c r="D294" s="12" t="s">
        <v>17</v>
      </c>
      <c r="E294" s="12" t="s">
        <v>42</v>
      </c>
    </row>
    <row r="295" spans="1:5" s="5" customFormat="1">
      <c r="A295" s="11">
        <v>20</v>
      </c>
      <c r="B295" s="12" t="str">
        <f>المدخلات!$F$5</f>
        <v>5:40–7:10 م</v>
      </c>
      <c r="C295" s="12">
        <v>2</v>
      </c>
      <c r="D295" s="12" t="s">
        <v>89</v>
      </c>
      <c r="E295" s="12" t="s">
        <v>108</v>
      </c>
    </row>
    <row r="296" spans="1:5" s="5" customFormat="1">
      <c r="A296" s="11">
        <v>20</v>
      </c>
      <c r="B296" s="12" t="str">
        <f>المدخلات!$F$5</f>
        <v>5:40–7:10 م</v>
      </c>
      <c r="C296" s="12">
        <v>3</v>
      </c>
      <c r="D296" s="12" t="s">
        <v>17</v>
      </c>
      <c r="E296" s="12" t="s">
        <v>49</v>
      </c>
    </row>
    <row r="297" spans="1:5" s="5" customFormat="1">
      <c r="A297" s="11">
        <v>20</v>
      </c>
      <c r="B297" s="12" t="str">
        <f>المدخلات!$F$5</f>
        <v>5:40–7:10 م</v>
      </c>
      <c r="C297" s="12">
        <v>4</v>
      </c>
      <c r="D297" s="12" t="s">
        <v>274</v>
      </c>
      <c r="E297" s="12" t="s">
        <v>280</v>
      </c>
    </row>
    <row r="298" spans="1:5" s="5" customFormat="1">
      <c r="A298" s="11">
        <v>20</v>
      </c>
      <c r="B298" s="12" t="str">
        <f>المدخلات!$F$5</f>
        <v>5:40–7:10 م</v>
      </c>
      <c r="C298" s="12">
        <v>5</v>
      </c>
      <c r="D298" s="12" t="s">
        <v>89</v>
      </c>
      <c r="E298" s="12" t="s">
        <v>115</v>
      </c>
    </row>
    <row r="299" spans="1:5" s="5" customFormat="1">
      <c r="A299" s="11">
        <v>20</v>
      </c>
      <c r="B299" s="12" t="str">
        <f>المدخلات!$F$6</f>
        <v>7:20–8:50 م</v>
      </c>
      <c r="C299" s="12">
        <v>1</v>
      </c>
      <c r="D299" s="12" t="s">
        <v>89</v>
      </c>
      <c r="E299" s="12" t="s">
        <v>381</v>
      </c>
    </row>
    <row r="300" spans="1:5" s="5" customFormat="1">
      <c r="A300" s="11">
        <v>20</v>
      </c>
      <c r="B300" s="12" t="str">
        <f>المدخلات!$F$6</f>
        <v>7:20–8:50 م</v>
      </c>
      <c r="C300" s="12">
        <v>2</v>
      </c>
      <c r="D300" s="12" t="s">
        <v>17</v>
      </c>
      <c r="E300" s="12" t="s">
        <v>27</v>
      </c>
    </row>
    <row r="301" spans="1:5" s="5" customFormat="1">
      <c r="A301" s="11">
        <v>20</v>
      </c>
      <c r="B301" s="12" t="str">
        <f>المدخلات!$F$6</f>
        <v>7:20–8:50 م</v>
      </c>
      <c r="C301" s="12">
        <v>3</v>
      </c>
      <c r="D301" s="12" t="s">
        <v>274</v>
      </c>
      <c r="E301" s="12" t="s">
        <v>305</v>
      </c>
    </row>
    <row r="302" spans="1:5" s="5" customFormat="1">
      <c r="A302" s="11">
        <v>20</v>
      </c>
      <c r="B302" s="12" t="str">
        <f>المدخلات!$F$6</f>
        <v>7:20–8:50 م</v>
      </c>
      <c r="C302" s="12">
        <v>4</v>
      </c>
      <c r="D302" s="12" t="s">
        <v>274</v>
      </c>
      <c r="E302" s="12" t="s">
        <v>368</v>
      </c>
    </row>
    <row r="303" spans="1:5" s="5" customFormat="1">
      <c r="A303" s="11">
        <v>20</v>
      </c>
      <c r="B303" s="12" t="str">
        <f>المدخلات!$F$6</f>
        <v>7:20–8:50 م</v>
      </c>
      <c r="C303" s="12">
        <v>5</v>
      </c>
      <c r="D303" s="12" t="s">
        <v>17</v>
      </c>
      <c r="E303" s="12" t="s">
        <v>390</v>
      </c>
    </row>
    <row r="304" spans="1:5" s="5" customFormat="1">
      <c r="A304" s="11">
        <v>21</v>
      </c>
      <c r="B304" s="12" t="str">
        <f>المدخلات!$F$4</f>
        <v>4:00–5:30 م</v>
      </c>
      <c r="C304" s="12">
        <v>1</v>
      </c>
      <c r="D304" s="12" t="s">
        <v>17</v>
      </c>
      <c r="E304" s="12" t="s">
        <v>43</v>
      </c>
    </row>
    <row r="305" spans="1:5" s="5" customFormat="1">
      <c r="A305" s="11">
        <v>21</v>
      </c>
      <c r="B305" s="12" t="str">
        <f>المدخلات!$F$4</f>
        <v>4:00–5:30 م</v>
      </c>
      <c r="C305" s="12">
        <v>2</v>
      </c>
      <c r="D305" s="12" t="s">
        <v>274</v>
      </c>
      <c r="E305" s="12" t="s">
        <v>306</v>
      </c>
    </row>
    <row r="306" spans="1:5" s="5" customFormat="1">
      <c r="A306" s="11">
        <v>21</v>
      </c>
      <c r="B306" s="12" t="str">
        <f>المدخلات!$F$4</f>
        <v>4:00–5:30 م</v>
      </c>
      <c r="C306" s="12">
        <v>3</v>
      </c>
      <c r="D306" s="12" t="s">
        <v>274</v>
      </c>
      <c r="E306" s="12" t="s">
        <v>278</v>
      </c>
    </row>
    <row r="307" spans="1:5" s="5" customFormat="1">
      <c r="A307" s="11">
        <v>21</v>
      </c>
      <c r="B307" s="12" t="str">
        <f>المدخلات!$F$4</f>
        <v>4:00–5:30 م</v>
      </c>
      <c r="C307" s="12">
        <v>4</v>
      </c>
      <c r="D307" s="12" t="s">
        <v>89</v>
      </c>
      <c r="E307" s="12" t="s">
        <v>109</v>
      </c>
    </row>
    <row r="308" spans="1:5" s="5" customFormat="1">
      <c r="A308" s="11">
        <v>21</v>
      </c>
      <c r="B308" s="12" t="str">
        <f>المدخلات!$F$4</f>
        <v>4:00–5:30 م</v>
      </c>
      <c r="C308" s="12">
        <v>5</v>
      </c>
      <c r="D308" s="12" t="s">
        <v>17</v>
      </c>
      <c r="E308" s="12" t="s">
        <v>50</v>
      </c>
    </row>
    <row r="309" spans="1:5" s="5" customFormat="1">
      <c r="A309" s="11">
        <v>21</v>
      </c>
      <c r="B309" s="12" t="str">
        <f>المدخلات!$F$5</f>
        <v>5:40–7:10 م</v>
      </c>
      <c r="C309" s="12">
        <v>1</v>
      </c>
      <c r="D309" s="12" t="s">
        <v>89</v>
      </c>
      <c r="E309" s="12" t="s">
        <v>64</v>
      </c>
    </row>
    <row r="310" spans="1:5" s="5" customFormat="1">
      <c r="A310" s="11">
        <v>21</v>
      </c>
      <c r="B310" s="12" t="str">
        <f>المدخلات!$F$5</f>
        <v>5:40–7:10 م</v>
      </c>
      <c r="C310" s="12">
        <v>2</v>
      </c>
      <c r="D310" s="12" t="s">
        <v>274</v>
      </c>
      <c r="E310" s="12" t="s">
        <v>293</v>
      </c>
    </row>
    <row r="311" spans="1:5" s="5" customFormat="1">
      <c r="A311" s="11">
        <v>21</v>
      </c>
      <c r="B311" s="12" t="str">
        <f>المدخلات!$F$5</f>
        <v>5:40–7:10 م</v>
      </c>
      <c r="C311" s="12">
        <v>3</v>
      </c>
      <c r="D311" s="12" t="s">
        <v>163</v>
      </c>
      <c r="E311" s="12" t="s">
        <v>273</v>
      </c>
    </row>
    <row r="312" spans="1:5" s="5" customFormat="1">
      <c r="A312" s="11">
        <v>21</v>
      </c>
      <c r="B312" s="12" t="str">
        <f>المدخلات!$F$5</f>
        <v>5:40–7:10 م</v>
      </c>
      <c r="C312" s="12">
        <v>4</v>
      </c>
      <c r="D312" s="12" t="s">
        <v>17</v>
      </c>
      <c r="E312" s="12" t="s">
        <v>30</v>
      </c>
    </row>
    <row r="313" spans="1:5" s="5" customFormat="1">
      <c r="A313" s="11">
        <v>21</v>
      </c>
      <c r="B313" s="12" t="str">
        <f>المدخلات!$F$5</f>
        <v>5:40–7:10 م</v>
      </c>
      <c r="C313" s="12">
        <v>5</v>
      </c>
      <c r="D313" s="12" t="s">
        <v>163</v>
      </c>
      <c r="E313" s="12" t="s">
        <v>254</v>
      </c>
    </row>
    <row r="314" spans="1:5" s="5" customFormat="1">
      <c r="A314" s="11">
        <v>21</v>
      </c>
      <c r="B314" s="12" t="str">
        <f>المدخلات!$F$6</f>
        <v>7:20–8:50 م</v>
      </c>
      <c r="C314" s="12">
        <v>1</v>
      </c>
      <c r="D314" s="12" t="s">
        <v>89</v>
      </c>
      <c r="E314" s="12" t="s">
        <v>116</v>
      </c>
    </row>
    <row r="315" spans="1:5" s="5" customFormat="1">
      <c r="A315" s="11">
        <v>21</v>
      </c>
      <c r="B315" s="12" t="str">
        <f>المدخلات!$F$6</f>
        <v>7:20–8:50 م</v>
      </c>
      <c r="C315" s="12">
        <v>2</v>
      </c>
      <c r="D315" s="12" t="s">
        <v>163</v>
      </c>
      <c r="E315" s="12" t="s">
        <v>268</v>
      </c>
    </row>
    <row r="316" spans="1:5" s="5" customFormat="1">
      <c r="A316" s="11">
        <v>21</v>
      </c>
      <c r="B316" s="12" t="str">
        <f>المدخلات!$F$6</f>
        <v>7:20–8:50 م</v>
      </c>
      <c r="C316" s="12">
        <v>3</v>
      </c>
      <c r="D316" s="12" t="s">
        <v>17</v>
      </c>
      <c r="E316" s="12" t="s">
        <v>29</v>
      </c>
    </row>
    <row r="317" spans="1:5" s="5" customFormat="1">
      <c r="A317" s="11">
        <v>21</v>
      </c>
      <c r="B317" s="12" t="str">
        <f>المدخلات!$F$6</f>
        <v>7:20–8:50 م</v>
      </c>
      <c r="C317" s="12">
        <v>4</v>
      </c>
      <c r="D317" s="12" t="s">
        <v>163</v>
      </c>
      <c r="E317" s="12" t="s">
        <v>167</v>
      </c>
    </row>
    <row r="318" spans="1:5" s="5" customFormat="1">
      <c r="A318" s="23">
        <v>21</v>
      </c>
      <c r="B318" s="24" t="str">
        <f>المدخلات!$F$6</f>
        <v>7:20–8:50 م</v>
      </c>
      <c r="C318" s="24">
        <v>5</v>
      </c>
      <c r="D318" s="24" t="s">
        <v>89</v>
      </c>
      <c r="E318" s="24" t="s">
        <v>102</v>
      </c>
    </row>
    <row r="319" spans="1:5" s="5" customFormat="1">
      <c r="A319" s="11">
        <v>22</v>
      </c>
      <c r="B319" s="12" t="str">
        <f>المدخلات!$F$4</f>
        <v>4:00–5:30 م</v>
      </c>
      <c r="C319" s="12">
        <v>1</v>
      </c>
      <c r="D319" s="12" t="s">
        <v>169</v>
      </c>
      <c r="E319" s="12" t="s">
        <v>170</v>
      </c>
    </row>
    <row r="320" spans="1:5" s="5" customFormat="1">
      <c r="A320" s="11">
        <v>22</v>
      </c>
      <c r="B320" s="12" t="str">
        <f>المدخلات!$F$4</f>
        <v>4:00–5:30 م</v>
      </c>
      <c r="C320" s="12">
        <v>2</v>
      </c>
      <c r="D320" s="12" t="s">
        <v>169</v>
      </c>
      <c r="E320" s="12" t="s">
        <v>171</v>
      </c>
    </row>
    <row r="321" spans="1:32">
      <c r="A321" s="11">
        <v>23</v>
      </c>
      <c r="B321" s="12" t="str">
        <f>المدخلات!$F$4</f>
        <v>4:00–5:30 م</v>
      </c>
      <c r="C321" s="12">
        <v>1</v>
      </c>
      <c r="D321" s="12" t="s">
        <v>95</v>
      </c>
      <c r="E321" s="12" t="s">
        <v>172</v>
      </c>
      <c r="F321" s="5"/>
      <c r="G321" s="5"/>
    </row>
    <row r="322" spans="1:32">
      <c r="A322" s="5"/>
      <c r="B322" s="5"/>
      <c r="C322" s="5"/>
      <c r="D322" s="5"/>
      <c r="E322" s="5"/>
      <c r="F322" s="5"/>
      <c r="G322" s="5"/>
    </row>
    <row r="323" spans="1:32">
      <c r="A323" s="5"/>
      <c r="B323" s="5"/>
      <c r="C323" s="5"/>
      <c r="D323" s="5"/>
      <c r="E323" s="5"/>
      <c r="F323" s="5"/>
      <c r="G323" s="5"/>
    </row>
    <row r="324" spans="1:32" ht="15.5">
      <c r="A324" s="52" t="s">
        <v>363</v>
      </c>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row>
    <row r="325" spans="1:32">
      <c r="A325" s="9" t="s">
        <v>362</v>
      </c>
      <c r="B325" s="9">
        <v>1</v>
      </c>
      <c r="C325" s="9">
        <v>2</v>
      </c>
      <c r="D325" s="9">
        <v>3</v>
      </c>
      <c r="E325" s="9">
        <v>4</v>
      </c>
      <c r="F325" s="9">
        <v>5</v>
      </c>
      <c r="G325" s="9">
        <v>6</v>
      </c>
      <c r="H325" s="9">
        <v>7</v>
      </c>
      <c r="I325" s="9">
        <v>8</v>
      </c>
      <c r="J325" s="9">
        <v>9</v>
      </c>
      <c r="K325" s="9">
        <v>10</v>
      </c>
      <c r="L325" s="9">
        <v>11</v>
      </c>
      <c r="M325" s="9">
        <v>12</v>
      </c>
      <c r="N325" s="9">
        <v>13</v>
      </c>
      <c r="O325" s="9">
        <v>14</v>
      </c>
      <c r="P325" s="9">
        <v>15</v>
      </c>
      <c r="Q325" s="9">
        <v>16</v>
      </c>
      <c r="R325" s="9">
        <v>17</v>
      </c>
      <c r="S325" s="9">
        <v>18</v>
      </c>
      <c r="T325" s="9">
        <v>19</v>
      </c>
      <c r="U325" s="9">
        <v>20</v>
      </c>
      <c r="V325" s="9">
        <v>21</v>
      </c>
      <c r="W325" s="9">
        <v>22</v>
      </c>
      <c r="X325" s="9">
        <v>23</v>
      </c>
      <c r="Y325" s="9">
        <v>24</v>
      </c>
      <c r="Z325" s="9">
        <v>25</v>
      </c>
      <c r="AA325" s="9">
        <v>26</v>
      </c>
      <c r="AB325" s="9">
        <v>27</v>
      </c>
      <c r="AC325" s="9">
        <v>28</v>
      </c>
      <c r="AD325" s="9">
        <v>29</v>
      </c>
      <c r="AE325" s="9">
        <v>30</v>
      </c>
      <c r="AF325" s="9">
        <v>31</v>
      </c>
    </row>
    <row r="326" spans="1:32">
      <c r="A326" s="9">
        <v>1</v>
      </c>
      <c r="B326" s="12" t="str">
        <f t="shared" ref="B326:K335" si="0">IF($A326=B$325,"",COUNTIF($E$4:$E$321,$A326&amp;" ضد "&amp;B$325)+COUNTIF($E$4:$E$321,B$325&amp;" ضد "&amp;$A326))</f>
        <v/>
      </c>
      <c r="C326" s="12">
        <f t="shared" si="0"/>
        <v>3</v>
      </c>
      <c r="D326" s="12">
        <f t="shared" si="0"/>
        <v>3</v>
      </c>
      <c r="E326" s="12">
        <f t="shared" si="0"/>
        <v>3</v>
      </c>
      <c r="F326" s="12">
        <f t="shared" si="0"/>
        <v>3</v>
      </c>
      <c r="G326" s="12">
        <f t="shared" si="0"/>
        <v>3</v>
      </c>
      <c r="H326" s="12">
        <f t="shared" si="0"/>
        <v>3</v>
      </c>
      <c r="I326" s="12">
        <f t="shared" si="0"/>
        <v>3</v>
      </c>
      <c r="J326" s="12">
        <f t="shared" si="0"/>
        <v>0</v>
      </c>
      <c r="K326" s="12">
        <f t="shared" si="0"/>
        <v>0</v>
      </c>
      <c r="L326" s="12">
        <f t="shared" ref="L326:U335" si="1">IF($A326=L$325,"",COUNTIF($E$4:$E$321,$A326&amp;" ضد "&amp;L$325)+COUNTIF($E$4:$E$321,L$325&amp;" ضد "&amp;$A326))</f>
        <v>0</v>
      </c>
      <c r="M326" s="12">
        <f t="shared" si="1"/>
        <v>0</v>
      </c>
      <c r="N326" s="12">
        <f t="shared" si="1"/>
        <v>0</v>
      </c>
      <c r="O326" s="12">
        <f t="shared" si="1"/>
        <v>0</v>
      </c>
      <c r="P326" s="12">
        <f t="shared" si="1"/>
        <v>0</v>
      </c>
      <c r="Q326" s="12">
        <f t="shared" si="1"/>
        <v>0</v>
      </c>
      <c r="R326" s="12">
        <f t="shared" si="1"/>
        <v>0</v>
      </c>
      <c r="S326" s="12">
        <f t="shared" si="1"/>
        <v>0</v>
      </c>
      <c r="T326" s="12">
        <f t="shared" si="1"/>
        <v>0</v>
      </c>
      <c r="U326" s="12">
        <f t="shared" si="1"/>
        <v>0</v>
      </c>
      <c r="V326" s="12">
        <f t="shared" ref="V326:AF335" si="2">IF($A326=V$325,"",COUNTIF($E$4:$E$321,$A326&amp;" ضد "&amp;V$325)+COUNTIF($E$4:$E$321,V$325&amp;" ضد "&amp;$A326))</f>
        <v>0</v>
      </c>
      <c r="W326" s="12">
        <f t="shared" si="2"/>
        <v>0</v>
      </c>
      <c r="X326" s="12">
        <f t="shared" si="2"/>
        <v>0</v>
      </c>
      <c r="Y326" s="12">
        <f t="shared" si="2"/>
        <v>0</v>
      </c>
      <c r="Z326" s="12">
        <f t="shared" si="2"/>
        <v>0</v>
      </c>
      <c r="AA326" s="12">
        <f t="shared" si="2"/>
        <v>0</v>
      </c>
      <c r="AB326" s="12">
        <f t="shared" si="2"/>
        <v>0</v>
      </c>
      <c r="AC326" s="12">
        <f t="shared" si="2"/>
        <v>0</v>
      </c>
      <c r="AD326" s="12">
        <f t="shared" si="2"/>
        <v>0</v>
      </c>
      <c r="AE326" s="12">
        <f t="shared" si="2"/>
        <v>0</v>
      </c>
      <c r="AF326" s="12">
        <f t="shared" si="2"/>
        <v>0</v>
      </c>
    </row>
    <row r="327" spans="1:32">
      <c r="A327" s="9">
        <v>2</v>
      </c>
      <c r="B327" s="12">
        <f t="shared" si="0"/>
        <v>3</v>
      </c>
      <c r="C327" s="12" t="str">
        <f t="shared" si="0"/>
        <v/>
      </c>
      <c r="D327" s="12">
        <f t="shared" si="0"/>
        <v>3</v>
      </c>
      <c r="E327" s="12">
        <f t="shared" si="0"/>
        <v>3</v>
      </c>
      <c r="F327" s="12">
        <f t="shared" si="0"/>
        <v>3</v>
      </c>
      <c r="G327" s="12">
        <f t="shared" si="0"/>
        <v>3</v>
      </c>
      <c r="H327" s="12">
        <f t="shared" si="0"/>
        <v>3</v>
      </c>
      <c r="I327" s="12">
        <f t="shared" si="0"/>
        <v>3</v>
      </c>
      <c r="J327" s="12">
        <f t="shared" si="0"/>
        <v>0</v>
      </c>
      <c r="K327" s="12">
        <f t="shared" si="0"/>
        <v>0</v>
      </c>
      <c r="L327" s="12">
        <f t="shared" si="1"/>
        <v>0</v>
      </c>
      <c r="M327" s="12">
        <f t="shared" si="1"/>
        <v>0</v>
      </c>
      <c r="N327" s="12">
        <f t="shared" si="1"/>
        <v>0</v>
      </c>
      <c r="O327" s="12">
        <f t="shared" si="1"/>
        <v>0</v>
      </c>
      <c r="P327" s="12">
        <f t="shared" si="1"/>
        <v>0</v>
      </c>
      <c r="Q327" s="12">
        <f t="shared" si="1"/>
        <v>0</v>
      </c>
      <c r="R327" s="12">
        <f t="shared" si="1"/>
        <v>0</v>
      </c>
      <c r="S327" s="12">
        <f t="shared" si="1"/>
        <v>0</v>
      </c>
      <c r="T327" s="12">
        <f t="shared" si="1"/>
        <v>0</v>
      </c>
      <c r="U327" s="12">
        <f t="shared" si="1"/>
        <v>0</v>
      </c>
      <c r="V327" s="12">
        <f t="shared" si="2"/>
        <v>0</v>
      </c>
      <c r="W327" s="12">
        <f t="shared" si="2"/>
        <v>0</v>
      </c>
      <c r="X327" s="12">
        <f t="shared" si="2"/>
        <v>0</v>
      </c>
      <c r="Y327" s="12">
        <f t="shared" si="2"/>
        <v>0</v>
      </c>
      <c r="Z327" s="12">
        <f t="shared" si="2"/>
        <v>0</v>
      </c>
      <c r="AA327" s="12">
        <f t="shared" si="2"/>
        <v>0</v>
      </c>
      <c r="AB327" s="12">
        <f t="shared" si="2"/>
        <v>0</v>
      </c>
      <c r="AC327" s="12">
        <f t="shared" si="2"/>
        <v>0</v>
      </c>
      <c r="AD327" s="12">
        <f t="shared" si="2"/>
        <v>0</v>
      </c>
      <c r="AE327" s="12">
        <f t="shared" si="2"/>
        <v>0</v>
      </c>
      <c r="AF327" s="12">
        <f t="shared" si="2"/>
        <v>0</v>
      </c>
    </row>
    <row r="328" spans="1:32">
      <c r="A328" s="9">
        <v>3</v>
      </c>
      <c r="B328" s="12">
        <f t="shared" si="0"/>
        <v>3</v>
      </c>
      <c r="C328" s="12">
        <f t="shared" si="0"/>
        <v>3</v>
      </c>
      <c r="D328" s="12" t="str">
        <f t="shared" si="0"/>
        <v/>
      </c>
      <c r="E328" s="12">
        <f t="shared" si="0"/>
        <v>3</v>
      </c>
      <c r="F328" s="12">
        <f t="shared" si="0"/>
        <v>3</v>
      </c>
      <c r="G328" s="12">
        <f t="shared" si="0"/>
        <v>3</v>
      </c>
      <c r="H328" s="12">
        <f t="shared" si="0"/>
        <v>3</v>
      </c>
      <c r="I328" s="12">
        <f t="shared" si="0"/>
        <v>3</v>
      </c>
      <c r="J328" s="12">
        <f t="shared" si="0"/>
        <v>0</v>
      </c>
      <c r="K328" s="12">
        <f t="shared" si="0"/>
        <v>0</v>
      </c>
      <c r="L328" s="12">
        <f t="shared" si="1"/>
        <v>0</v>
      </c>
      <c r="M328" s="12">
        <f t="shared" si="1"/>
        <v>0</v>
      </c>
      <c r="N328" s="12">
        <f t="shared" si="1"/>
        <v>0</v>
      </c>
      <c r="O328" s="12">
        <f t="shared" si="1"/>
        <v>0</v>
      </c>
      <c r="P328" s="12">
        <f t="shared" si="1"/>
        <v>0</v>
      </c>
      <c r="Q328" s="12">
        <f t="shared" si="1"/>
        <v>0</v>
      </c>
      <c r="R328" s="12">
        <f t="shared" si="1"/>
        <v>0</v>
      </c>
      <c r="S328" s="12">
        <f t="shared" si="1"/>
        <v>0</v>
      </c>
      <c r="T328" s="12">
        <f t="shared" si="1"/>
        <v>0</v>
      </c>
      <c r="U328" s="12">
        <f t="shared" si="1"/>
        <v>0</v>
      </c>
      <c r="V328" s="12">
        <f t="shared" si="2"/>
        <v>0</v>
      </c>
      <c r="W328" s="12">
        <f t="shared" si="2"/>
        <v>0</v>
      </c>
      <c r="X328" s="12">
        <f t="shared" si="2"/>
        <v>0</v>
      </c>
      <c r="Y328" s="12">
        <f t="shared" si="2"/>
        <v>0</v>
      </c>
      <c r="Z328" s="12">
        <f t="shared" si="2"/>
        <v>0</v>
      </c>
      <c r="AA328" s="12">
        <f t="shared" si="2"/>
        <v>0</v>
      </c>
      <c r="AB328" s="12">
        <f t="shared" si="2"/>
        <v>0</v>
      </c>
      <c r="AC328" s="12">
        <f t="shared" si="2"/>
        <v>0</v>
      </c>
      <c r="AD328" s="12">
        <f t="shared" si="2"/>
        <v>0</v>
      </c>
      <c r="AE328" s="12">
        <f t="shared" si="2"/>
        <v>0</v>
      </c>
      <c r="AF328" s="12">
        <f t="shared" si="2"/>
        <v>0</v>
      </c>
    </row>
    <row r="329" spans="1:32">
      <c r="A329" s="9">
        <v>4</v>
      </c>
      <c r="B329" s="12">
        <f t="shared" si="0"/>
        <v>3</v>
      </c>
      <c r="C329" s="12">
        <f t="shared" si="0"/>
        <v>3</v>
      </c>
      <c r="D329" s="12">
        <f t="shared" si="0"/>
        <v>3</v>
      </c>
      <c r="E329" s="12" t="str">
        <f t="shared" si="0"/>
        <v/>
      </c>
      <c r="F329" s="12">
        <f t="shared" si="0"/>
        <v>3</v>
      </c>
      <c r="G329" s="12">
        <f t="shared" si="0"/>
        <v>3</v>
      </c>
      <c r="H329" s="12">
        <f t="shared" si="0"/>
        <v>3</v>
      </c>
      <c r="I329" s="12">
        <f t="shared" si="0"/>
        <v>3</v>
      </c>
      <c r="J329" s="12">
        <f t="shared" si="0"/>
        <v>0</v>
      </c>
      <c r="K329" s="12">
        <f t="shared" si="0"/>
        <v>0</v>
      </c>
      <c r="L329" s="12">
        <f t="shared" si="1"/>
        <v>0</v>
      </c>
      <c r="M329" s="12">
        <f t="shared" si="1"/>
        <v>0</v>
      </c>
      <c r="N329" s="12">
        <f t="shared" si="1"/>
        <v>0</v>
      </c>
      <c r="O329" s="12">
        <f t="shared" si="1"/>
        <v>0</v>
      </c>
      <c r="P329" s="12">
        <f t="shared" si="1"/>
        <v>0</v>
      </c>
      <c r="Q329" s="12">
        <f t="shared" si="1"/>
        <v>0</v>
      </c>
      <c r="R329" s="12">
        <f t="shared" si="1"/>
        <v>0</v>
      </c>
      <c r="S329" s="12">
        <f t="shared" si="1"/>
        <v>0</v>
      </c>
      <c r="T329" s="12">
        <f t="shared" si="1"/>
        <v>0</v>
      </c>
      <c r="U329" s="12">
        <f t="shared" si="1"/>
        <v>0</v>
      </c>
      <c r="V329" s="12">
        <f t="shared" si="2"/>
        <v>0</v>
      </c>
      <c r="W329" s="12">
        <f t="shared" si="2"/>
        <v>0</v>
      </c>
      <c r="X329" s="12">
        <f t="shared" si="2"/>
        <v>0</v>
      </c>
      <c r="Y329" s="12">
        <f t="shared" si="2"/>
        <v>0</v>
      </c>
      <c r="Z329" s="12">
        <f t="shared" si="2"/>
        <v>0</v>
      </c>
      <c r="AA329" s="12">
        <f t="shared" si="2"/>
        <v>0</v>
      </c>
      <c r="AB329" s="12">
        <f t="shared" si="2"/>
        <v>0</v>
      </c>
      <c r="AC329" s="12">
        <f t="shared" si="2"/>
        <v>0</v>
      </c>
      <c r="AD329" s="12">
        <f t="shared" si="2"/>
        <v>0</v>
      </c>
      <c r="AE329" s="12">
        <f t="shared" si="2"/>
        <v>0</v>
      </c>
      <c r="AF329" s="12">
        <f t="shared" si="2"/>
        <v>0</v>
      </c>
    </row>
    <row r="330" spans="1:32">
      <c r="A330" s="9">
        <v>5</v>
      </c>
      <c r="B330" s="12">
        <f t="shared" si="0"/>
        <v>3</v>
      </c>
      <c r="C330" s="12">
        <f t="shared" si="0"/>
        <v>3</v>
      </c>
      <c r="D330" s="12">
        <f t="shared" si="0"/>
        <v>3</v>
      </c>
      <c r="E330" s="12">
        <f t="shared" si="0"/>
        <v>3</v>
      </c>
      <c r="F330" s="12" t="str">
        <f t="shared" si="0"/>
        <v/>
      </c>
      <c r="G330" s="12">
        <f t="shared" si="0"/>
        <v>3</v>
      </c>
      <c r="H330" s="12">
        <f t="shared" si="0"/>
        <v>3</v>
      </c>
      <c r="I330" s="12">
        <f t="shared" si="0"/>
        <v>3</v>
      </c>
      <c r="J330" s="12">
        <f t="shared" si="0"/>
        <v>0</v>
      </c>
      <c r="K330" s="12">
        <f t="shared" si="0"/>
        <v>0</v>
      </c>
      <c r="L330" s="12">
        <f t="shared" si="1"/>
        <v>0</v>
      </c>
      <c r="M330" s="12">
        <f t="shared" si="1"/>
        <v>0</v>
      </c>
      <c r="N330" s="12">
        <f t="shared" si="1"/>
        <v>0</v>
      </c>
      <c r="O330" s="12">
        <f t="shared" si="1"/>
        <v>0</v>
      </c>
      <c r="P330" s="12">
        <f t="shared" si="1"/>
        <v>0</v>
      </c>
      <c r="Q330" s="12">
        <f t="shared" si="1"/>
        <v>0</v>
      </c>
      <c r="R330" s="12">
        <f t="shared" si="1"/>
        <v>0</v>
      </c>
      <c r="S330" s="12">
        <f t="shared" si="1"/>
        <v>0</v>
      </c>
      <c r="T330" s="12">
        <f t="shared" si="1"/>
        <v>0</v>
      </c>
      <c r="U330" s="12">
        <f t="shared" si="1"/>
        <v>0</v>
      </c>
      <c r="V330" s="12">
        <f t="shared" si="2"/>
        <v>0</v>
      </c>
      <c r="W330" s="12">
        <f t="shared" si="2"/>
        <v>0</v>
      </c>
      <c r="X330" s="12">
        <f t="shared" si="2"/>
        <v>0</v>
      </c>
      <c r="Y330" s="12">
        <f t="shared" si="2"/>
        <v>0</v>
      </c>
      <c r="Z330" s="12">
        <f t="shared" si="2"/>
        <v>0</v>
      </c>
      <c r="AA330" s="12">
        <f t="shared" si="2"/>
        <v>0</v>
      </c>
      <c r="AB330" s="12">
        <f t="shared" si="2"/>
        <v>0</v>
      </c>
      <c r="AC330" s="12">
        <f t="shared" si="2"/>
        <v>0</v>
      </c>
      <c r="AD330" s="12">
        <f t="shared" si="2"/>
        <v>0</v>
      </c>
      <c r="AE330" s="12">
        <f t="shared" si="2"/>
        <v>0</v>
      </c>
      <c r="AF330" s="12">
        <f t="shared" si="2"/>
        <v>0</v>
      </c>
    </row>
    <row r="331" spans="1:32">
      <c r="A331" s="9">
        <v>6</v>
      </c>
      <c r="B331" s="12">
        <f t="shared" si="0"/>
        <v>3</v>
      </c>
      <c r="C331" s="12">
        <f t="shared" si="0"/>
        <v>3</v>
      </c>
      <c r="D331" s="12">
        <f t="shared" si="0"/>
        <v>3</v>
      </c>
      <c r="E331" s="12">
        <f t="shared" si="0"/>
        <v>3</v>
      </c>
      <c r="F331" s="12">
        <f t="shared" si="0"/>
        <v>3</v>
      </c>
      <c r="G331" s="12" t="str">
        <f t="shared" si="0"/>
        <v/>
      </c>
      <c r="H331" s="12">
        <f t="shared" si="0"/>
        <v>3</v>
      </c>
      <c r="I331" s="12">
        <f t="shared" si="0"/>
        <v>3</v>
      </c>
      <c r="J331" s="12">
        <f t="shared" si="0"/>
        <v>0</v>
      </c>
      <c r="K331" s="12">
        <f t="shared" si="0"/>
        <v>0</v>
      </c>
      <c r="L331" s="12">
        <f t="shared" si="1"/>
        <v>0</v>
      </c>
      <c r="M331" s="12">
        <f t="shared" si="1"/>
        <v>0</v>
      </c>
      <c r="N331" s="12">
        <f t="shared" si="1"/>
        <v>0</v>
      </c>
      <c r="O331" s="12">
        <f t="shared" si="1"/>
        <v>0</v>
      </c>
      <c r="P331" s="12">
        <f t="shared" si="1"/>
        <v>0</v>
      </c>
      <c r="Q331" s="12">
        <f t="shared" si="1"/>
        <v>0</v>
      </c>
      <c r="R331" s="12">
        <f t="shared" si="1"/>
        <v>0</v>
      </c>
      <c r="S331" s="12">
        <f t="shared" si="1"/>
        <v>0</v>
      </c>
      <c r="T331" s="12">
        <f t="shared" si="1"/>
        <v>0</v>
      </c>
      <c r="U331" s="12">
        <f t="shared" si="1"/>
        <v>0</v>
      </c>
      <c r="V331" s="12">
        <f t="shared" si="2"/>
        <v>0</v>
      </c>
      <c r="W331" s="12">
        <f t="shared" si="2"/>
        <v>0</v>
      </c>
      <c r="X331" s="12">
        <f t="shared" si="2"/>
        <v>0</v>
      </c>
      <c r="Y331" s="12">
        <f t="shared" si="2"/>
        <v>0</v>
      </c>
      <c r="Z331" s="12">
        <f t="shared" si="2"/>
        <v>0</v>
      </c>
      <c r="AA331" s="12">
        <f t="shared" si="2"/>
        <v>0</v>
      </c>
      <c r="AB331" s="12">
        <f t="shared" si="2"/>
        <v>0</v>
      </c>
      <c r="AC331" s="12">
        <f t="shared" si="2"/>
        <v>0</v>
      </c>
      <c r="AD331" s="12">
        <f t="shared" si="2"/>
        <v>0</v>
      </c>
      <c r="AE331" s="12">
        <f t="shared" si="2"/>
        <v>0</v>
      </c>
      <c r="AF331" s="12">
        <f t="shared" si="2"/>
        <v>0</v>
      </c>
    </row>
    <row r="332" spans="1:32">
      <c r="A332" s="9">
        <v>7</v>
      </c>
      <c r="B332" s="12">
        <f t="shared" si="0"/>
        <v>3</v>
      </c>
      <c r="C332" s="12">
        <f t="shared" si="0"/>
        <v>3</v>
      </c>
      <c r="D332" s="12">
        <f t="shared" si="0"/>
        <v>3</v>
      </c>
      <c r="E332" s="12">
        <f t="shared" si="0"/>
        <v>3</v>
      </c>
      <c r="F332" s="12">
        <f t="shared" si="0"/>
        <v>3</v>
      </c>
      <c r="G332" s="12">
        <f t="shared" si="0"/>
        <v>3</v>
      </c>
      <c r="H332" s="12" t="str">
        <f t="shared" si="0"/>
        <v/>
      </c>
      <c r="I332" s="12">
        <f t="shared" si="0"/>
        <v>3</v>
      </c>
      <c r="J332" s="12">
        <f t="shared" si="0"/>
        <v>0</v>
      </c>
      <c r="K332" s="12">
        <f t="shared" si="0"/>
        <v>0</v>
      </c>
      <c r="L332" s="12">
        <f t="shared" si="1"/>
        <v>0</v>
      </c>
      <c r="M332" s="12">
        <f t="shared" si="1"/>
        <v>0</v>
      </c>
      <c r="N332" s="12">
        <f t="shared" si="1"/>
        <v>0</v>
      </c>
      <c r="O332" s="12">
        <f t="shared" si="1"/>
        <v>0</v>
      </c>
      <c r="P332" s="12">
        <f t="shared" si="1"/>
        <v>0</v>
      </c>
      <c r="Q332" s="12">
        <f t="shared" si="1"/>
        <v>0</v>
      </c>
      <c r="R332" s="12">
        <f t="shared" si="1"/>
        <v>0</v>
      </c>
      <c r="S332" s="12">
        <f t="shared" si="1"/>
        <v>0</v>
      </c>
      <c r="T332" s="12">
        <f t="shared" si="1"/>
        <v>0</v>
      </c>
      <c r="U332" s="12">
        <f t="shared" si="1"/>
        <v>0</v>
      </c>
      <c r="V332" s="12">
        <f t="shared" si="2"/>
        <v>0</v>
      </c>
      <c r="W332" s="12">
        <f t="shared" si="2"/>
        <v>0</v>
      </c>
      <c r="X332" s="12">
        <f t="shared" si="2"/>
        <v>0</v>
      </c>
      <c r="Y332" s="12">
        <f t="shared" si="2"/>
        <v>0</v>
      </c>
      <c r="Z332" s="12">
        <f t="shared" si="2"/>
        <v>0</v>
      </c>
      <c r="AA332" s="12">
        <f t="shared" si="2"/>
        <v>0</v>
      </c>
      <c r="AB332" s="12">
        <f t="shared" si="2"/>
        <v>0</v>
      </c>
      <c r="AC332" s="12">
        <f t="shared" si="2"/>
        <v>0</v>
      </c>
      <c r="AD332" s="12">
        <f t="shared" si="2"/>
        <v>0</v>
      </c>
      <c r="AE332" s="12">
        <f t="shared" si="2"/>
        <v>0</v>
      </c>
      <c r="AF332" s="12">
        <f t="shared" si="2"/>
        <v>0</v>
      </c>
    </row>
    <row r="333" spans="1:32">
      <c r="A333" s="9">
        <v>8</v>
      </c>
      <c r="B333" s="12">
        <f t="shared" si="0"/>
        <v>3</v>
      </c>
      <c r="C333" s="12">
        <f t="shared" si="0"/>
        <v>3</v>
      </c>
      <c r="D333" s="12">
        <f t="shared" si="0"/>
        <v>3</v>
      </c>
      <c r="E333" s="12">
        <f t="shared" si="0"/>
        <v>3</v>
      </c>
      <c r="F333" s="12">
        <f t="shared" si="0"/>
        <v>3</v>
      </c>
      <c r="G333" s="12">
        <f t="shared" si="0"/>
        <v>3</v>
      </c>
      <c r="H333" s="12">
        <f t="shared" si="0"/>
        <v>3</v>
      </c>
      <c r="I333" s="12" t="str">
        <f t="shared" si="0"/>
        <v/>
      </c>
      <c r="J333" s="12">
        <f t="shared" si="0"/>
        <v>0</v>
      </c>
      <c r="K333" s="12">
        <f t="shared" si="0"/>
        <v>0</v>
      </c>
      <c r="L333" s="12">
        <f t="shared" si="1"/>
        <v>0</v>
      </c>
      <c r="M333" s="12">
        <f t="shared" si="1"/>
        <v>0</v>
      </c>
      <c r="N333" s="12">
        <f t="shared" si="1"/>
        <v>0</v>
      </c>
      <c r="O333" s="12">
        <f t="shared" si="1"/>
        <v>0</v>
      </c>
      <c r="P333" s="12">
        <f t="shared" si="1"/>
        <v>0</v>
      </c>
      <c r="Q333" s="12">
        <f t="shared" si="1"/>
        <v>0</v>
      </c>
      <c r="R333" s="12">
        <f t="shared" si="1"/>
        <v>0</v>
      </c>
      <c r="S333" s="12">
        <f t="shared" si="1"/>
        <v>0</v>
      </c>
      <c r="T333" s="12">
        <f t="shared" si="1"/>
        <v>0</v>
      </c>
      <c r="U333" s="12">
        <f t="shared" si="1"/>
        <v>0</v>
      </c>
      <c r="V333" s="12">
        <f t="shared" si="2"/>
        <v>0</v>
      </c>
      <c r="W333" s="12">
        <f t="shared" si="2"/>
        <v>0</v>
      </c>
      <c r="X333" s="12">
        <f t="shared" si="2"/>
        <v>0</v>
      </c>
      <c r="Y333" s="12">
        <f t="shared" si="2"/>
        <v>0</v>
      </c>
      <c r="Z333" s="12">
        <f t="shared" si="2"/>
        <v>0</v>
      </c>
      <c r="AA333" s="12">
        <f t="shared" si="2"/>
        <v>0</v>
      </c>
      <c r="AB333" s="12">
        <f t="shared" si="2"/>
        <v>0</v>
      </c>
      <c r="AC333" s="12">
        <f t="shared" si="2"/>
        <v>0</v>
      </c>
      <c r="AD333" s="12">
        <f t="shared" si="2"/>
        <v>0</v>
      </c>
      <c r="AE333" s="12">
        <f t="shared" si="2"/>
        <v>0</v>
      </c>
      <c r="AF333" s="12">
        <f t="shared" si="2"/>
        <v>0</v>
      </c>
    </row>
    <row r="334" spans="1:32">
      <c r="A334" s="9">
        <v>9</v>
      </c>
      <c r="B334" s="12">
        <f t="shared" si="0"/>
        <v>0</v>
      </c>
      <c r="C334" s="12">
        <f t="shared" si="0"/>
        <v>0</v>
      </c>
      <c r="D334" s="12">
        <f t="shared" si="0"/>
        <v>0</v>
      </c>
      <c r="E334" s="12">
        <f t="shared" si="0"/>
        <v>0</v>
      </c>
      <c r="F334" s="12">
        <f t="shared" si="0"/>
        <v>0</v>
      </c>
      <c r="G334" s="12">
        <f t="shared" si="0"/>
        <v>0</v>
      </c>
      <c r="H334" s="12">
        <f t="shared" si="0"/>
        <v>0</v>
      </c>
      <c r="I334" s="12">
        <f t="shared" si="0"/>
        <v>0</v>
      </c>
      <c r="J334" s="12" t="str">
        <f t="shared" si="0"/>
        <v/>
      </c>
      <c r="K334" s="12">
        <f t="shared" si="0"/>
        <v>3</v>
      </c>
      <c r="L334" s="12">
        <f t="shared" si="1"/>
        <v>3</v>
      </c>
      <c r="M334" s="12">
        <f t="shared" si="1"/>
        <v>3</v>
      </c>
      <c r="N334" s="12">
        <f t="shared" si="1"/>
        <v>3</v>
      </c>
      <c r="O334" s="12">
        <f t="shared" si="1"/>
        <v>3</v>
      </c>
      <c r="P334" s="12">
        <f t="shared" si="1"/>
        <v>3</v>
      </c>
      <c r="Q334" s="12">
        <f t="shared" si="1"/>
        <v>3</v>
      </c>
      <c r="R334" s="12">
        <f t="shared" si="1"/>
        <v>0</v>
      </c>
      <c r="S334" s="12">
        <f t="shared" si="1"/>
        <v>0</v>
      </c>
      <c r="T334" s="12">
        <f t="shared" si="1"/>
        <v>0</v>
      </c>
      <c r="U334" s="12">
        <f t="shared" si="1"/>
        <v>0</v>
      </c>
      <c r="V334" s="12">
        <f t="shared" si="2"/>
        <v>0</v>
      </c>
      <c r="W334" s="12">
        <f t="shared" si="2"/>
        <v>0</v>
      </c>
      <c r="X334" s="12">
        <f t="shared" si="2"/>
        <v>0</v>
      </c>
      <c r="Y334" s="12">
        <f t="shared" si="2"/>
        <v>0</v>
      </c>
      <c r="Z334" s="12">
        <f t="shared" si="2"/>
        <v>0</v>
      </c>
      <c r="AA334" s="12">
        <f t="shared" si="2"/>
        <v>0</v>
      </c>
      <c r="AB334" s="12">
        <f t="shared" si="2"/>
        <v>0</v>
      </c>
      <c r="AC334" s="12">
        <f t="shared" si="2"/>
        <v>0</v>
      </c>
      <c r="AD334" s="12">
        <f t="shared" si="2"/>
        <v>0</v>
      </c>
      <c r="AE334" s="12">
        <f t="shared" si="2"/>
        <v>0</v>
      </c>
      <c r="AF334" s="12">
        <f t="shared" si="2"/>
        <v>0</v>
      </c>
    </row>
    <row r="335" spans="1:32">
      <c r="A335" s="9">
        <v>10</v>
      </c>
      <c r="B335" s="12">
        <f t="shared" si="0"/>
        <v>0</v>
      </c>
      <c r="C335" s="12">
        <f t="shared" si="0"/>
        <v>0</v>
      </c>
      <c r="D335" s="12">
        <f t="shared" si="0"/>
        <v>0</v>
      </c>
      <c r="E335" s="12">
        <f t="shared" si="0"/>
        <v>0</v>
      </c>
      <c r="F335" s="12">
        <f t="shared" si="0"/>
        <v>0</v>
      </c>
      <c r="G335" s="12">
        <f t="shared" si="0"/>
        <v>0</v>
      </c>
      <c r="H335" s="12">
        <f t="shared" si="0"/>
        <v>0</v>
      </c>
      <c r="I335" s="12">
        <f t="shared" si="0"/>
        <v>0</v>
      </c>
      <c r="J335" s="12">
        <f t="shared" si="0"/>
        <v>3</v>
      </c>
      <c r="K335" s="12" t="str">
        <f t="shared" si="0"/>
        <v/>
      </c>
      <c r="L335" s="12">
        <f t="shared" si="1"/>
        <v>3</v>
      </c>
      <c r="M335" s="12">
        <f t="shared" si="1"/>
        <v>3</v>
      </c>
      <c r="N335" s="12">
        <f t="shared" si="1"/>
        <v>3</v>
      </c>
      <c r="O335" s="12">
        <f t="shared" si="1"/>
        <v>3</v>
      </c>
      <c r="P335" s="12">
        <f t="shared" si="1"/>
        <v>3</v>
      </c>
      <c r="Q335" s="12">
        <f t="shared" si="1"/>
        <v>3</v>
      </c>
      <c r="R335" s="12">
        <f t="shared" si="1"/>
        <v>0</v>
      </c>
      <c r="S335" s="12">
        <f t="shared" si="1"/>
        <v>0</v>
      </c>
      <c r="T335" s="12">
        <f t="shared" si="1"/>
        <v>0</v>
      </c>
      <c r="U335" s="12">
        <f t="shared" si="1"/>
        <v>0</v>
      </c>
      <c r="V335" s="12">
        <f t="shared" si="2"/>
        <v>0</v>
      </c>
      <c r="W335" s="12">
        <f t="shared" si="2"/>
        <v>0</v>
      </c>
      <c r="X335" s="12">
        <f t="shared" si="2"/>
        <v>0</v>
      </c>
      <c r="Y335" s="12">
        <f t="shared" si="2"/>
        <v>0</v>
      </c>
      <c r="Z335" s="12">
        <f t="shared" si="2"/>
        <v>0</v>
      </c>
      <c r="AA335" s="12">
        <f t="shared" si="2"/>
        <v>0</v>
      </c>
      <c r="AB335" s="12">
        <f t="shared" si="2"/>
        <v>0</v>
      </c>
      <c r="AC335" s="12">
        <f t="shared" si="2"/>
        <v>0</v>
      </c>
      <c r="AD335" s="12">
        <f t="shared" si="2"/>
        <v>0</v>
      </c>
      <c r="AE335" s="12">
        <f t="shared" si="2"/>
        <v>0</v>
      </c>
      <c r="AF335" s="12">
        <f t="shared" si="2"/>
        <v>0</v>
      </c>
    </row>
    <row r="336" spans="1:32">
      <c r="A336" s="9">
        <v>11</v>
      </c>
      <c r="B336" s="12">
        <f t="shared" ref="B336:K345" si="3">IF($A336=B$325,"",COUNTIF($E$4:$E$321,$A336&amp;" ضد "&amp;B$325)+COUNTIF($E$4:$E$321,B$325&amp;" ضد "&amp;$A336))</f>
        <v>0</v>
      </c>
      <c r="C336" s="12">
        <f t="shared" si="3"/>
        <v>0</v>
      </c>
      <c r="D336" s="12">
        <f t="shared" si="3"/>
        <v>0</v>
      </c>
      <c r="E336" s="12">
        <f t="shared" si="3"/>
        <v>0</v>
      </c>
      <c r="F336" s="12">
        <f t="shared" si="3"/>
        <v>0</v>
      </c>
      <c r="G336" s="12">
        <f t="shared" si="3"/>
        <v>0</v>
      </c>
      <c r="H336" s="12">
        <f t="shared" si="3"/>
        <v>0</v>
      </c>
      <c r="I336" s="12">
        <f t="shared" si="3"/>
        <v>0</v>
      </c>
      <c r="J336" s="12">
        <f t="shared" si="3"/>
        <v>3</v>
      </c>
      <c r="K336" s="12">
        <f t="shared" si="3"/>
        <v>3</v>
      </c>
      <c r="L336" s="12" t="str">
        <f t="shared" ref="L336:U345" si="4">IF($A336=L$325,"",COUNTIF($E$4:$E$321,$A336&amp;" ضد "&amp;L$325)+COUNTIF($E$4:$E$321,L$325&amp;" ضد "&amp;$A336))</f>
        <v/>
      </c>
      <c r="M336" s="12">
        <f t="shared" si="4"/>
        <v>3</v>
      </c>
      <c r="N336" s="12">
        <f t="shared" si="4"/>
        <v>3</v>
      </c>
      <c r="O336" s="12">
        <f t="shared" si="4"/>
        <v>3</v>
      </c>
      <c r="P336" s="12">
        <f t="shared" si="4"/>
        <v>3</v>
      </c>
      <c r="Q336" s="12">
        <f t="shared" si="4"/>
        <v>3</v>
      </c>
      <c r="R336" s="12">
        <f t="shared" si="4"/>
        <v>0</v>
      </c>
      <c r="S336" s="12">
        <f t="shared" si="4"/>
        <v>0</v>
      </c>
      <c r="T336" s="12">
        <f t="shared" si="4"/>
        <v>0</v>
      </c>
      <c r="U336" s="12">
        <f t="shared" si="4"/>
        <v>0</v>
      </c>
      <c r="V336" s="12">
        <f t="shared" ref="V336:AF345" si="5">IF($A336=V$325,"",COUNTIF($E$4:$E$321,$A336&amp;" ضد "&amp;V$325)+COUNTIF($E$4:$E$321,V$325&amp;" ضد "&amp;$A336))</f>
        <v>0</v>
      </c>
      <c r="W336" s="12">
        <f t="shared" si="5"/>
        <v>0</v>
      </c>
      <c r="X336" s="12">
        <f t="shared" si="5"/>
        <v>0</v>
      </c>
      <c r="Y336" s="12">
        <f t="shared" si="5"/>
        <v>0</v>
      </c>
      <c r="Z336" s="12">
        <f t="shared" si="5"/>
        <v>0</v>
      </c>
      <c r="AA336" s="12">
        <f t="shared" si="5"/>
        <v>0</v>
      </c>
      <c r="AB336" s="12">
        <f t="shared" si="5"/>
        <v>0</v>
      </c>
      <c r="AC336" s="12">
        <f t="shared" si="5"/>
        <v>0</v>
      </c>
      <c r="AD336" s="12">
        <f t="shared" si="5"/>
        <v>0</v>
      </c>
      <c r="AE336" s="12">
        <f t="shared" si="5"/>
        <v>0</v>
      </c>
      <c r="AF336" s="12">
        <f t="shared" si="5"/>
        <v>0</v>
      </c>
    </row>
    <row r="337" spans="1:32">
      <c r="A337" s="9">
        <v>12</v>
      </c>
      <c r="B337" s="12">
        <f t="shared" si="3"/>
        <v>0</v>
      </c>
      <c r="C337" s="12">
        <f t="shared" si="3"/>
        <v>0</v>
      </c>
      <c r="D337" s="12">
        <f t="shared" si="3"/>
        <v>0</v>
      </c>
      <c r="E337" s="12">
        <f t="shared" si="3"/>
        <v>0</v>
      </c>
      <c r="F337" s="12">
        <f t="shared" si="3"/>
        <v>0</v>
      </c>
      <c r="G337" s="12">
        <f t="shared" si="3"/>
        <v>0</v>
      </c>
      <c r="H337" s="12">
        <f t="shared" si="3"/>
        <v>0</v>
      </c>
      <c r="I337" s="12">
        <f t="shared" si="3"/>
        <v>0</v>
      </c>
      <c r="J337" s="12">
        <f t="shared" si="3"/>
        <v>3</v>
      </c>
      <c r="K337" s="12">
        <f t="shared" si="3"/>
        <v>3</v>
      </c>
      <c r="L337" s="12">
        <f t="shared" si="4"/>
        <v>3</v>
      </c>
      <c r="M337" s="12" t="str">
        <f t="shared" si="4"/>
        <v/>
      </c>
      <c r="N337" s="12">
        <f t="shared" si="4"/>
        <v>3</v>
      </c>
      <c r="O337" s="12">
        <f t="shared" si="4"/>
        <v>3</v>
      </c>
      <c r="P337" s="12">
        <f t="shared" si="4"/>
        <v>3</v>
      </c>
      <c r="Q337" s="12">
        <f t="shared" si="4"/>
        <v>3</v>
      </c>
      <c r="R337" s="12">
        <f t="shared" si="4"/>
        <v>0</v>
      </c>
      <c r="S337" s="12">
        <f t="shared" si="4"/>
        <v>0</v>
      </c>
      <c r="T337" s="12">
        <f t="shared" si="4"/>
        <v>0</v>
      </c>
      <c r="U337" s="12">
        <f t="shared" si="4"/>
        <v>0</v>
      </c>
      <c r="V337" s="12">
        <f t="shared" si="5"/>
        <v>0</v>
      </c>
      <c r="W337" s="12">
        <f t="shared" si="5"/>
        <v>0</v>
      </c>
      <c r="X337" s="12">
        <f t="shared" si="5"/>
        <v>0</v>
      </c>
      <c r="Y337" s="12">
        <f t="shared" si="5"/>
        <v>0</v>
      </c>
      <c r="Z337" s="12">
        <f t="shared" si="5"/>
        <v>0</v>
      </c>
      <c r="AA337" s="12">
        <f t="shared" si="5"/>
        <v>0</v>
      </c>
      <c r="AB337" s="12">
        <f t="shared" si="5"/>
        <v>0</v>
      </c>
      <c r="AC337" s="12">
        <f t="shared" si="5"/>
        <v>0</v>
      </c>
      <c r="AD337" s="12">
        <f t="shared" si="5"/>
        <v>0</v>
      </c>
      <c r="AE337" s="12">
        <f t="shared" si="5"/>
        <v>0</v>
      </c>
      <c r="AF337" s="12">
        <f t="shared" si="5"/>
        <v>0</v>
      </c>
    </row>
    <row r="338" spans="1:32">
      <c r="A338" s="9">
        <v>13</v>
      </c>
      <c r="B338" s="12">
        <f t="shared" si="3"/>
        <v>0</v>
      </c>
      <c r="C338" s="12">
        <f t="shared" si="3"/>
        <v>0</v>
      </c>
      <c r="D338" s="12">
        <f t="shared" si="3"/>
        <v>0</v>
      </c>
      <c r="E338" s="12">
        <f t="shared" si="3"/>
        <v>0</v>
      </c>
      <c r="F338" s="12">
        <f t="shared" si="3"/>
        <v>0</v>
      </c>
      <c r="G338" s="12">
        <f t="shared" si="3"/>
        <v>0</v>
      </c>
      <c r="H338" s="12">
        <f t="shared" si="3"/>
        <v>0</v>
      </c>
      <c r="I338" s="12">
        <f t="shared" si="3"/>
        <v>0</v>
      </c>
      <c r="J338" s="12">
        <f t="shared" si="3"/>
        <v>3</v>
      </c>
      <c r="K338" s="12">
        <f t="shared" si="3"/>
        <v>3</v>
      </c>
      <c r="L338" s="12">
        <f t="shared" si="4"/>
        <v>3</v>
      </c>
      <c r="M338" s="12">
        <f t="shared" si="4"/>
        <v>3</v>
      </c>
      <c r="N338" s="12" t="str">
        <f t="shared" si="4"/>
        <v/>
      </c>
      <c r="O338" s="12">
        <f t="shared" si="4"/>
        <v>3</v>
      </c>
      <c r="P338" s="12">
        <f t="shared" si="4"/>
        <v>3</v>
      </c>
      <c r="Q338" s="12">
        <f t="shared" si="4"/>
        <v>3</v>
      </c>
      <c r="R338" s="12">
        <f t="shared" si="4"/>
        <v>0</v>
      </c>
      <c r="S338" s="12">
        <f t="shared" si="4"/>
        <v>0</v>
      </c>
      <c r="T338" s="12">
        <f t="shared" si="4"/>
        <v>0</v>
      </c>
      <c r="U338" s="12">
        <f t="shared" si="4"/>
        <v>0</v>
      </c>
      <c r="V338" s="12">
        <f t="shared" si="5"/>
        <v>0</v>
      </c>
      <c r="W338" s="12">
        <f t="shared" si="5"/>
        <v>0</v>
      </c>
      <c r="X338" s="12">
        <f t="shared" si="5"/>
        <v>0</v>
      </c>
      <c r="Y338" s="12">
        <f t="shared" si="5"/>
        <v>0</v>
      </c>
      <c r="Z338" s="12">
        <f t="shared" si="5"/>
        <v>0</v>
      </c>
      <c r="AA338" s="12">
        <f t="shared" si="5"/>
        <v>0</v>
      </c>
      <c r="AB338" s="12">
        <f t="shared" si="5"/>
        <v>0</v>
      </c>
      <c r="AC338" s="12">
        <f t="shared" si="5"/>
        <v>0</v>
      </c>
      <c r="AD338" s="12">
        <f t="shared" si="5"/>
        <v>0</v>
      </c>
      <c r="AE338" s="12">
        <f t="shared" si="5"/>
        <v>0</v>
      </c>
      <c r="AF338" s="12">
        <f t="shared" si="5"/>
        <v>0</v>
      </c>
    </row>
    <row r="339" spans="1:32">
      <c r="A339" s="9">
        <v>14</v>
      </c>
      <c r="B339" s="12">
        <f t="shared" si="3"/>
        <v>0</v>
      </c>
      <c r="C339" s="12">
        <f t="shared" si="3"/>
        <v>0</v>
      </c>
      <c r="D339" s="12">
        <f t="shared" si="3"/>
        <v>0</v>
      </c>
      <c r="E339" s="12">
        <f t="shared" si="3"/>
        <v>0</v>
      </c>
      <c r="F339" s="12">
        <f t="shared" si="3"/>
        <v>0</v>
      </c>
      <c r="G339" s="12">
        <f t="shared" si="3"/>
        <v>0</v>
      </c>
      <c r="H339" s="12">
        <f t="shared" si="3"/>
        <v>0</v>
      </c>
      <c r="I339" s="12">
        <f t="shared" si="3"/>
        <v>0</v>
      </c>
      <c r="J339" s="12">
        <f t="shared" si="3"/>
        <v>3</v>
      </c>
      <c r="K339" s="12">
        <f t="shared" si="3"/>
        <v>3</v>
      </c>
      <c r="L339" s="12">
        <f t="shared" si="4"/>
        <v>3</v>
      </c>
      <c r="M339" s="12">
        <f t="shared" si="4"/>
        <v>3</v>
      </c>
      <c r="N339" s="12">
        <f t="shared" si="4"/>
        <v>3</v>
      </c>
      <c r="O339" s="12" t="str">
        <f t="shared" si="4"/>
        <v/>
      </c>
      <c r="P339" s="12">
        <f t="shared" si="4"/>
        <v>3</v>
      </c>
      <c r="Q339" s="12">
        <f t="shared" si="4"/>
        <v>3</v>
      </c>
      <c r="R339" s="12">
        <f t="shared" si="4"/>
        <v>0</v>
      </c>
      <c r="S339" s="12">
        <f t="shared" si="4"/>
        <v>0</v>
      </c>
      <c r="T339" s="12">
        <f t="shared" si="4"/>
        <v>0</v>
      </c>
      <c r="U339" s="12">
        <f t="shared" si="4"/>
        <v>0</v>
      </c>
      <c r="V339" s="12">
        <f t="shared" si="5"/>
        <v>0</v>
      </c>
      <c r="W339" s="12">
        <f t="shared" si="5"/>
        <v>0</v>
      </c>
      <c r="X339" s="12">
        <f t="shared" si="5"/>
        <v>0</v>
      </c>
      <c r="Y339" s="12">
        <f t="shared" si="5"/>
        <v>0</v>
      </c>
      <c r="Z339" s="12">
        <f t="shared" si="5"/>
        <v>0</v>
      </c>
      <c r="AA339" s="12">
        <f t="shared" si="5"/>
        <v>0</v>
      </c>
      <c r="AB339" s="12">
        <f t="shared" si="5"/>
        <v>0</v>
      </c>
      <c r="AC339" s="12">
        <f t="shared" si="5"/>
        <v>0</v>
      </c>
      <c r="AD339" s="12">
        <f t="shared" si="5"/>
        <v>0</v>
      </c>
      <c r="AE339" s="12">
        <f t="shared" si="5"/>
        <v>0</v>
      </c>
      <c r="AF339" s="12">
        <f t="shared" si="5"/>
        <v>0</v>
      </c>
    </row>
    <row r="340" spans="1:32">
      <c r="A340" s="9">
        <v>15</v>
      </c>
      <c r="B340" s="12">
        <f t="shared" si="3"/>
        <v>0</v>
      </c>
      <c r="C340" s="12">
        <f t="shared" si="3"/>
        <v>0</v>
      </c>
      <c r="D340" s="12">
        <f t="shared" si="3"/>
        <v>0</v>
      </c>
      <c r="E340" s="12">
        <f t="shared" si="3"/>
        <v>0</v>
      </c>
      <c r="F340" s="12">
        <f t="shared" si="3"/>
        <v>0</v>
      </c>
      <c r="G340" s="12">
        <f t="shared" si="3"/>
        <v>0</v>
      </c>
      <c r="H340" s="12">
        <f t="shared" si="3"/>
        <v>0</v>
      </c>
      <c r="I340" s="12">
        <f t="shared" si="3"/>
        <v>0</v>
      </c>
      <c r="J340" s="12">
        <f t="shared" si="3"/>
        <v>3</v>
      </c>
      <c r="K340" s="12">
        <f t="shared" si="3"/>
        <v>3</v>
      </c>
      <c r="L340" s="12">
        <f t="shared" si="4"/>
        <v>3</v>
      </c>
      <c r="M340" s="12">
        <f t="shared" si="4"/>
        <v>3</v>
      </c>
      <c r="N340" s="12">
        <f t="shared" si="4"/>
        <v>3</v>
      </c>
      <c r="O340" s="12">
        <f t="shared" si="4"/>
        <v>3</v>
      </c>
      <c r="P340" s="12" t="str">
        <f t="shared" si="4"/>
        <v/>
      </c>
      <c r="Q340" s="12">
        <f t="shared" si="4"/>
        <v>3</v>
      </c>
      <c r="R340" s="12">
        <f t="shared" si="4"/>
        <v>0</v>
      </c>
      <c r="S340" s="12">
        <f t="shared" si="4"/>
        <v>0</v>
      </c>
      <c r="T340" s="12">
        <f t="shared" si="4"/>
        <v>0</v>
      </c>
      <c r="U340" s="12">
        <f t="shared" si="4"/>
        <v>0</v>
      </c>
      <c r="V340" s="12">
        <f t="shared" si="5"/>
        <v>0</v>
      </c>
      <c r="W340" s="12">
        <f t="shared" si="5"/>
        <v>0</v>
      </c>
      <c r="X340" s="12">
        <f t="shared" si="5"/>
        <v>0</v>
      </c>
      <c r="Y340" s="12">
        <f t="shared" si="5"/>
        <v>0</v>
      </c>
      <c r="Z340" s="12">
        <f t="shared" si="5"/>
        <v>0</v>
      </c>
      <c r="AA340" s="12">
        <f t="shared" si="5"/>
        <v>0</v>
      </c>
      <c r="AB340" s="12">
        <f t="shared" si="5"/>
        <v>0</v>
      </c>
      <c r="AC340" s="12">
        <f t="shared" si="5"/>
        <v>0</v>
      </c>
      <c r="AD340" s="12">
        <f t="shared" si="5"/>
        <v>0</v>
      </c>
      <c r="AE340" s="12">
        <f t="shared" si="5"/>
        <v>0</v>
      </c>
      <c r="AF340" s="12">
        <f t="shared" si="5"/>
        <v>0</v>
      </c>
    </row>
    <row r="341" spans="1:32">
      <c r="A341" s="9">
        <v>16</v>
      </c>
      <c r="B341" s="12">
        <f t="shared" si="3"/>
        <v>0</v>
      </c>
      <c r="C341" s="12">
        <f t="shared" si="3"/>
        <v>0</v>
      </c>
      <c r="D341" s="12">
        <f t="shared" si="3"/>
        <v>0</v>
      </c>
      <c r="E341" s="12">
        <f t="shared" si="3"/>
        <v>0</v>
      </c>
      <c r="F341" s="12">
        <f t="shared" si="3"/>
        <v>0</v>
      </c>
      <c r="G341" s="12">
        <f t="shared" si="3"/>
        <v>0</v>
      </c>
      <c r="H341" s="12">
        <f t="shared" si="3"/>
        <v>0</v>
      </c>
      <c r="I341" s="12">
        <f t="shared" si="3"/>
        <v>0</v>
      </c>
      <c r="J341" s="12">
        <f t="shared" si="3"/>
        <v>3</v>
      </c>
      <c r="K341" s="12">
        <f t="shared" si="3"/>
        <v>3</v>
      </c>
      <c r="L341" s="12">
        <f t="shared" si="4"/>
        <v>3</v>
      </c>
      <c r="M341" s="12">
        <f t="shared" si="4"/>
        <v>3</v>
      </c>
      <c r="N341" s="12">
        <f t="shared" si="4"/>
        <v>3</v>
      </c>
      <c r="O341" s="12">
        <f t="shared" si="4"/>
        <v>3</v>
      </c>
      <c r="P341" s="12">
        <f t="shared" si="4"/>
        <v>3</v>
      </c>
      <c r="Q341" s="12" t="str">
        <f t="shared" si="4"/>
        <v/>
      </c>
      <c r="R341" s="12">
        <f t="shared" si="4"/>
        <v>0</v>
      </c>
      <c r="S341" s="12">
        <f t="shared" si="4"/>
        <v>0</v>
      </c>
      <c r="T341" s="12">
        <f t="shared" si="4"/>
        <v>0</v>
      </c>
      <c r="U341" s="12">
        <f t="shared" si="4"/>
        <v>0</v>
      </c>
      <c r="V341" s="12">
        <f t="shared" si="5"/>
        <v>0</v>
      </c>
      <c r="W341" s="12">
        <f t="shared" si="5"/>
        <v>0</v>
      </c>
      <c r="X341" s="12">
        <f t="shared" si="5"/>
        <v>0</v>
      </c>
      <c r="Y341" s="12">
        <f t="shared" si="5"/>
        <v>0</v>
      </c>
      <c r="Z341" s="12">
        <f t="shared" si="5"/>
        <v>0</v>
      </c>
      <c r="AA341" s="12">
        <f t="shared" si="5"/>
        <v>0</v>
      </c>
      <c r="AB341" s="12">
        <f t="shared" si="5"/>
        <v>0</v>
      </c>
      <c r="AC341" s="12">
        <f t="shared" si="5"/>
        <v>0</v>
      </c>
      <c r="AD341" s="12">
        <f t="shared" si="5"/>
        <v>0</v>
      </c>
      <c r="AE341" s="12">
        <f t="shared" si="5"/>
        <v>0</v>
      </c>
      <c r="AF341" s="12">
        <f t="shared" si="5"/>
        <v>0</v>
      </c>
    </row>
    <row r="342" spans="1:32">
      <c r="A342" s="9">
        <v>17</v>
      </c>
      <c r="B342" s="12">
        <f t="shared" si="3"/>
        <v>0</v>
      </c>
      <c r="C342" s="12">
        <f t="shared" si="3"/>
        <v>0</v>
      </c>
      <c r="D342" s="12">
        <f t="shared" si="3"/>
        <v>0</v>
      </c>
      <c r="E342" s="12">
        <f t="shared" si="3"/>
        <v>0</v>
      </c>
      <c r="F342" s="12">
        <f t="shared" si="3"/>
        <v>0</v>
      </c>
      <c r="G342" s="12">
        <f t="shared" si="3"/>
        <v>0</v>
      </c>
      <c r="H342" s="12">
        <f t="shared" si="3"/>
        <v>0</v>
      </c>
      <c r="I342" s="12">
        <f t="shared" si="3"/>
        <v>0</v>
      </c>
      <c r="J342" s="12">
        <f t="shared" si="3"/>
        <v>0</v>
      </c>
      <c r="K342" s="12">
        <f t="shared" si="3"/>
        <v>0</v>
      </c>
      <c r="L342" s="12">
        <f t="shared" si="4"/>
        <v>0</v>
      </c>
      <c r="M342" s="12">
        <f t="shared" si="4"/>
        <v>0</v>
      </c>
      <c r="N342" s="12">
        <f t="shared" si="4"/>
        <v>0</v>
      </c>
      <c r="O342" s="12">
        <f t="shared" si="4"/>
        <v>0</v>
      </c>
      <c r="P342" s="12">
        <f t="shared" si="4"/>
        <v>0</v>
      </c>
      <c r="Q342" s="12">
        <f t="shared" si="4"/>
        <v>0</v>
      </c>
      <c r="R342" s="12" t="str">
        <f t="shared" si="4"/>
        <v/>
      </c>
      <c r="S342" s="12">
        <f t="shared" si="4"/>
        <v>3</v>
      </c>
      <c r="T342" s="12">
        <f t="shared" si="4"/>
        <v>3</v>
      </c>
      <c r="U342" s="12">
        <f t="shared" si="4"/>
        <v>3</v>
      </c>
      <c r="V342" s="12">
        <f t="shared" si="5"/>
        <v>3</v>
      </c>
      <c r="W342" s="12">
        <f t="shared" si="5"/>
        <v>3</v>
      </c>
      <c r="X342" s="12">
        <f t="shared" si="5"/>
        <v>3</v>
      </c>
      <c r="Y342" s="12">
        <f t="shared" si="5"/>
        <v>3</v>
      </c>
      <c r="Z342" s="12">
        <f t="shared" si="5"/>
        <v>0</v>
      </c>
      <c r="AA342" s="12">
        <f t="shared" si="5"/>
        <v>0</v>
      </c>
      <c r="AB342" s="12">
        <f t="shared" si="5"/>
        <v>0</v>
      </c>
      <c r="AC342" s="12">
        <f t="shared" si="5"/>
        <v>0</v>
      </c>
      <c r="AD342" s="12">
        <f t="shared" si="5"/>
        <v>0</v>
      </c>
      <c r="AE342" s="12">
        <f t="shared" si="5"/>
        <v>0</v>
      </c>
      <c r="AF342" s="12">
        <f t="shared" si="5"/>
        <v>0</v>
      </c>
    </row>
    <row r="343" spans="1:32">
      <c r="A343" s="9">
        <v>18</v>
      </c>
      <c r="B343" s="12">
        <f t="shared" si="3"/>
        <v>0</v>
      </c>
      <c r="C343" s="12">
        <f t="shared" si="3"/>
        <v>0</v>
      </c>
      <c r="D343" s="12">
        <f t="shared" si="3"/>
        <v>0</v>
      </c>
      <c r="E343" s="12">
        <f t="shared" si="3"/>
        <v>0</v>
      </c>
      <c r="F343" s="12">
        <f t="shared" si="3"/>
        <v>0</v>
      </c>
      <c r="G343" s="12">
        <f t="shared" si="3"/>
        <v>0</v>
      </c>
      <c r="H343" s="12">
        <f t="shared" si="3"/>
        <v>0</v>
      </c>
      <c r="I343" s="12">
        <f t="shared" si="3"/>
        <v>0</v>
      </c>
      <c r="J343" s="12">
        <f t="shared" si="3"/>
        <v>0</v>
      </c>
      <c r="K343" s="12">
        <f t="shared" si="3"/>
        <v>0</v>
      </c>
      <c r="L343" s="12">
        <f t="shared" si="4"/>
        <v>0</v>
      </c>
      <c r="M343" s="12">
        <f t="shared" si="4"/>
        <v>0</v>
      </c>
      <c r="N343" s="12">
        <f t="shared" si="4"/>
        <v>0</v>
      </c>
      <c r="O343" s="12">
        <f t="shared" si="4"/>
        <v>0</v>
      </c>
      <c r="P343" s="12">
        <f t="shared" si="4"/>
        <v>0</v>
      </c>
      <c r="Q343" s="12">
        <f t="shared" si="4"/>
        <v>0</v>
      </c>
      <c r="R343" s="12">
        <f t="shared" si="4"/>
        <v>3</v>
      </c>
      <c r="S343" s="12" t="str">
        <f t="shared" si="4"/>
        <v/>
      </c>
      <c r="T343" s="12">
        <f t="shared" si="4"/>
        <v>3</v>
      </c>
      <c r="U343" s="12">
        <f t="shared" si="4"/>
        <v>3</v>
      </c>
      <c r="V343" s="12">
        <f t="shared" si="5"/>
        <v>3</v>
      </c>
      <c r="W343" s="12">
        <f t="shared" si="5"/>
        <v>3</v>
      </c>
      <c r="X343" s="12">
        <f t="shared" si="5"/>
        <v>3</v>
      </c>
      <c r="Y343" s="12">
        <f t="shared" si="5"/>
        <v>3</v>
      </c>
      <c r="Z343" s="12">
        <f t="shared" si="5"/>
        <v>0</v>
      </c>
      <c r="AA343" s="12">
        <f t="shared" si="5"/>
        <v>0</v>
      </c>
      <c r="AB343" s="12">
        <f t="shared" si="5"/>
        <v>0</v>
      </c>
      <c r="AC343" s="12">
        <f t="shared" si="5"/>
        <v>0</v>
      </c>
      <c r="AD343" s="12">
        <f t="shared" si="5"/>
        <v>0</v>
      </c>
      <c r="AE343" s="12">
        <f t="shared" si="5"/>
        <v>0</v>
      </c>
      <c r="AF343" s="12">
        <f t="shared" si="5"/>
        <v>0</v>
      </c>
    </row>
    <row r="344" spans="1:32">
      <c r="A344" s="9">
        <v>19</v>
      </c>
      <c r="B344" s="12">
        <f t="shared" si="3"/>
        <v>0</v>
      </c>
      <c r="C344" s="12">
        <f t="shared" si="3"/>
        <v>0</v>
      </c>
      <c r="D344" s="12">
        <f t="shared" si="3"/>
        <v>0</v>
      </c>
      <c r="E344" s="12">
        <f t="shared" si="3"/>
        <v>0</v>
      </c>
      <c r="F344" s="12">
        <f t="shared" si="3"/>
        <v>0</v>
      </c>
      <c r="G344" s="12">
        <f t="shared" si="3"/>
        <v>0</v>
      </c>
      <c r="H344" s="12">
        <f t="shared" si="3"/>
        <v>0</v>
      </c>
      <c r="I344" s="12">
        <f t="shared" si="3"/>
        <v>0</v>
      </c>
      <c r="J344" s="12">
        <f t="shared" si="3"/>
        <v>0</v>
      </c>
      <c r="K344" s="12">
        <f t="shared" si="3"/>
        <v>0</v>
      </c>
      <c r="L344" s="12">
        <f t="shared" si="4"/>
        <v>0</v>
      </c>
      <c r="M344" s="12">
        <f t="shared" si="4"/>
        <v>0</v>
      </c>
      <c r="N344" s="12">
        <f t="shared" si="4"/>
        <v>0</v>
      </c>
      <c r="O344" s="12">
        <f t="shared" si="4"/>
        <v>0</v>
      </c>
      <c r="P344" s="12">
        <f t="shared" si="4"/>
        <v>0</v>
      </c>
      <c r="Q344" s="12">
        <f t="shared" si="4"/>
        <v>0</v>
      </c>
      <c r="R344" s="12">
        <f t="shared" si="4"/>
        <v>3</v>
      </c>
      <c r="S344" s="12">
        <f t="shared" si="4"/>
        <v>3</v>
      </c>
      <c r="T344" s="12" t="str">
        <f t="shared" si="4"/>
        <v/>
      </c>
      <c r="U344" s="12">
        <f t="shared" si="4"/>
        <v>3</v>
      </c>
      <c r="V344" s="12">
        <f t="shared" si="5"/>
        <v>3</v>
      </c>
      <c r="W344" s="12">
        <f t="shared" si="5"/>
        <v>3</v>
      </c>
      <c r="X344" s="12">
        <f t="shared" si="5"/>
        <v>3</v>
      </c>
      <c r="Y344" s="12">
        <f t="shared" si="5"/>
        <v>3</v>
      </c>
      <c r="Z344" s="12">
        <f t="shared" si="5"/>
        <v>0</v>
      </c>
      <c r="AA344" s="12">
        <f t="shared" si="5"/>
        <v>0</v>
      </c>
      <c r="AB344" s="12">
        <f t="shared" si="5"/>
        <v>0</v>
      </c>
      <c r="AC344" s="12">
        <f t="shared" si="5"/>
        <v>0</v>
      </c>
      <c r="AD344" s="12">
        <f t="shared" si="5"/>
        <v>0</v>
      </c>
      <c r="AE344" s="12">
        <f t="shared" si="5"/>
        <v>0</v>
      </c>
      <c r="AF344" s="12">
        <f t="shared" si="5"/>
        <v>0</v>
      </c>
    </row>
    <row r="345" spans="1:32">
      <c r="A345" s="9">
        <v>20</v>
      </c>
      <c r="B345" s="12">
        <f t="shared" si="3"/>
        <v>0</v>
      </c>
      <c r="C345" s="12">
        <f t="shared" si="3"/>
        <v>0</v>
      </c>
      <c r="D345" s="12">
        <f t="shared" si="3"/>
        <v>0</v>
      </c>
      <c r="E345" s="12">
        <f t="shared" si="3"/>
        <v>0</v>
      </c>
      <c r="F345" s="12">
        <f t="shared" si="3"/>
        <v>0</v>
      </c>
      <c r="G345" s="12">
        <f t="shared" si="3"/>
        <v>0</v>
      </c>
      <c r="H345" s="12">
        <f t="shared" si="3"/>
        <v>0</v>
      </c>
      <c r="I345" s="12">
        <f t="shared" si="3"/>
        <v>0</v>
      </c>
      <c r="J345" s="12">
        <f t="shared" si="3"/>
        <v>0</v>
      </c>
      <c r="K345" s="12">
        <f t="shared" si="3"/>
        <v>0</v>
      </c>
      <c r="L345" s="12">
        <f t="shared" si="4"/>
        <v>0</v>
      </c>
      <c r="M345" s="12">
        <f t="shared" si="4"/>
        <v>0</v>
      </c>
      <c r="N345" s="12">
        <f t="shared" si="4"/>
        <v>0</v>
      </c>
      <c r="O345" s="12">
        <f t="shared" si="4"/>
        <v>0</v>
      </c>
      <c r="P345" s="12">
        <f t="shared" si="4"/>
        <v>0</v>
      </c>
      <c r="Q345" s="12">
        <f t="shared" si="4"/>
        <v>0</v>
      </c>
      <c r="R345" s="12">
        <f t="shared" si="4"/>
        <v>3</v>
      </c>
      <c r="S345" s="12">
        <f t="shared" si="4"/>
        <v>3</v>
      </c>
      <c r="T345" s="12">
        <f t="shared" si="4"/>
        <v>3</v>
      </c>
      <c r="U345" s="12" t="str">
        <f t="shared" si="4"/>
        <v/>
      </c>
      <c r="V345" s="12">
        <f t="shared" si="5"/>
        <v>3</v>
      </c>
      <c r="W345" s="12">
        <f t="shared" si="5"/>
        <v>3</v>
      </c>
      <c r="X345" s="12">
        <f t="shared" si="5"/>
        <v>3</v>
      </c>
      <c r="Y345" s="12">
        <f t="shared" si="5"/>
        <v>3</v>
      </c>
      <c r="Z345" s="12">
        <f t="shared" si="5"/>
        <v>0</v>
      </c>
      <c r="AA345" s="12">
        <f t="shared" si="5"/>
        <v>0</v>
      </c>
      <c r="AB345" s="12">
        <f t="shared" si="5"/>
        <v>0</v>
      </c>
      <c r="AC345" s="12">
        <f t="shared" si="5"/>
        <v>0</v>
      </c>
      <c r="AD345" s="12">
        <f t="shared" si="5"/>
        <v>0</v>
      </c>
      <c r="AE345" s="12">
        <f t="shared" si="5"/>
        <v>0</v>
      </c>
      <c r="AF345" s="12">
        <f t="shared" si="5"/>
        <v>0</v>
      </c>
    </row>
    <row r="346" spans="1:32">
      <c r="A346" s="9">
        <v>21</v>
      </c>
      <c r="B346" s="12">
        <f t="shared" ref="B346:K356" si="6">IF($A346=B$325,"",COUNTIF($E$4:$E$321,$A346&amp;" ضد "&amp;B$325)+COUNTIF($E$4:$E$321,B$325&amp;" ضد "&amp;$A346))</f>
        <v>0</v>
      </c>
      <c r="C346" s="12">
        <f t="shared" si="6"/>
        <v>0</v>
      </c>
      <c r="D346" s="12">
        <f t="shared" si="6"/>
        <v>0</v>
      </c>
      <c r="E346" s="12">
        <f t="shared" si="6"/>
        <v>0</v>
      </c>
      <c r="F346" s="12">
        <f t="shared" si="6"/>
        <v>0</v>
      </c>
      <c r="G346" s="12">
        <f t="shared" si="6"/>
        <v>0</v>
      </c>
      <c r="H346" s="12">
        <f t="shared" si="6"/>
        <v>0</v>
      </c>
      <c r="I346" s="12">
        <f t="shared" si="6"/>
        <v>0</v>
      </c>
      <c r="J346" s="12">
        <f t="shared" si="6"/>
        <v>0</v>
      </c>
      <c r="K346" s="12">
        <f t="shared" si="6"/>
        <v>0</v>
      </c>
      <c r="L346" s="12">
        <f t="shared" ref="L346:U356" si="7">IF($A346=L$325,"",COUNTIF($E$4:$E$321,$A346&amp;" ضد "&amp;L$325)+COUNTIF($E$4:$E$321,L$325&amp;" ضد "&amp;$A346))</f>
        <v>0</v>
      </c>
      <c r="M346" s="12">
        <f t="shared" si="7"/>
        <v>0</v>
      </c>
      <c r="N346" s="12">
        <f t="shared" si="7"/>
        <v>0</v>
      </c>
      <c r="O346" s="12">
        <f t="shared" si="7"/>
        <v>0</v>
      </c>
      <c r="P346" s="12">
        <f t="shared" si="7"/>
        <v>0</v>
      </c>
      <c r="Q346" s="12">
        <f t="shared" si="7"/>
        <v>0</v>
      </c>
      <c r="R346" s="12">
        <f t="shared" si="7"/>
        <v>3</v>
      </c>
      <c r="S346" s="12">
        <f t="shared" si="7"/>
        <v>3</v>
      </c>
      <c r="T346" s="12">
        <f t="shared" si="7"/>
        <v>3</v>
      </c>
      <c r="U346" s="12">
        <f t="shared" si="7"/>
        <v>3</v>
      </c>
      <c r="V346" s="12" t="str">
        <f t="shared" ref="V346:AF356" si="8">IF($A346=V$325,"",COUNTIF($E$4:$E$321,$A346&amp;" ضد "&amp;V$325)+COUNTIF($E$4:$E$321,V$325&amp;" ضد "&amp;$A346))</f>
        <v/>
      </c>
      <c r="W346" s="12">
        <f t="shared" si="8"/>
        <v>3</v>
      </c>
      <c r="X346" s="12">
        <f t="shared" si="8"/>
        <v>3</v>
      </c>
      <c r="Y346" s="12">
        <f t="shared" si="8"/>
        <v>3</v>
      </c>
      <c r="Z346" s="12">
        <f t="shared" si="8"/>
        <v>0</v>
      </c>
      <c r="AA346" s="12">
        <f t="shared" si="8"/>
        <v>0</v>
      </c>
      <c r="AB346" s="12">
        <f t="shared" si="8"/>
        <v>0</v>
      </c>
      <c r="AC346" s="12">
        <f t="shared" si="8"/>
        <v>0</v>
      </c>
      <c r="AD346" s="12">
        <f t="shared" si="8"/>
        <v>0</v>
      </c>
      <c r="AE346" s="12">
        <f t="shared" si="8"/>
        <v>0</v>
      </c>
      <c r="AF346" s="12">
        <f t="shared" si="8"/>
        <v>0</v>
      </c>
    </row>
    <row r="347" spans="1:32">
      <c r="A347" s="9">
        <v>22</v>
      </c>
      <c r="B347" s="12">
        <f t="shared" si="6"/>
        <v>0</v>
      </c>
      <c r="C347" s="12">
        <f t="shared" si="6"/>
        <v>0</v>
      </c>
      <c r="D347" s="12">
        <f t="shared" si="6"/>
        <v>0</v>
      </c>
      <c r="E347" s="12">
        <f t="shared" si="6"/>
        <v>0</v>
      </c>
      <c r="F347" s="12">
        <f t="shared" si="6"/>
        <v>0</v>
      </c>
      <c r="G347" s="12">
        <f t="shared" si="6"/>
        <v>0</v>
      </c>
      <c r="H347" s="12">
        <f t="shared" si="6"/>
        <v>0</v>
      </c>
      <c r="I347" s="12">
        <f t="shared" si="6"/>
        <v>0</v>
      </c>
      <c r="J347" s="12">
        <f t="shared" si="6"/>
        <v>0</v>
      </c>
      <c r="K347" s="12">
        <f t="shared" si="6"/>
        <v>0</v>
      </c>
      <c r="L347" s="12">
        <f t="shared" si="7"/>
        <v>0</v>
      </c>
      <c r="M347" s="12">
        <f t="shared" si="7"/>
        <v>0</v>
      </c>
      <c r="N347" s="12">
        <f t="shared" si="7"/>
        <v>0</v>
      </c>
      <c r="O347" s="12">
        <f t="shared" si="7"/>
        <v>0</v>
      </c>
      <c r="P347" s="12">
        <f t="shared" si="7"/>
        <v>0</v>
      </c>
      <c r="Q347" s="12">
        <f t="shared" si="7"/>
        <v>0</v>
      </c>
      <c r="R347" s="12">
        <f t="shared" si="7"/>
        <v>3</v>
      </c>
      <c r="S347" s="12">
        <f t="shared" si="7"/>
        <v>3</v>
      </c>
      <c r="T347" s="12">
        <f t="shared" si="7"/>
        <v>3</v>
      </c>
      <c r="U347" s="12">
        <f t="shared" si="7"/>
        <v>3</v>
      </c>
      <c r="V347" s="12">
        <f t="shared" si="8"/>
        <v>3</v>
      </c>
      <c r="W347" s="12" t="str">
        <f t="shared" si="8"/>
        <v/>
      </c>
      <c r="X347" s="12">
        <f t="shared" si="8"/>
        <v>3</v>
      </c>
      <c r="Y347" s="12">
        <f t="shared" si="8"/>
        <v>3</v>
      </c>
      <c r="Z347" s="12">
        <f t="shared" si="8"/>
        <v>0</v>
      </c>
      <c r="AA347" s="12">
        <f t="shared" si="8"/>
        <v>0</v>
      </c>
      <c r="AB347" s="12">
        <f t="shared" si="8"/>
        <v>0</v>
      </c>
      <c r="AC347" s="12">
        <f t="shared" si="8"/>
        <v>0</v>
      </c>
      <c r="AD347" s="12">
        <f t="shared" si="8"/>
        <v>0</v>
      </c>
      <c r="AE347" s="12">
        <f t="shared" si="8"/>
        <v>0</v>
      </c>
      <c r="AF347" s="12">
        <f t="shared" si="8"/>
        <v>0</v>
      </c>
    </row>
    <row r="348" spans="1:32">
      <c r="A348" s="9">
        <v>23</v>
      </c>
      <c r="B348" s="12">
        <f t="shared" si="6"/>
        <v>0</v>
      </c>
      <c r="C348" s="12">
        <f t="shared" si="6"/>
        <v>0</v>
      </c>
      <c r="D348" s="12">
        <f t="shared" si="6"/>
        <v>0</v>
      </c>
      <c r="E348" s="12">
        <f t="shared" si="6"/>
        <v>0</v>
      </c>
      <c r="F348" s="12">
        <f t="shared" si="6"/>
        <v>0</v>
      </c>
      <c r="G348" s="12">
        <f t="shared" si="6"/>
        <v>0</v>
      </c>
      <c r="H348" s="12">
        <f t="shared" si="6"/>
        <v>0</v>
      </c>
      <c r="I348" s="12">
        <f t="shared" si="6"/>
        <v>0</v>
      </c>
      <c r="J348" s="12">
        <f t="shared" si="6"/>
        <v>0</v>
      </c>
      <c r="K348" s="12">
        <f t="shared" si="6"/>
        <v>0</v>
      </c>
      <c r="L348" s="12">
        <f t="shared" si="7"/>
        <v>0</v>
      </c>
      <c r="M348" s="12">
        <f t="shared" si="7"/>
        <v>0</v>
      </c>
      <c r="N348" s="12">
        <f t="shared" si="7"/>
        <v>0</v>
      </c>
      <c r="O348" s="12">
        <f t="shared" si="7"/>
        <v>0</v>
      </c>
      <c r="P348" s="12">
        <f t="shared" si="7"/>
        <v>0</v>
      </c>
      <c r="Q348" s="12">
        <f t="shared" si="7"/>
        <v>0</v>
      </c>
      <c r="R348" s="12">
        <f t="shared" si="7"/>
        <v>3</v>
      </c>
      <c r="S348" s="12">
        <f t="shared" si="7"/>
        <v>3</v>
      </c>
      <c r="T348" s="12">
        <f t="shared" si="7"/>
        <v>3</v>
      </c>
      <c r="U348" s="12">
        <f t="shared" si="7"/>
        <v>3</v>
      </c>
      <c r="V348" s="12">
        <f t="shared" si="8"/>
        <v>3</v>
      </c>
      <c r="W348" s="12">
        <f t="shared" si="8"/>
        <v>3</v>
      </c>
      <c r="X348" s="12" t="str">
        <f t="shared" si="8"/>
        <v/>
      </c>
      <c r="Y348" s="12">
        <f t="shared" si="8"/>
        <v>3</v>
      </c>
      <c r="Z348" s="12">
        <f t="shared" si="8"/>
        <v>0</v>
      </c>
      <c r="AA348" s="12">
        <f t="shared" si="8"/>
        <v>0</v>
      </c>
      <c r="AB348" s="12">
        <f t="shared" si="8"/>
        <v>0</v>
      </c>
      <c r="AC348" s="12">
        <f t="shared" si="8"/>
        <v>0</v>
      </c>
      <c r="AD348" s="12">
        <f t="shared" si="8"/>
        <v>0</v>
      </c>
      <c r="AE348" s="12">
        <f t="shared" si="8"/>
        <v>0</v>
      </c>
      <c r="AF348" s="12">
        <f t="shared" si="8"/>
        <v>0</v>
      </c>
    </row>
    <row r="349" spans="1:32">
      <c r="A349" s="9">
        <v>24</v>
      </c>
      <c r="B349" s="12">
        <f t="shared" si="6"/>
        <v>0</v>
      </c>
      <c r="C349" s="12">
        <f t="shared" si="6"/>
        <v>0</v>
      </c>
      <c r="D349" s="12">
        <f t="shared" si="6"/>
        <v>0</v>
      </c>
      <c r="E349" s="12">
        <f t="shared" si="6"/>
        <v>0</v>
      </c>
      <c r="F349" s="12">
        <f t="shared" si="6"/>
        <v>0</v>
      </c>
      <c r="G349" s="12">
        <f t="shared" si="6"/>
        <v>0</v>
      </c>
      <c r="H349" s="12">
        <f t="shared" si="6"/>
        <v>0</v>
      </c>
      <c r="I349" s="12">
        <f t="shared" si="6"/>
        <v>0</v>
      </c>
      <c r="J349" s="12">
        <f t="shared" si="6"/>
        <v>0</v>
      </c>
      <c r="K349" s="12">
        <f t="shared" si="6"/>
        <v>0</v>
      </c>
      <c r="L349" s="12">
        <f t="shared" si="7"/>
        <v>0</v>
      </c>
      <c r="M349" s="12">
        <f t="shared" si="7"/>
        <v>0</v>
      </c>
      <c r="N349" s="12">
        <f t="shared" si="7"/>
        <v>0</v>
      </c>
      <c r="O349" s="12">
        <f t="shared" si="7"/>
        <v>0</v>
      </c>
      <c r="P349" s="12">
        <f t="shared" si="7"/>
        <v>0</v>
      </c>
      <c r="Q349" s="12">
        <f t="shared" si="7"/>
        <v>0</v>
      </c>
      <c r="R349" s="12">
        <f t="shared" si="7"/>
        <v>3</v>
      </c>
      <c r="S349" s="12">
        <f t="shared" si="7"/>
        <v>3</v>
      </c>
      <c r="T349" s="12">
        <f t="shared" si="7"/>
        <v>3</v>
      </c>
      <c r="U349" s="12">
        <f t="shared" si="7"/>
        <v>3</v>
      </c>
      <c r="V349" s="12">
        <f t="shared" si="8"/>
        <v>3</v>
      </c>
      <c r="W349" s="12">
        <f t="shared" si="8"/>
        <v>3</v>
      </c>
      <c r="X349" s="12">
        <f t="shared" si="8"/>
        <v>3</v>
      </c>
      <c r="Y349" s="12" t="str">
        <f t="shared" si="8"/>
        <v/>
      </c>
      <c r="Z349" s="12">
        <f t="shared" si="8"/>
        <v>0</v>
      </c>
      <c r="AA349" s="12">
        <f t="shared" si="8"/>
        <v>0</v>
      </c>
      <c r="AB349" s="12">
        <f t="shared" si="8"/>
        <v>0</v>
      </c>
      <c r="AC349" s="12">
        <f t="shared" si="8"/>
        <v>0</v>
      </c>
      <c r="AD349" s="12">
        <f t="shared" si="8"/>
        <v>0</v>
      </c>
      <c r="AE349" s="12">
        <f t="shared" si="8"/>
        <v>0</v>
      </c>
      <c r="AF349" s="12">
        <f t="shared" si="8"/>
        <v>0</v>
      </c>
    </row>
    <row r="350" spans="1:32">
      <c r="A350" s="9">
        <v>25</v>
      </c>
      <c r="B350" s="12">
        <f t="shared" si="6"/>
        <v>0</v>
      </c>
      <c r="C350" s="12">
        <f t="shared" si="6"/>
        <v>0</v>
      </c>
      <c r="D350" s="12">
        <f t="shared" si="6"/>
        <v>0</v>
      </c>
      <c r="E350" s="12">
        <f t="shared" si="6"/>
        <v>0</v>
      </c>
      <c r="F350" s="12">
        <f t="shared" si="6"/>
        <v>0</v>
      </c>
      <c r="G350" s="12">
        <f t="shared" si="6"/>
        <v>0</v>
      </c>
      <c r="H350" s="12">
        <f t="shared" si="6"/>
        <v>0</v>
      </c>
      <c r="I350" s="12">
        <f t="shared" si="6"/>
        <v>0</v>
      </c>
      <c r="J350" s="12">
        <f t="shared" si="6"/>
        <v>0</v>
      </c>
      <c r="K350" s="12">
        <f t="shared" si="6"/>
        <v>0</v>
      </c>
      <c r="L350" s="12">
        <f t="shared" si="7"/>
        <v>0</v>
      </c>
      <c r="M350" s="12">
        <f t="shared" si="7"/>
        <v>0</v>
      </c>
      <c r="N350" s="12">
        <f t="shared" si="7"/>
        <v>0</v>
      </c>
      <c r="O350" s="12">
        <f t="shared" si="7"/>
        <v>0</v>
      </c>
      <c r="P350" s="12">
        <f t="shared" si="7"/>
        <v>0</v>
      </c>
      <c r="Q350" s="12">
        <f t="shared" si="7"/>
        <v>0</v>
      </c>
      <c r="R350" s="12">
        <f t="shared" si="7"/>
        <v>0</v>
      </c>
      <c r="S350" s="12">
        <f t="shared" si="7"/>
        <v>0</v>
      </c>
      <c r="T350" s="12">
        <f t="shared" si="7"/>
        <v>0</v>
      </c>
      <c r="U350" s="12">
        <f t="shared" si="7"/>
        <v>0</v>
      </c>
      <c r="V350" s="12">
        <f t="shared" si="8"/>
        <v>0</v>
      </c>
      <c r="W350" s="12">
        <f t="shared" si="8"/>
        <v>0</v>
      </c>
      <c r="X350" s="12">
        <f t="shared" si="8"/>
        <v>0</v>
      </c>
      <c r="Y350" s="12">
        <f t="shared" si="8"/>
        <v>0</v>
      </c>
      <c r="Z350" s="12" t="str">
        <f t="shared" si="8"/>
        <v/>
      </c>
      <c r="AA350" s="12">
        <f t="shared" si="8"/>
        <v>3</v>
      </c>
      <c r="AB350" s="12">
        <f t="shared" si="8"/>
        <v>3</v>
      </c>
      <c r="AC350" s="12">
        <f t="shared" si="8"/>
        <v>3</v>
      </c>
      <c r="AD350" s="12">
        <f t="shared" si="8"/>
        <v>3</v>
      </c>
      <c r="AE350" s="12">
        <f t="shared" si="8"/>
        <v>3</v>
      </c>
      <c r="AF350" s="12">
        <f t="shared" si="8"/>
        <v>3</v>
      </c>
    </row>
    <row r="351" spans="1:32">
      <c r="A351" s="9">
        <v>26</v>
      </c>
      <c r="B351" s="12">
        <f t="shared" si="6"/>
        <v>0</v>
      </c>
      <c r="C351" s="12">
        <f t="shared" si="6"/>
        <v>0</v>
      </c>
      <c r="D351" s="12">
        <f t="shared" si="6"/>
        <v>0</v>
      </c>
      <c r="E351" s="12">
        <f t="shared" si="6"/>
        <v>0</v>
      </c>
      <c r="F351" s="12">
        <f t="shared" si="6"/>
        <v>0</v>
      </c>
      <c r="G351" s="12">
        <f t="shared" si="6"/>
        <v>0</v>
      </c>
      <c r="H351" s="12">
        <f t="shared" si="6"/>
        <v>0</v>
      </c>
      <c r="I351" s="12">
        <f t="shared" si="6"/>
        <v>0</v>
      </c>
      <c r="J351" s="12">
        <f t="shared" si="6"/>
        <v>0</v>
      </c>
      <c r="K351" s="12">
        <f t="shared" si="6"/>
        <v>0</v>
      </c>
      <c r="L351" s="12">
        <f t="shared" si="7"/>
        <v>0</v>
      </c>
      <c r="M351" s="12">
        <f t="shared" si="7"/>
        <v>0</v>
      </c>
      <c r="N351" s="12">
        <f t="shared" si="7"/>
        <v>0</v>
      </c>
      <c r="O351" s="12">
        <f t="shared" si="7"/>
        <v>0</v>
      </c>
      <c r="P351" s="12">
        <f t="shared" si="7"/>
        <v>0</v>
      </c>
      <c r="Q351" s="12">
        <f t="shared" si="7"/>
        <v>0</v>
      </c>
      <c r="R351" s="12">
        <f t="shared" si="7"/>
        <v>0</v>
      </c>
      <c r="S351" s="12">
        <f t="shared" si="7"/>
        <v>0</v>
      </c>
      <c r="T351" s="12">
        <f t="shared" si="7"/>
        <v>0</v>
      </c>
      <c r="U351" s="12">
        <f t="shared" si="7"/>
        <v>0</v>
      </c>
      <c r="V351" s="12">
        <f t="shared" si="8"/>
        <v>0</v>
      </c>
      <c r="W351" s="12">
        <f t="shared" si="8"/>
        <v>0</v>
      </c>
      <c r="X351" s="12">
        <f t="shared" si="8"/>
        <v>0</v>
      </c>
      <c r="Y351" s="12">
        <f t="shared" si="8"/>
        <v>0</v>
      </c>
      <c r="Z351" s="12">
        <f t="shared" si="8"/>
        <v>3</v>
      </c>
      <c r="AA351" s="12" t="str">
        <f t="shared" si="8"/>
        <v/>
      </c>
      <c r="AB351" s="12">
        <f t="shared" si="8"/>
        <v>3</v>
      </c>
      <c r="AC351" s="12">
        <f t="shared" si="8"/>
        <v>3</v>
      </c>
      <c r="AD351" s="12">
        <f t="shared" si="8"/>
        <v>3</v>
      </c>
      <c r="AE351" s="12">
        <f t="shared" si="8"/>
        <v>3</v>
      </c>
      <c r="AF351" s="12">
        <f t="shared" si="8"/>
        <v>3</v>
      </c>
    </row>
    <row r="352" spans="1:32">
      <c r="A352" s="9">
        <v>27</v>
      </c>
      <c r="B352" s="12">
        <f t="shared" si="6"/>
        <v>0</v>
      </c>
      <c r="C352" s="12">
        <f t="shared" si="6"/>
        <v>0</v>
      </c>
      <c r="D352" s="12">
        <f t="shared" si="6"/>
        <v>0</v>
      </c>
      <c r="E352" s="12">
        <f t="shared" si="6"/>
        <v>0</v>
      </c>
      <c r="F352" s="12">
        <f t="shared" si="6"/>
        <v>0</v>
      </c>
      <c r="G352" s="12">
        <f t="shared" si="6"/>
        <v>0</v>
      </c>
      <c r="H352" s="12">
        <f t="shared" si="6"/>
        <v>0</v>
      </c>
      <c r="I352" s="12">
        <f t="shared" si="6"/>
        <v>0</v>
      </c>
      <c r="J352" s="12">
        <f t="shared" si="6"/>
        <v>0</v>
      </c>
      <c r="K352" s="12">
        <f t="shared" si="6"/>
        <v>0</v>
      </c>
      <c r="L352" s="12">
        <f t="shared" si="7"/>
        <v>0</v>
      </c>
      <c r="M352" s="12">
        <f t="shared" si="7"/>
        <v>0</v>
      </c>
      <c r="N352" s="12">
        <f t="shared" si="7"/>
        <v>0</v>
      </c>
      <c r="O352" s="12">
        <f t="shared" si="7"/>
        <v>0</v>
      </c>
      <c r="P352" s="12">
        <f t="shared" si="7"/>
        <v>0</v>
      </c>
      <c r="Q352" s="12">
        <f t="shared" si="7"/>
        <v>0</v>
      </c>
      <c r="R352" s="12">
        <f t="shared" si="7"/>
        <v>0</v>
      </c>
      <c r="S352" s="12">
        <f t="shared" si="7"/>
        <v>0</v>
      </c>
      <c r="T352" s="12">
        <f t="shared" si="7"/>
        <v>0</v>
      </c>
      <c r="U352" s="12">
        <f t="shared" si="7"/>
        <v>0</v>
      </c>
      <c r="V352" s="12">
        <f t="shared" si="8"/>
        <v>0</v>
      </c>
      <c r="W352" s="12">
        <f t="shared" si="8"/>
        <v>0</v>
      </c>
      <c r="X352" s="12">
        <f t="shared" si="8"/>
        <v>0</v>
      </c>
      <c r="Y352" s="12">
        <f t="shared" si="8"/>
        <v>0</v>
      </c>
      <c r="Z352" s="12">
        <f t="shared" si="8"/>
        <v>3</v>
      </c>
      <c r="AA352" s="12">
        <f t="shared" si="8"/>
        <v>3</v>
      </c>
      <c r="AB352" s="12" t="str">
        <f t="shared" si="8"/>
        <v/>
      </c>
      <c r="AC352" s="12">
        <f t="shared" si="8"/>
        <v>3</v>
      </c>
      <c r="AD352" s="12">
        <f t="shared" si="8"/>
        <v>3</v>
      </c>
      <c r="AE352" s="12">
        <f t="shared" si="8"/>
        <v>3</v>
      </c>
      <c r="AF352" s="12">
        <f t="shared" si="8"/>
        <v>3</v>
      </c>
    </row>
    <row r="353" spans="1:32">
      <c r="A353" s="9">
        <v>28</v>
      </c>
      <c r="B353" s="12">
        <f t="shared" si="6"/>
        <v>0</v>
      </c>
      <c r="C353" s="12">
        <f t="shared" si="6"/>
        <v>0</v>
      </c>
      <c r="D353" s="12">
        <f t="shared" si="6"/>
        <v>0</v>
      </c>
      <c r="E353" s="12">
        <f t="shared" si="6"/>
        <v>0</v>
      </c>
      <c r="F353" s="12">
        <f t="shared" si="6"/>
        <v>0</v>
      </c>
      <c r="G353" s="12">
        <f t="shared" si="6"/>
        <v>0</v>
      </c>
      <c r="H353" s="12">
        <f t="shared" si="6"/>
        <v>0</v>
      </c>
      <c r="I353" s="12">
        <f t="shared" si="6"/>
        <v>0</v>
      </c>
      <c r="J353" s="12">
        <f t="shared" si="6"/>
        <v>0</v>
      </c>
      <c r="K353" s="12">
        <f t="shared" si="6"/>
        <v>0</v>
      </c>
      <c r="L353" s="12">
        <f t="shared" si="7"/>
        <v>0</v>
      </c>
      <c r="M353" s="12">
        <f t="shared" si="7"/>
        <v>0</v>
      </c>
      <c r="N353" s="12">
        <f t="shared" si="7"/>
        <v>0</v>
      </c>
      <c r="O353" s="12">
        <f t="shared" si="7"/>
        <v>0</v>
      </c>
      <c r="P353" s="12">
        <f t="shared" si="7"/>
        <v>0</v>
      </c>
      <c r="Q353" s="12">
        <f t="shared" si="7"/>
        <v>0</v>
      </c>
      <c r="R353" s="12">
        <f t="shared" si="7"/>
        <v>0</v>
      </c>
      <c r="S353" s="12">
        <f t="shared" si="7"/>
        <v>0</v>
      </c>
      <c r="T353" s="12">
        <f t="shared" si="7"/>
        <v>0</v>
      </c>
      <c r="U353" s="12">
        <f t="shared" si="7"/>
        <v>0</v>
      </c>
      <c r="V353" s="12">
        <f t="shared" si="8"/>
        <v>0</v>
      </c>
      <c r="W353" s="12">
        <f t="shared" si="8"/>
        <v>0</v>
      </c>
      <c r="X353" s="12">
        <f t="shared" si="8"/>
        <v>0</v>
      </c>
      <c r="Y353" s="12">
        <f t="shared" si="8"/>
        <v>0</v>
      </c>
      <c r="Z353" s="12">
        <f t="shared" si="8"/>
        <v>3</v>
      </c>
      <c r="AA353" s="12">
        <f t="shared" si="8"/>
        <v>3</v>
      </c>
      <c r="AB353" s="12">
        <f t="shared" si="8"/>
        <v>3</v>
      </c>
      <c r="AC353" s="12" t="str">
        <f t="shared" si="8"/>
        <v/>
      </c>
      <c r="AD353" s="12">
        <f t="shared" si="8"/>
        <v>3</v>
      </c>
      <c r="AE353" s="12">
        <f t="shared" si="8"/>
        <v>3</v>
      </c>
      <c r="AF353" s="12">
        <f t="shared" si="8"/>
        <v>3</v>
      </c>
    </row>
    <row r="354" spans="1:32">
      <c r="A354" s="9">
        <v>29</v>
      </c>
      <c r="B354" s="12">
        <f t="shared" si="6"/>
        <v>0</v>
      </c>
      <c r="C354" s="12">
        <f t="shared" si="6"/>
        <v>0</v>
      </c>
      <c r="D354" s="12">
        <f t="shared" si="6"/>
        <v>0</v>
      </c>
      <c r="E354" s="12">
        <f t="shared" si="6"/>
        <v>0</v>
      </c>
      <c r="F354" s="12">
        <f t="shared" si="6"/>
        <v>0</v>
      </c>
      <c r="G354" s="12">
        <f t="shared" si="6"/>
        <v>0</v>
      </c>
      <c r="H354" s="12">
        <f t="shared" si="6"/>
        <v>0</v>
      </c>
      <c r="I354" s="12">
        <f t="shared" si="6"/>
        <v>0</v>
      </c>
      <c r="J354" s="12">
        <f t="shared" si="6"/>
        <v>0</v>
      </c>
      <c r="K354" s="12">
        <f t="shared" si="6"/>
        <v>0</v>
      </c>
      <c r="L354" s="12">
        <f t="shared" si="7"/>
        <v>0</v>
      </c>
      <c r="M354" s="12">
        <f t="shared" si="7"/>
        <v>0</v>
      </c>
      <c r="N354" s="12">
        <f t="shared" si="7"/>
        <v>0</v>
      </c>
      <c r="O354" s="12">
        <f t="shared" si="7"/>
        <v>0</v>
      </c>
      <c r="P354" s="12">
        <f t="shared" si="7"/>
        <v>0</v>
      </c>
      <c r="Q354" s="12">
        <f t="shared" si="7"/>
        <v>0</v>
      </c>
      <c r="R354" s="12">
        <f t="shared" si="7"/>
        <v>0</v>
      </c>
      <c r="S354" s="12">
        <f t="shared" si="7"/>
        <v>0</v>
      </c>
      <c r="T354" s="12">
        <f t="shared" si="7"/>
        <v>0</v>
      </c>
      <c r="U354" s="12">
        <f t="shared" si="7"/>
        <v>0</v>
      </c>
      <c r="V354" s="12">
        <f t="shared" si="8"/>
        <v>0</v>
      </c>
      <c r="W354" s="12">
        <f t="shared" si="8"/>
        <v>0</v>
      </c>
      <c r="X354" s="12">
        <f t="shared" si="8"/>
        <v>0</v>
      </c>
      <c r="Y354" s="12">
        <f t="shared" si="8"/>
        <v>0</v>
      </c>
      <c r="Z354" s="12">
        <f t="shared" si="8"/>
        <v>3</v>
      </c>
      <c r="AA354" s="12">
        <f t="shared" si="8"/>
        <v>3</v>
      </c>
      <c r="AB354" s="12">
        <f t="shared" si="8"/>
        <v>3</v>
      </c>
      <c r="AC354" s="12">
        <f t="shared" si="8"/>
        <v>3</v>
      </c>
      <c r="AD354" s="12" t="str">
        <f t="shared" si="8"/>
        <v/>
      </c>
      <c r="AE354" s="12">
        <f t="shared" si="8"/>
        <v>3</v>
      </c>
      <c r="AF354" s="12">
        <f t="shared" si="8"/>
        <v>3</v>
      </c>
    </row>
    <row r="355" spans="1:32">
      <c r="A355" s="9">
        <v>30</v>
      </c>
      <c r="B355" s="12">
        <f t="shared" si="6"/>
        <v>0</v>
      </c>
      <c r="C355" s="12">
        <f t="shared" si="6"/>
        <v>0</v>
      </c>
      <c r="D355" s="12">
        <f t="shared" si="6"/>
        <v>0</v>
      </c>
      <c r="E355" s="12">
        <f t="shared" si="6"/>
        <v>0</v>
      </c>
      <c r="F355" s="12">
        <f t="shared" si="6"/>
        <v>0</v>
      </c>
      <c r="G355" s="12">
        <f t="shared" si="6"/>
        <v>0</v>
      </c>
      <c r="H355" s="12">
        <f t="shared" si="6"/>
        <v>0</v>
      </c>
      <c r="I355" s="12">
        <f t="shared" si="6"/>
        <v>0</v>
      </c>
      <c r="J355" s="12">
        <f t="shared" si="6"/>
        <v>0</v>
      </c>
      <c r="K355" s="12">
        <f t="shared" si="6"/>
        <v>0</v>
      </c>
      <c r="L355" s="12">
        <f t="shared" si="7"/>
        <v>0</v>
      </c>
      <c r="M355" s="12">
        <f t="shared" si="7"/>
        <v>0</v>
      </c>
      <c r="N355" s="12">
        <f t="shared" si="7"/>
        <v>0</v>
      </c>
      <c r="O355" s="12">
        <f t="shared" si="7"/>
        <v>0</v>
      </c>
      <c r="P355" s="12">
        <f t="shared" si="7"/>
        <v>0</v>
      </c>
      <c r="Q355" s="12">
        <f t="shared" si="7"/>
        <v>0</v>
      </c>
      <c r="R355" s="12">
        <f t="shared" si="7"/>
        <v>0</v>
      </c>
      <c r="S355" s="12">
        <f t="shared" si="7"/>
        <v>0</v>
      </c>
      <c r="T355" s="12">
        <f t="shared" si="7"/>
        <v>0</v>
      </c>
      <c r="U355" s="12">
        <f t="shared" si="7"/>
        <v>0</v>
      </c>
      <c r="V355" s="12">
        <f t="shared" si="8"/>
        <v>0</v>
      </c>
      <c r="W355" s="12">
        <f t="shared" si="8"/>
        <v>0</v>
      </c>
      <c r="X355" s="12">
        <f t="shared" si="8"/>
        <v>0</v>
      </c>
      <c r="Y355" s="12">
        <f t="shared" si="8"/>
        <v>0</v>
      </c>
      <c r="Z355" s="12">
        <f t="shared" si="8"/>
        <v>3</v>
      </c>
      <c r="AA355" s="12">
        <f t="shared" si="8"/>
        <v>3</v>
      </c>
      <c r="AB355" s="12">
        <f t="shared" si="8"/>
        <v>3</v>
      </c>
      <c r="AC355" s="12">
        <f t="shared" si="8"/>
        <v>3</v>
      </c>
      <c r="AD355" s="12">
        <f t="shared" si="8"/>
        <v>3</v>
      </c>
      <c r="AE355" s="12" t="str">
        <f t="shared" si="8"/>
        <v/>
      </c>
      <c r="AF355" s="12">
        <f t="shared" si="8"/>
        <v>3</v>
      </c>
    </row>
    <row r="356" spans="1:32">
      <c r="A356" s="9">
        <v>31</v>
      </c>
      <c r="B356" s="12">
        <f t="shared" si="6"/>
        <v>0</v>
      </c>
      <c r="C356" s="12">
        <f t="shared" si="6"/>
        <v>0</v>
      </c>
      <c r="D356" s="12">
        <f t="shared" si="6"/>
        <v>0</v>
      </c>
      <c r="E356" s="12">
        <f t="shared" si="6"/>
        <v>0</v>
      </c>
      <c r="F356" s="12">
        <f t="shared" si="6"/>
        <v>0</v>
      </c>
      <c r="G356" s="12">
        <f t="shared" si="6"/>
        <v>0</v>
      </c>
      <c r="H356" s="12">
        <f t="shared" si="6"/>
        <v>0</v>
      </c>
      <c r="I356" s="12">
        <f t="shared" si="6"/>
        <v>0</v>
      </c>
      <c r="J356" s="12">
        <f t="shared" si="6"/>
        <v>0</v>
      </c>
      <c r="K356" s="12">
        <f t="shared" si="6"/>
        <v>0</v>
      </c>
      <c r="L356" s="12">
        <f t="shared" si="7"/>
        <v>0</v>
      </c>
      <c r="M356" s="12">
        <f t="shared" si="7"/>
        <v>0</v>
      </c>
      <c r="N356" s="12">
        <f t="shared" si="7"/>
        <v>0</v>
      </c>
      <c r="O356" s="12">
        <f t="shared" si="7"/>
        <v>0</v>
      </c>
      <c r="P356" s="12">
        <f t="shared" si="7"/>
        <v>0</v>
      </c>
      <c r="Q356" s="12">
        <f t="shared" si="7"/>
        <v>0</v>
      </c>
      <c r="R356" s="12">
        <f t="shared" si="7"/>
        <v>0</v>
      </c>
      <c r="S356" s="12">
        <f t="shared" si="7"/>
        <v>0</v>
      </c>
      <c r="T356" s="12">
        <f t="shared" si="7"/>
        <v>0</v>
      </c>
      <c r="U356" s="12">
        <f t="shared" si="7"/>
        <v>0</v>
      </c>
      <c r="V356" s="12">
        <f t="shared" si="8"/>
        <v>0</v>
      </c>
      <c r="W356" s="12">
        <f t="shared" si="8"/>
        <v>0</v>
      </c>
      <c r="X356" s="12">
        <f t="shared" si="8"/>
        <v>0</v>
      </c>
      <c r="Y356" s="12">
        <f t="shared" si="8"/>
        <v>0</v>
      </c>
      <c r="Z356" s="12">
        <f t="shared" si="8"/>
        <v>3</v>
      </c>
      <c r="AA356" s="12">
        <f t="shared" si="8"/>
        <v>3</v>
      </c>
      <c r="AB356" s="12">
        <f t="shared" si="8"/>
        <v>3</v>
      </c>
      <c r="AC356" s="12">
        <f t="shared" si="8"/>
        <v>3</v>
      </c>
      <c r="AD356" s="12">
        <f t="shared" si="8"/>
        <v>3</v>
      </c>
      <c r="AE356" s="12">
        <f t="shared" si="8"/>
        <v>3</v>
      </c>
      <c r="AF356" s="12" t="str">
        <f t="shared" si="8"/>
        <v/>
      </c>
    </row>
    <row r="357" spans="1:32">
      <c r="A357" s="21" t="s">
        <v>434</v>
      </c>
      <c r="B357" s="18">
        <f>_xlfn.MINIFS(B326:AF356,B326:AF356,"&gt;0")</f>
        <v>3</v>
      </c>
      <c r="C357" s="5"/>
      <c r="D357" s="5"/>
      <c r="E357" s="5"/>
      <c r="F357" s="5"/>
      <c r="G357" s="5"/>
    </row>
    <row r="358" spans="1:32">
      <c r="A358" s="21" t="s">
        <v>435</v>
      </c>
      <c r="B358" s="18">
        <f>MAX(B326:AF356)</f>
        <v>3</v>
      </c>
      <c r="C358" s="5"/>
      <c r="D358" s="5"/>
      <c r="E358" s="5"/>
      <c r="F358" s="5"/>
      <c r="G358" s="5"/>
    </row>
    <row r="359" spans="1:32">
      <c r="A359" s="5"/>
      <c r="B359" s="5"/>
      <c r="C359" s="5"/>
      <c r="D359" s="5"/>
      <c r="E359" s="5"/>
      <c r="F359" s="5"/>
      <c r="G359" s="5"/>
    </row>
    <row r="360" spans="1:32">
      <c r="A360" s="5"/>
      <c r="B360" s="5"/>
      <c r="C360" s="5"/>
      <c r="D360" s="5"/>
      <c r="E360" s="5"/>
      <c r="F360" s="5"/>
      <c r="G360" s="5"/>
    </row>
    <row r="361" spans="1:32">
      <c r="A361" s="5"/>
      <c r="B361" s="5"/>
      <c r="C361" s="5"/>
      <c r="D361" s="5"/>
      <c r="E361" s="5"/>
      <c r="F361" s="5"/>
      <c r="G361" s="5"/>
    </row>
    <row r="362" spans="1:32">
      <c r="A362" s="5"/>
      <c r="B362" s="5"/>
      <c r="C362" s="5"/>
      <c r="D362" s="5"/>
      <c r="E362" s="5"/>
      <c r="F362" s="5"/>
      <c r="G362" s="5"/>
    </row>
    <row r="363" spans="1:32">
      <c r="A363" s="5"/>
      <c r="B363" s="5"/>
      <c r="C363" s="5"/>
      <c r="D363" s="5"/>
      <c r="E363" s="5"/>
      <c r="F363" s="5"/>
      <c r="G363" s="5"/>
    </row>
    <row r="364" spans="1:32">
      <c r="A364" s="5"/>
      <c r="B364" s="5"/>
      <c r="C364" s="5"/>
      <c r="D364" s="5"/>
      <c r="E364" s="5"/>
      <c r="F364" s="5"/>
      <c r="G364" s="5"/>
    </row>
    <row r="365" spans="1:32">
      <c r="A365" s="5"/>
      <c r="B365" s="5"/>
      <c r="C365" s="5"/>
      <c r="D365" s="5"/>
      <c r="E365" s="5"/>
      <c r="F365" s="5"/>
      <c r="G365" s="5"/>
    </row>
    <row r="366" spans="1:32">
      <c r="A366" s="5"/>
      <c r="B366" s="5"/>
      <c r="C366" s="5"/>
      <c r="D366" s="5"/>
      <c r="E366" s="5"/>
      <c r="F366" s="5"/>
      <c r="G366" s="5"/>
    </row>
    <row r="367" spans="1:32">
      <c r="A367" s="5"/>
      <c r="B367" s="5"/>
      <c r="C367" s="5"/>
      <c r="D367" s="5"/>
      <c r="E367" s="5"/>
      <c r="F367" s="5"/>
      <c r="G367" s="5"/>
    </row>
    <row r="368" spans="1:32">
      <c r="A368" s="5"/>
      <c r="B368" s="5"/>
      <c r="C368" s="5"/>
      <c r="D368" s="5"/>
      <c r="E368" s="5"/>
      <c r="F368" s="5"/>
      <c r="G368" s="5"/>
    </row>
    <row r="369" s="5" customFormat="1"/>
    <row r="370" s="5" customFormat="1"/>
    <row r="371" s="5" customFormat="1"/>
    <row r="372" s="5" customFormat="1"/>
    <row r="373" s="5" customFormat="1"/>
    <row r="374" s="5" customFormat="1"/>
    <row r="375" s="5" customFormat="1"/>
    <row r="376" s="5" customFormat="1"/>
    <row r="377" s="5" customFormat="1"/>
    <row r="378" s="5" customFormat="1"/>
    <row r="379" s="5" customFormat="1"/>
    <row r="380" s="5" customFormat="1"/>
    <row r="381" s="5" customFormat="1"/>
    <row r="382" s="5" customFormat="1"/>
    <row r="383" s="5" customFormat="1"/>
    <row r="384" s="5" customFormat="1"/>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row r="801" s="5" customFormat="1"/>
  </sheetData>
  <mergeCells count="2">
    <mergeCell ref="A1:G1"/>
    <mergeCell ref="A324:AF32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158A-590B-4D95-9B7B-121651AF21BB}">
  <dimension ref="A1:AJ800"/>
  <sheetViews>
    <sheetView rightToLeft="1" workbookViewId="0">
      <pane ySplit="3" topLeftCell="A4" activePane="bottomLeft" state="frozen"/>
      <selection sqref="A1:G1"/>
      <selection pane="bottomLeft" sqref="A1:XFD1048576"/>
    </sheetView>
  </sheetViews>
  <sheetFormatPr defaultRowHeight="14.5"/>
  <cols>
    <col min="1" max="1" width="20.1796875" style="15" bestFit="1" customWidth="1"/>
    <col min="2" max="2" width="10.1796875" style="15" bestFit="1" customWidth="1"/>
    <col min="3" max="3" width="5.81640625" style="15" bestFit="1" customWidth="1"/>
    <col min="4" max="4" width="12.90625" style="15" bestFit="1" customWidth="1"/>
    <col min="5" max="5" width="17.0898437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71.453125" style="5" bestFit="1" customWidth="1"/>
    <col min="13" max="13" width="10.1796875" style="5" bestFit="1" customWidth="1"/>
    <col min="14" max="14" width="8.7265625" style="5"/>
    <col min="15" max="15" width="65.453125" style="5" bestFit="1" customWidth="1"/>
    <col min="16" max="16" width="10.1796875" style="5" bestFit="1" customWidth="1"/>
    <col min="17" max="16384" width="8.7265625" style="5"/>
  </cols>
  <sheetData>
    <row r="1" spans="1:36" ht="18.5">
      <c r="A1" s="49" t="s">
        <v>450</v>
      </c>
      <c r="B1" s="49"/>
      <c r="C1" s="49"/>
      <c r="D1" s="49"/>
      <c r="E1" s="49"/>
      <c r="F1" s="49"/>
      <c r="G1" s="49"/>
      <c r="H1" s="4"/>
      <c r="I1" s="4"/>
      <c r="J1" s="4"/>
      <c r="K1" s="4"/>
      <c r="L1" s="4"/>
      <c r="M1" s="4"/>
      <c r="N1" s="22"/>
      <c r="O1" s="22"/>
      <c r="P1" s="22"/>
    </row>
    <row r="2" spans="1:36">
      <c r="A2" s="6"/>
      <c r="B2" s="6"/>
      <c r="C2" s="6"/>
      <c r="D2" s="6"/>
      <c r="E2" s="6"/>
      <c r="F2" s="6"/>
      <c r="G2" s="6"/>
      <c r="H2" s="7"/>
      <c r="I2" s="7"/>
      <c r="J2" s="7"/>
      <c r="K2" s="7"/>
      <c r="L2" s="7"/>
      <c r="M2" s="7"/>
      <c r="N2" s="8"/>
      <c r="O2" s="8"/>
      <c r="P2" s="8"/>
    </row>
    <row r="3" spans="1:36">
      <c r="A3" s="9" t="s">
        <v>11</v>
      </c>
      <c r="B3" s="9" t="s">
        <v>13</v>
      </c>
      <c r="C3" s="9" t="s">
        <v>14</v>
      </c>
      <c r="D3" s="9" t="s">
        <v>15</v>
      </c>
      <c r="E3" s="9" t="s">
        <v>16</v>
      </c>
      <c r="F3" s="7"/>
      <c r="G3" s="25" t="s">
        <v>586</v>
      </c>
    </row>
    <row r="4" spans="1:36">
      <c r="A4" s="11">
        <v>1</v>
      </c>
      <c r="B4" s="12" t="str">
        <f>المدخلات!$F$4</f>
        <v>4:00–5:30 م</v>
      </c>
      <c r="C4" s="12">
        <v>1</v>
      </c>
      <c r="D4" s="12" t="s">
        <v>17</v>
      </c>
      <c r="E4" s="12" t="s">
        <v>38</v>
      </c>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row>
    <row r="5" spans="1:36">
      <c r="A5" s="11">
        <v>1</v>
      </c>
      <c r="B5" s="12" t="str">
        <f>المدخلات!$F$4</f>
        <v>4:00–5:30 م</v>
      </c>
      <c r="C5" s="12">
        <v>2</v>
      </c>
      <c r="D5" s="12" t="s">
        <v>89</v>
      </c>
      <c r="E5" s="12" t="s">
        <v>98</v>
      </c>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row>
    <row r="6" spans="1:36">
      <c r="A6" s="11">
        <v>1</v>
      </c>
      <c r="B6" s="12" t="str">
        <f>المدخلات!$F$4</f>
        <v>4:00–5:30 م</v>
      </c>
      <c r="C6" s="12">
        <v>3</v>
      </c>
      <c r="D6" s="12" t="s">
        <v>163</v>
      </c>
      <c r="E6" s="12" t="s">
        <v>236</v>
      </c>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row>
    <row r="7" spans="1:36">
      <c r="A7" s="11">
        <v>1</v>
      </c>
      <c r="B7" s="12" t="str">
        <f>المدخلات!$F$4</f>
        <v>4:00–5:30 م</v>
      </c>
      <c r="C7" s="12">
        <v>4</v>
      </c>
      <c r="D7" s="12" t="s">
        <v>274</v>
      </c>
      <c r="E7" s="12" t="s">
        <v>284</v>
      </c>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row>
    <row r="8" spans="1:36">
      <c r="A8" s="11">
        <v>1</v>
      </c>
      <c r="B8" s="12" t="str">
        <f>المدخلات!$F$4</f>
        <v>4:00–5:30 م</v>
      </c>
      <c r="C8" s="12">
        <v>5</v>
      </c>
      <c r="D8" s="12" t="s">
        <v>291</v>
      </c>
      <c r="E8" s="12" t="s">
        <v>320</v>
      </c>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row>
    <row r="9" spans="1:36">
      <c r="A9" s="11">
        <v>1</v>
      </c>
      <c r="B9" s="12" t="str">
        <f>المدخلات!$F$5</f>
        <v>5:40–7:10 م</v>
      </c>
      <c r="C9" s="12">
        <v>1</v>
      </c>
      <c r="D9" s="12" t="s">
        <v>17</v>
      </c>
      <c r="E9" s="12" t="s">
        <v>31</v>
      </c>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row>
    <row r="10" spans="1:36">
      <c r="A10" s="11">
        <v>1</v>
      </c>
      <c r="B10" s="12" t="str">
        <f>المدخلات!$F$5</f>
        <v>5:40–7:10 م</v>
      </c>
      <c r="C10" s="12">
        <v>2</v>
      </c>
      <c r="D10" s="12" t="s">
        <v>89</v>
      </c>
      <c r="E10" s="12" t="s">
        <v>94</v>
      </c>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row>
    <row r="11" spans="1:36">
      <c r="A11" s="11">
        <v>1</v>
      </c>
      <c r="B11" s="12" t="str">
        <f>المدخلات!$F$5</f>
        <v>5:40–7:10 م</v>
      </c>
      <c r="C11" s="12">
        <v>3</v>
      </c>
      <c r="D11" s="12" t="s">
        <v>163</v>
      </c>
      <c r="E11" s="12" t="s">
        <v>215</v>
      </c>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row>
    <row r="12" spans="1:36">
      <c r="A12" s="11">
        <v>1</v>
      </c>
      <c r="B12" s="12" t="str">
        <f>المدخلات!$F$5</f>
        <v>5:40–7:10 م</v>
      </c>
      <c r="C12" s="12">
        <v>4</v>
      </c>
      <c r="D12" s="12" t="s">
        <v>274</v>
      </c>
      <c r="E12" s="12" t="s">
        <v>282</v>
      </c>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row>
    <row r="13" spans="1:36">
      <c r="A13" s="11">
        <v>1</v>
      </c>
      <c r="B13" s="12" t="str">
        <f>المدخلات!$F$5</f>
        <v>5:40–7:10 م</v>
      </c>
      <c r="C13" s="12">
        <v>5</v>
      </c>
      <c r="D13" s="12" t="s">
        <v>291</v>
      </c>
      <c r="E13" s="12" t="s">
        <v>314</v>
      </c>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row>
    <row r="14" spans="1:36">
      <c r="A14" s="11">
        <v>1</v>
      </c>
      <c r="B14" s="12" t="str">
        <f>المدخلات!$F$6</f>
        <v>7:20–8:50 م</v>
      </c>
      <c r="C14" s="12">
        <v>1</v>
      </c>
      <c r="D14" s="12" t="s">
        <v>17</v>
      </c>
      <c r="E14" s="12" t="s">
        <v>32</v>
      </c>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row>
    <row r="15" spans="1:36">
      <c r="A15" s="11">
        <v>1</v>
      </c>
      <c r="B15" s="12" t="str">
        <f>المدخلات!$F$6</f>
        <v>7:20–8:50 م</v>
      </c>
      <c r="C15" s="12">
        <v>2</v>
      </c>
      <c r="D15" s="12" t="s">
        <v>89</v>
      </c>
      <c r="E15" s="12" t="s">
        <v>84</v>
      </c>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row>
    <row r="16" spans="1:36">
      <c r="A16" s="11">
        <v>1</v>
      </c>
      <c r="B16" s="12" t="str">
        <f>المدخلات!$F$6</f>
        <v>7:20–8:50 م</v>
      </c>
      <c r="C16" s="12">
        <v>3</v>
      </c>
      <c r="D16" s="12" t="s">
        <v>163</v>
      </c>
      <c r="E16" s="12" t="s">
        <v>192</v>
      </c>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row>
    <row r="17" spans="1:36">
      <c r="A17" s="11">
        <v>1</v>
      </c>
      <c r="B17" s="12" t="str">
        <f>المدخلات!$F$6</f>
        <v>7:20–8:50 م</v>
      </c>
      <c r="C17" s="12">
        <v>4</v>
      </c>
      <c r="D17" s="12" t="s">
        <v>274</v>
      </c>
      <c r="E17" s="12" t="s">
        <v>278</v>
      </c>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row>
    <row r="18" spans="1:36">
      <c r="A18" s="11">
        <v>1</v>
      </c>
      <c r="B18" s="12" t="str">
        <f>المدخلات!$F$6</f>
        <v>7:20–8:50 م</v>
      </c>
      <c r="C18" s="12">
        <v>5</v>
      </c>
      <c r="D18" s="12" t="s">
        <v>291</v>
      </c>
      <c r="E18" s="12" t="s">
        <v>311</v>
      </c>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row>
    <row r="19" spans="1:36">
      <c r="A19" s="11">
        <v>2</v>
      </c>
      <c r="B19" s="12" t="str">
        <f>المدخلات!$F$4</f>
        <v>4:00–5:30 م</v>
      </c>
      <c r="C19" s="12">
        <v>1</v>
      </c>
      <c r="D19" s="12" t="s">
        <v>291</v>
      </c>
      <c r="E19" s="12" t="s">
        <v>313</v>
      </c>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row>
    <row r="20" spans="1:36">
      <c r="A20" s="11">
        <v>2</v>
      </c>
      <c r="B20" s="12" t="str">
        <f>المدخلات!$F$4</f>
        <v>4:00–5:30 م</v>
      </c>
      <c r="C20" s="12">
        <v>2</v>
      </c>
      <c r="D20" s="12" t="s">
        <v>163</v>
      </c>
      <c r="E20" s="12" t="s">
        <v>214</v>
      </c>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row>
    <row r="21" spans="1:36">
      <c r="A21" s="11">
        <v>2</v>
      </c>
      <c r="B21" s="12" t="str">
        <f>المدخلات!$F$4</f>
        <v>4:00–5:30 م</v>
      </c>
      <c r="C21" s="12">
        <v>3</v>
      </c>
      <c r="D21" s="12" t="s">
        <v>17</v>
      </c>
      <c r="E21" s="12" t="s">
        <v>29</v>
      </c>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row>
    <row r="22" spans="1:36">
      <c r="A22" s="11">
        <v>2</v>
      </c>
      <c r="B22" s="12" t="str">
        <f>المدخلات!$F$4</f>
        <v>4:00–5:30 م</v>
      </c>
      <c r="C22" s="12">
        <v>4</v>
      </c>
      <c r="D22" s="12" t="s">
        <v>89</v>
      </c>
      <c r="E22" s="12" t="s">
        <v>93</v>
      </c>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row>
    <row r="23" spans="1:36">
      <c r="A23" s="11">
        <v>2</v>
      </c>
      <c r="B23" s="12" t="str">
        <f>المدخلات!$F$4</f>
        <v>4:00–5:30 م</v>
      </c>
      <c r="C23" s="12">
        <v>5</v>
      </c>
      <c r="D23" s="12" t="s">
        <v>274</v>
      </c>
      <c r="E23" s="12" t="s">
        <v>281</v>
      </c>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row>
    <row r="24" spans="1:36">
      <c r="A24" s="11">
        <v>2</v>
      </c>
      <c r="B24" s="12" t="str">
        <f>المدخلات!$F$5</f>
        <v>5:40–7:10 م</v>
      </c>
      <c r="C24" s="12">
        <v>1</v>
      </c>
      <c r="D24" s="12" t="s">
        <v>291</v>
      </c>
      <c r="E24" s="12" t="s">
        <v>319</v>
      </c>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row>
    <row r="25" spans="1:36">
      <c r="A25" s="11">
        <v>2</v>
      </c>
      <c r="B25" s="12" t="str">
        <f>المدخلات!$F$5</f>
        <v>5:40–7:10 م</v>
      </c>
      <c r="C25" s="12">
        <v>2</v>
      </c>
      <c r="D25" s="12" t="s">
        <v>17</v>
      </c>
      <c r="E25" s="12" t="s">
        <v>43</v>
      </c>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row>
    <row r="26" spans="1:36">
      <c r="A26" s="11">
        <v>2</v>
      </c>
      <c r="B26" s="12" t="str">
        <f>المدخلات!$F$5</f>
        <v>5:40–7:10 م</v>
      </c>
      <c r="C26" s="12">
        <v>3</v>
      </c>
      <c r="D26" s="12" t="s">
        <v>89</v>
      </c>
      <c r="E26" s="12" t="s">
        <v>103</v>
      </c>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row>
    <row r="27" spans="1:36">
      <c r="A27" s="11">
        <v>2</v>
      </c>
      <c r="B27" s="12" t="str">
        <f>المدخلات!$F$5</f>
        <v>5:40–7:10 م</v>
      </c>
      <c r="C27" s="12">
        <v>4</v>
      </c>
      <c r="D27" s="12" t="s">
        <v>163</v>
      </c>
      <c r="E27" s="12" t="s">
        <v>235</v>
      </c>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row>
    <row r="28" spans="1:36">
      <c r="A28" s="11">
        <v>2</v>
      </c>
      <c r="B28" s="12" t="str">
        <f>المدخلات!$F$5</f>
        <v>5:40–7:10 م</v>
      </c>
      <c r="C28" s="12">
        <v>5</v>
      </c>
      <c r="D28" s="12" t="s">
        <v>274</v>
      </c>
      <c r="E28" s="12" t="s">
        <v>287</v>
      </c>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row>
    <row r="29" spans="1:36">
      <c r="A29" s="11">
        <v>2</v>
      </c>
      <c r="B29" s="12" t="str">
        <f>المدخلات!$F$6</f>
        <v>7:20–8:50 م</v>
      </c>
      <c r="C29" s="12">
        <v>1</v>
      </c>
      <c r="D29" s="12" t="s">
        <v>89</v>
      </c>
      <c r="E29" s="12" t="s">
        <v>398</v>
      </c>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row>
    <row r="30" spans="1:36">
      <c r="A30" s="11">
        <v>2</v>
      </c>
      <c r="B30" s="12" t="str">
        <f>المدخلات!$F$6</f>
        <v>7:20–8:50 م</v>
      </c>
      <c r="C30" s="12">
        <v>2</v>
      </c>
      <c r="D30" s="12" t="s">
        <v>291</v>
      </c>
      <c r="E30" s="12" t="s">
        <v>395</v>
      </c>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row>
    <row r="31" spans="1:36">
      <c r="A31" s="11">
        <v>2</v>
      </c>
      <c r="B31" s="12" t="str">
        <f>المدخلات!$F$6</f>
        <v>7:20–8:50 م</v>
      </c>
      <c r="C31" s="12">
        <v>3</v>
      </c>
      <c r="D31" s="12" t="s">
        <v>17</v>
      </c>
      <c r="E31" s="12" t="s">
        <v>510</v>
      </c>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row>
    <row r="32" spans="1:36">
      <c r="A32" s="11">
        <v>2</v>
      </c>
      <c r="B32" s="12" t="str">
        <f>المدخلات!$F$6</f>
        <v>7:20–8:50 م</v>
      </c>
      <c r="C32" s="12">
        <v>4</v>
      </c>
      <c r="D32" s="12" t="s">
        <v>163</v>
      </c>
      <c r="E32" s="12" t="s">
        <v>403</v>
      </c>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row>
    <row r="33" spans="1:36">
      <c r="A33" s="11">
        <v>2</v>
      </c>
      <c r="B33" s="12" t="str">
        <f>المدخلات!$F$6</f>
        <v>7:20–8:50 م</v>
      </c>
      <c r="C33" s="12">
        <v>5</v>
      </c>
      <c r="D33" s="12" t="s">
        <v>274</v>
      </c>
      <c r="E33" s="12" t="s">
        <v>410</v>
      </c>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row>
    <row r="34" spans="1:36">
      <c r="A34" s="11">
        <v>3</v>
      </c>
      <c r="B34" s="12" t="str">
        <f>المدخلات!$F$4</f>
        <v>4:00–5:30 م</v>
      </c>
      <c r="C34" s="12">
        <v>1</v>
      </c>
      <c r="D34" s="12" t="s">
        <v>274</v>
      </c>
      <c r="E34" s="12" t="s">
        <v>393</v>
      </c>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row>
    <row r="35" spans="1:36">
      <c r="A35" s="11">
        <v>3</v>
      </c>
      <c r="B35" s="12" t="str">
        <f>المدخلات!$F$4</f>
        <v>4:00–5:30 م</v>
      </c>
      <c r="C35" s="12">
        <v>2</v>
      </c>
      <c r="D35" s="12" t="s">
        <v>291</v>
      </c>
      <c r="E35" s="12" t="s">
        <v>394</v>
      </c>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row>
    <row r="36" spans="1:36">
      <c r="A36" s="11">
        <v>3</v>
      </c>
      <c r="B36" s="12" t="str">
        <f>المدخلات!$F$4</f>
        <v>4:00–5:30 م</v>
      </c>
      <c r="C36" s="12">
        <v>3</v>
      </c>
      <c r="D36" s="12" t="s">
        <v>17</v>
      </c>
      <c r="E36" s="12" t="s">
        <v>390</v>
      </c>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row>
    <row r="37" spans="1:36">
      <c r="A37" s="11">
        <v>3</v>
      </c>
      <c r="B37" s="12" t="str">
        <f>المدخلات!$F$4</f>
        <v>4:00–5:30 م</v>
      </c>
      <c r="C37" s="12">
        <v>4</v>
      </c>
      <c r="D37" s="12" t="s">
        <v>89</v>
      </c>
      <c r="E37" s="12" t="s">
        <v>391</v>
      </c>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row>
    <row r="38" spans="1:36">
      <c r="A38" s="11">
        <v>3</v>
      </c>
      <c r="B38" s="12" t="str">
        <f>المدخلات!$F$4</f>
        <v>4:00–5:30 م</v>
      </c>
      <c r="C38" s="12">
        <v>5</v>
      </c>
      <c r="D38" s="12" t="s">
        <v>163</v>
      </c>
      <c r="E38" s="12" t="s">
        <v>392</v>
      </c>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row>
    <row r="39" spans="1:36">
      <c r="A39" s="11">
        <v>3</v>
      </c>
      <c r="B39" s="12" t="str">
        <f>المدخلات!$F$5</f>
        <v>5:40–7:10 م</v>
      </c>
      <c r="C39" s="12">
        <v>1</v>
      </c>
      <c r="D39" s="12" t="s">
        <v>163</v>
      </c>
      <c r="E39" s="12" t="s">
        <v>402</v>
      </c>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row>
    <row r="40" spans="1:36">
      <c r="A40" s="11">
        <v>3</v>
      </c>
      <c r="B40" s="12" t="str">
        <f>المدخلات!$F$5</f>
        <v>5:40–7:10 م</v>
      </c>
      <c r="C40" s="12">
        <v>2</v>
      </c>
      <c r="D40" s="12" t="s">
        <v>274</v>
      </c>
      <c r="E40" s="12" t="s">
        <v>512</v>
      </c>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row>
    <row r="41" spans="1:36">
      <c r="A41" s="11">
        <v>3</v>
      </c>
      <c r="B41" s="12" t="str">
        <f>المدخلات!$F$5</f>
        <v>5:40–7:10 م</v>
      </c>
      <c r="C41" s="12">
        <v>3</v>
      </c>
      <c r="D41" s="12" t="s">
        <v>291</v>
      </c>
      <c r="E41" s="12" t="s">
        <v>513</v>
      </c>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row>
    <row r="42" spans="1:36">
      <c r="A42" s="11">
        <v>3</v>
      </c>
      <c r="B42" s="12" t="str">
        <f>المدخلات!$F$5</f>
        <v>5:40–7:10 م</v>
      </c>
      <c r="C42" s="12">
        <v>4</v>
      </c>
      <c r="D42" s="12" t="s">
        <v>17</v>
      </c>
      <c r="E42" s="12" t="s">
        <v>511</v>
      </c>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row>
    <row r="43" spans="1:36">
      <c r="A43" s="11">
        <v>3</v>
      </c>
      <c r="B43" s="12" t="str">
        <f>المدخلات!$F$5</f>
        <v>5:40–7:10 م</v>
      </c>
      <c r="C43" s="12">
        <v>5</v>
      </c>
      <c r="D43" s="12" t="s">
        <v>89</v>
      </c>
      <c r="E43" s="12" t="s">
        <v>420</v>
      </c>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row>
    <row r="44" spans="1:36">
      <c r="A44" s="11">
        <v>3</v>
      </c>
      <c r="B44" s="12" t="str">
        <f>المدخلات!$F$6</f>
        <v>7:20–8:50 م</v>
      </c>
      <c r="C44" s="12">
        <v>1</v>
      </c>
      <c r="D44" s="12" t="s">
        <v>89</v>
      </c>
      <c r="E44" s="12" t="s">
        <v>102</v>
      </c>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row>
    <row r="45" spans="1:36">
      <c r="A45" s="11">
        <v>3</v>
      </c>
      <c r="B45" s="12" t="str">
        <f>المدخلات!$F$6</f>
        <v>7:20–8:50 م</v>
      </c>
      <c r="C45" s="12">
        <v>2</v>
      </c>
      <c r="D45" s="12" t="s">
        <v>274</v>
      </c>
      <c r="E45" s="12" t="s">
        <v>286</v>
      </c>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row>
    <row r="46" spans="1:36">
      <c r="A46" s="11">
        <v>3</v>
      </c>
      <c r="B46" s="12" t="str">
        <f>المدخلات!$F$6</f>
        <v>7:20–8:50 م</v>
      </c>
      <c r="C46" s="12">
        <v>3</v>
      </c>
      <c r="D46" s="12" t="s">
        <v>291</v>
      </c>
      <c r="E46" s="12" t="s">
        <v>318</v>
      </c>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row>
    <row r="47" spans="1:36">
      <c r="A47" s="11">
        <v>3</v>
      </c>
      <c r="B47" s="12" t="str">
        <f>المدخلات!$F$6</f>
        <v>7:20–8:50 م</v>
      </c>
      <c r="C47" s="12">
        <v>4</v>
      </c>
      <c r="D47" s="12" t="s">
        <v>17</v>
      </c>
      <c r="E47" s="12" t="s">
        <v>42</v>
      </c>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row>
    <row r="48" spans="1:36">
      <c r="A48" s="11">
        <v>3</v>
      </c>
      <c r="B48" s="12" t="str">
        <f>المدخلات!$F$6</f>
        <v>7:20–8:50 م</v>
      </c>
      <c r="C48" s="12">
        <v>5</v>
      </c>
      <c r="D48" s="12" t="s">
        <v>163</v>
      </c>
      <c r="E48" s="12" t="s">
        <v>234</v>
      </c>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row>
    <row r="49" spans="1:36">
      <c r="A49" s="11">
        <v>4</v>
      </c>
      <c r="B49" s="12" t="str">
        <f>المدخلات!$F$4</f>
        <v>4:00–5:30 م</v>
      </c>
      <c r="C49" s="12">
        <v>1</v>
      </c>
      <c r="D49" s="12" t="s">
        <v>274</v>
      </c>
      <c r="E49" s="12" t="s">
        <v>383</v>
      </c>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row>
    <row r="50" spans="1:36">
      <c r="A50" s="11">
        <v>4</v>
      </c>
      <c r="B50" s="12" t="str">
        <f>المدخلات!$F$4</f>
        <v>4:00–5:30 م</v>
      </c>
      <c r="C50" s="12">
        <v>2</v>
      </c>
      <c r="D50" s="12" t="s">
        <v>17</v>
      </c>
      <c r="E50" s="12" t="s">
        <v>380</v>
      </c>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row>
    <row r="51" spans="1:36">
      <c r="A51" s="11">
        <v>4</v>
      </c>
      <c r="B51" s="12" t="str">
        <f>المدخلات!$F$4</f>
        <v>4:00–5:30 م</v>
      </c>
      <c r="C51" s="12">
        <v>3</v>
      </c>
      <c r="D51" s="12" t="s">
        <v>89</v>
      </c>
      <c r="E51" s="12" t="s">
        <v>381</v>
      </c>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row>
    <row r="52" spans="1:36">
      <c r="A52" s="11">
        <v>4</v>
      </c>
      <c r="B52" s="12" t="str">
        <f>المدخلات!$F$4</f>
        <v>4:00–5:30 م</v>
      </c>
      <c r="C52" s="12">
        <v>4</v>
      </c>
      <c r="D52" s="12" t="s">
        <v>291</v>
      </c>
      <c r="E52" s="12" t="s">
        <v>384</v>
      </c>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row>
    <row r="53" spans="1:36">
      <c r="A53" s="11">
        <v>4</v>
      </c>
      <c r="B53" s="12" t="str">
        <f>المدخلات!$F$4</f>
        <v>4:00–5:30 م</v>
      </c>
      <c r="C53" s="12">
        <v>5</v>
      </c>
      <c r="D53" s="12" t="s">
        <v>163</v>
      </c>
      <c r="E53" s="12" t="s">
        <v>382</v>
      </c>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row>
    <row r="54" spans="1:36">
      <c r="A54" s="11">
        <v>4</v>
      </c>
      <c r="B54" s="12" t="str">
        <f>المدخلات!$F$5</f>
        <v>5:40–7:10 م</v>
      </c>
      <c r="C54" s="12">
        <v>1</v>
      </c>
      <c r="D54" s="12" t="s">
        <v>163</v>
      </c>
      <c r="E54" s="12" t="s">
        <v>387</v>
      </c>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row>
    <row r="55" spans="1:36">
      <c r="A55" s="11">
        <v>4</v>
      </c>
      <c r="B55" s="12" t="str">
        <f>المدخلات!$F$5</f>
        <v>5:40–7:10 م</v>
      </c>
      <c r="C55" s="12">
        <v>2</v>
      </c>
      <c r="D55" s="12" t="s">
        <v>17</v>
      </c>
      <c r="E55" s="12" t="s">
        <v>385</v>
      </c>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row>
    <row r="56" spans="1:36">
      <c r="A56" s="11">
        <v>4</v>
      </c>
      <c r="B56" s="12" t="str">
        <f>المدخلات!$F$5</f>
        <v>5:40–7:10 م</v>
      </c>
      <c r="C56" s="12">
        <v>3</v>
      </c>
      <c r="D56" s="12" t="s">
        <v>274</v>
      </c>
      <c r="E56" s="12" t="s">
        <v>388</v>
      </c>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row>
    <row r="57" spans="1:36">
      <c r="A57" s="11">
        <v>4</v>
      </c>
      <c r="B57" s="12" t="str">
        <f>المدخلات!$F$5</f>
        <v>5:40–7:10 م</v>
      </c>
      <c r="C57" s="12">
        <v>4</v>
      </c>
      <c r="D57" s="12" t="s">
        <v>291</v>
      </c>
      <c r="E57" s="12" t="s">
        <v>389</v>
      </c>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row>
    <row r="58" spans="1:36">
      <c r="A58" s="11">
        <v>4</v>
      </c>
      <c r="B58" s="12" t="str">
        <f>المدخلات!$F$5</f>
        <v>5:40–7:10 م</v>
      </c>
      <c r="C58" s="12">
        <v>5</v>
      </c>
      <c r="D58" s="12" t="s">
        <v>17</v>
      </c>
      <c r="E58" s="12" t="s">
        <v>514</v>
      </c>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row>
    <row r="59" spans="1:36">
      <c r="A59" s="11">
        <v>4</v>
      </c>
      <c r="B59" s="12" t="str">
        <f>المدخلات!$F$6</f>
        <v>7:20–8:50 م</v>
      </c>
      <c r="C59" s="12">
        <v>1</v>
      </c>
      <c r="D59" s="12" t="s">
        <v>274</v>
      </c>
      <c r="E59" s="12" t="s">
        <v>515</v>
      </c>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row>
    <row r="60" spans="1:36">
      <c r="A60" s="11">
        <v>4</v>
      </c>
      <c r="B60" s="12" t="str">
        <f>المدخلات!$F$6</f>
        <v>7:20–8:50 م</v>
      </c>
      <c r="C60" s="12">
        <v>2</v>
      </c>
      <c r="D60" s="12" t="s">
        <v>163</v>
      </c>
      <c r="E60" s="12" t="s">
        <v>399</v>
      </c>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row>
    <row r="61" spans="1:36">
      <c r="A61" s="11">
        <v>4</v>
      </c>
      <c r="B61" s="12" t="str">
        <f>المدخلات!$F$6</f>
        <v>7:20–8:50 م</v>
      </c>
      <c r="C61" s="12">
        <v>3</v>
      </c>
      <c r="D61" s="12" t="s">
        <v>89</v>
      </c>
      <c r="E61" s="12" t="s">
        <v>386</v>
      </c>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row>
    <row r="62" spans="1:36">
      <c r="A62" s="11">
        <v>4</v>
      </c>
      <c r="B62" s="12" t="str">
        <f>المدخلات!$F$6</f>
        <v>7:20–8:50 م</v>
      </c>
      <c r="C62" s="12">
        <v>4</v>
      </c>
      <c r="D62" s="12" t="s">
        <v>89</v>
      </c>
      <c r="E62" s="12" t="s">
        <v>431</v>
      </c>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row>
    <row r="63" spans="1:36">
      <c r="A63" s="11">
        <v>4</v>
      </c>
      <c r="B63" s="12" t="str">
        <f>المدخلات!$F$6</f>
        <v>7:20–8:50 م</v>
      </c>
      <c r="C63" s="12">
        <v>5</v>
      </c>
      <c r="D63" s="12" t="s">
        <v>291</v>
      </c>
      <c r="E63" s="12" t="s">
        <v>516</v>
      </c>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row>
    <row r="64" spans="1:36">
      <c r="A64" s="11">
        <v>5</v>
      </c>
      <c r="B64" s="12" t="str">
        <f>المدخلات!$F$4</f>
        <v>4:00–5:30 م</v>
      </c>
      <c r="C64" s="12">
        <v>1</v>
      </c>
      <c r="D64" s="12" t="s">
        <v>291</v>
      </c>
      <c r="E64" s="12" t="s">
        <v>293</v>
      </c>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row>
    <row r="65" spans="1:36">
      <c r="A65" s="11">
        <v>5</v>
      </c>
      <c r="B65" s="12" t="str">
        <f>المدخلات!$F$4</f>
        <v>4:00–5:30 م</v>
      </c>
      <c r="C65" s="12">
        <v>2</v>
      </c>
      <c r="D65" s="12" t="s">
        <v>274</v>
      </c>
      <c r="E65" s="12" t="s">
        <v>373</v>
      </c>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row>
    <row r="66" spans="1:36">
      <c r="A66" s="11">
        <v>5</v>
      </c>
      <c r="B66" s="12" t="str">
        <f>المدخلات!$F$4</f>
        <v>4:00–5:30 م</v>
      </c>
      <c r="C66" s="12">
        <v>3</v>
      </c>
      <c r="D66" s="12" t="s">
        <v>291</v>
      </c>
      <c r="E66" s="12" t="s">
        <v>374</v>
      </c>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row>
    <row r="67" spans="1:36">
      <c r="A67" s="11">
        <v>5</v>
      </c>
      <c r="B67" s="12" t="str">
        <f>المدخلات!$F$4</f>
        <v>4:00–5:30 م</v>
      </c>
      <c r="C67" s="12">
        <v>4</v>
      </c>
      <c r="D67" s="12" t="s">
        <v>17</v>
      </c>
      <c r="E67" s="12" t="s">
        <v>375</v>
      </c>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row>
    <row r="68" spans="1:36">
      <c r="A68" s="11">
        <v>5</v>
      </c>
      <c r="B68" s="12" t="str">
        <f>المدخلات!$F$4</f>
        <v>4:00–5:30 م</v>
      </c>
      <c r="C68" s="12">
        <v>5</v>
      </c>
      <c r="D68" s="12" t="s">
        <v>89</v>
      </c>
      <c r="E68" s="12" t="s">
        <v>376</v>
      </c>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row>
    <row r="69" spans="1:36">
      <c r="A69" s="11">
        <v>5</v>
      </c>
      <c r="B69" s="12" t="str">
        <f>المدخلات!$F$5</f>
        <v>5:40–7:10 م</v>
      </c>
      <c r="C69" s="12">
        <v>1</v>
      </c>
      <c r="D69" s="12" t="s">
        <v>163</v>
      </c>
      <c r="E69" s="12" t="s">
        <v>377</v>
      </c>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row>
    <row r="70" spans="1:36">
      <c r="A70" s="11">
        <v>5</v>
      </c>
      <c r="B70" s="12" t="str">
        <f>المدخلات!$F$5</f>
        <v>5:40–7:10 م</v>
      </c>
      <c r="C70" s="12">
        <v>2</v>
      </c>
      <c r="D70" s="12" t="s">
        <v>89</v>
      </c>
      <c r="E70" s="12" t="s">
        <v>56</v>
      </c>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row>
    <row r="71" spans="1:36">
      <c r="A71" s="11">
        <v>5</v>
      </c>
      <c r="B71" s="12" t="str">
        <f>المدخلات!$F$5</f>
        <v>5:40–7:10 م</v>
      </c>
      <c r="C71" s="12">
        <v>3</v>
      </c>
      <c r="D71" s="12" t="s">
        <v>274</v>
      </c>
      <c r="E71" s="12" t="s">
        <v>378</v>
      </c>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row>
    <row r="72" spans="1:36">
      <c r="A72" s="11">
        <v>5</v>
      </c>
      <c r="B72" s="12" t="str">
        <f>المدخلات!$F$5</f>
        <v>5:40–7:10 م</v>
      </c>
      <c r="C72" s="12">
        <v>4</v>
      </c>
      <c r="D72" s="12" t="s">
        <v>291</v>
      </c>
      <c r="E72" s="12" t="s">
        <v>379</v>
      </c>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row>
    <row r="73" spans="1:36">
      <c r="A73" s="11">
        <v>5</v>
      </c>
      <c r="B73" s="12" t="str">
        <f>المدخلات!$F$5</f>
        <v>5:40–7:10 م</v>
      </c>
      <c r="C73" s="12">
        <v>5</v>
      </c>
      <c r="D73" s="12" t="s">
        <v>89</v>
      </c>
      <c r="E73" s="12" t="s">
        <v>371</v>
      </c>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row>
    <row r="74" spans="1:36">
      <c r="A74" s="11">
        <v>5</v>
      </c>
      <c r="B74" s="12" t="str">
        <f>المدخلات!$F$6</f>
        <v>7:20–8:50 م</v>
      </c>
      <c r="C74" s="12">
        <v>1</v>
      </c>
      <c r="D74" s="12" t="s">
        <v>17</v>
      </c>
      <c r="E74" s="12" t="s">
        <v>30</v>
      </c>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row>
    <row r="75" spans="1:36">
      <c r="A75" s="11">
        <v>5</v>
      </c>
      <c r="B75" s="12" t="str">
        <f>المدخلات!$F$6</f>
        <v>7:20–8:50 م</v>
      </c>
      <c r="C75" s="12">
        <v>2</v>
      </c>
      <c r="D75" s="12" t="s">
        <v>163</v>
      </c>
      <c r="E75" s="12" t="s">
        <v>114</v>
      </c>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row>
    <row r="76" spans="1:36">
      <c r="A76" s="11">
        <v>5</v>
      </c>
      <c r="B76" s="12" t="str">
        <f>المدخلات!$F$6</f>
        <v>7:20–8:50 م</v>
      </c>
      <c r="C76" s="12">
        <v>3</v>
      </c>
      <c r="D76" s="12" t="s">
        <v>274</v>
      </c>
      <c r="E76" s="12" t="s">
        <v>267</v>
      </c>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row>
    <row r="77" spans="1:36">
      <c r="A77" s="11">
        <v>5</v>
      </c>
      <c r="B77" s="12" t="str">
        <f>المدخلات!$F$6</f>
        <v>7:20–8:50 م</v>
      </c>
      <c r="C77" s="12">
        <v>4</v>
      </c>
      <c r="D77" s="12" t="s">
        <v>163</v>
      </c>
      <c r="E77" s="12" t="s">
        <v>372</v>
      </c>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row>
    <row r="78" spans="1:36">
      <c r="A78" s="11">
        <v>5</v>
      </c>
      <c r="B78" s="12" t="str">
        <f>المدخلات!$F$6</f>
        <v>7:20–8:50 م</v>
      </c>
      <c r="C78" s="12">
        <v>5</v>
      </c>
      <c r="D78" s="12" t="s">
        <v>17</v>
      </c>
      <c r="E78" s="12" t="s">
        <v>370</v>
      </c>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row>
    <row r="79" spans="1:36">
      <c r="A79" s="11">
        <v>6</v>
      </c>
      <c r="B79" s="12" t="str">
        <f>المدخلات!$F$4</f>
        <v>4:00–5:30 م</v>
      </c>
      <c r="C79" s="12">
        <v>1</v>
      </c>
      <c r="D79" s="12" t="s">
        <v>89</v>
      </c>
      <c r="E79" s="12" t="s">
        <v>75</v>
      </c>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row>
    <row r="80" spans="1:36">
      <c r="A80" s="11">
        <v>6</v>
      </c>
      <c r="B80" s="12" t="str">
        <f>المدخلات!$F$4</f>
        <v>4:00–5:30 م</v>
      </c>
      <c r="C80" s="12">
        <v>2</v>
      </c>
      <c r="D80" s="12" t="s">
        <v>17</v>
      </c>
      <c r="E80" s="12" t="s">
        <v>24</v>
      </c>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row>
    <row r="81" spans="1:36">
      <c r="A81" s="11">
        <v>6</v>
      </c>
      <c r="B81" s="12" t="str">
        <f>المدخلات!$F$4</f>
        <v>4:00–5:30 م</v>
      </c>
      <c r="C81" s="12">
        <v>3</v>
      </c>
      <c r="D81" s="12" t="s">
        <v>274</v>
      </c>
      <c r="E81" s="12" t="s">
        <v>368</v>
      </c>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row>
    <row r="82" spans="1:36">
      <c r="A82" s="11">
        <v>6</v>
      </c>
      <c r="B82" s="12" t="str">
        <f>المدخلات!$F$4</f>
        <v>4:00–5:30 م</v>
      </c>
      <c r="C82" s="12">
        <v>4</v>
      </c>
      <c r="D82" s="12" t="s">
        <v>163</v>
      </c>
      <c r="E82" s="12" t="s">
        <v>367</v>
      </c>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row>
    <row r="83" spans="1:36">
      <c r="A83" s="11">
        <v>6</v>
      </c>
      <c r="B83" s="12" t="str">
        <f>المدخلات!$F$4</f>
        <v>4:00–5:30 م</v>
      </c>
      <c r="C83" s="12">
        <v>5</v>
      </c>
      <c r="D83" s="12" t="s">
        <v>163</v>
      </c>
      <c r="E83" s="12" t="s">
        <v>168</v>
      </c>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row>
    <row r="84" spans="1:36">
      <c r="A84" s="11">
        <v>6</v>
      </c>
      <c r="B84" s="12" t="str">
        <f>المدخلات!$F$5</f>
        <v>5:40–7:10 م</v>
      </c>
      <c r="C84" s="12">
        <v>1</v>
      </c>
      <c r="D84" s="12" t="s">
        <v>89</v>
      </c>
      <c r="E84" s="12" t="s">
        <v>366</v>
      </c>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row>
    <row r="85" spans="1:36">
      <c r="A85" s="11">
        <v>6</v>
      </c>
      <c r="B85" s="12" t="str">
        <f>المدخلات!$F$5</f>
        <v>5:40–7:10 م</v>
      </c>
      <c r="C85" s="12">
        <v>2</v>
      </c>
      <c r="D85" s="12" t="s">
        <v>291</v>
      </c>
      <c r="E85" s="12" t="s">
        <v>369</v>
      </c>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row>
    <row r="86" spans="1:36">
      <c r="A86" s="11">
        <v>6</v>
      </c>
      <c r="B86" s="12" t="str">
        <f>المدخلات!$F$5</f>
        <v>5:40–7:10 م</v>
      </c>
      <c r="C86" s="12">
        <v>3</v>
      </c>
      <c r="D86" s="12" t="s">
        <v>274</v>
      </c>
      <c r="E86" s="12" t="s">
        <v>276</v>
      </c>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row>
    <row r="87" spans="1:36">
      <c r="A87" s="11">
        <v>6</v>
      </c>
      <c r="B87" s="12" t="str">
        <f>المدخلات!$F$5</f>
        <v>5:40–7:10 م</v>
      </c>
      <c r="C87" s="12">
        <v>4</v>
      </c>
      <c r="D87" s="12" t="s">
        <v>291</v>
      </c>
      <c r="E87" s="12" t="s">
        <v>308</v>
      </c>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row>
    <row r="88" spans="1:36">
      <c r="A88" s="11">
        <v>6</v>
      </c>
      <c r="B88" s="12" t="str">
        <f>المدخلات!$F$5</f>
        <v>5:40–7:10 م</v>
      </c>
      <c r="C88" s="12">
        <v>5</v>
      </c>
      <c r="D88" s="12" t="s">
        <v>17</v>
      </c>
      <c r="E88" s="12" t="s">
        <v>23</v>
      </c>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row>
    <row r="89" spans="1:36">
      <c r="A89" s="11">
        <v>6</v>
      </c>
      <c r="B89" s="12" t="str">
        <f>المدخلات!$F$6</f>
        <v>7:20–8:50 م</v>
      </c>
      <c r="C89" s="12">
        <v>1</v>
      </c>
      <c r="D89" s="12" t="s">
        <v>89</v>
      </c>
      <c r="E89" s="12" t="s">
        <v>64</v>
      </c>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row>
    <row r="90" spans="1:36">
      <c r="A90" s="11">
        <v>6</v>
      </c>
      <c r="B90" s="12" t="str">
        <f>المدخلات!$F$6</f>
        <v>7:20–8:50 م</v>
      </c>
      <c r="C90" s="12">
        <v>2</v>
      </c>
      <c r="D90" s="12" t="s">
        <v>274</v>
      </c>
      <c r="E90" s="12" t="s">
        <v>271</v>
      </c>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row>
    <row r="91" spans="1:36">
      <c r="A91" s="11">
        <v>6</v>
      </c>
      <c r="B91" s="12" t="str">
        <f>المدخلات!$F$6</f>
        <v>7:20–8:50 م</v>
      </c>
      <c r="C91" s="12">
        <v>3</v>
      </c>
      <c r="D91" s="12" t="s">
        <v>291</v>
      </c>
      <c r="E91" s="12" t="s">
        <v>305</v>
      </c>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row>
    <row r="92" spans="1:36">
      <c r="A92" s="11">
        <v>6</v>
      </c>
      <c r="B92" s="12" t="str">
        <f>المدخلات!$F$6</f>
        <v>7:20–8:50 م</v>
      </c>
      <c r="C92" s="12">
        <v>4</v>
      </c>
      <c r="D92" s="12" t="s">
        <v>163</v>
      </c>
      <c r="E92" s="12" t="s">
        <v>151</v>
      </c>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row>
    <row r="93" spans="1:36">
      <c r="A93" s="11">
        <v>6</v>
      </c>
      <c r="B93" s="12" t="str">
        <f>المدخلات!$F$6</f>
        <v>7:20–8:50 م</v>
      </c>
      <c r="C93" s="12">
        <v>5</v>
      </c>
      <c r="D93" s="12" t="s">
        <v>17</v>
      </c>
      <c r="E93" s="12" t="s">
        <v>365</v>
      </c>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row>
    <row r="94" spans="1:36">
      <c r="A94" s="11">
        <v>7</v>
      </c>
      <c r="B94" s="12" t="str">
        <f>المدخلات!$F$4</f>
        <v>4:00–5:30 م</v>
      </c>
      <c r="C94" s="12">
        <v>1</v>
      </c>
      <c r="D94" s="12" t="s">
        <v>17</v>
      </c>
      <c r="E94" s="12" t="s">
        <v>18</v>
      </c>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row>
    <row r="95" spans="1:36">
      <c r="A95" s="11">
        <v>7</v>
      </c>
      <c r="B95" s="12" t="str">
        <f>المدخلات!$F$4</f>
        <v>4:00–5:30 م</v>
      </c>
      <c r="C95" s="12">
        <v>2</v>
      </c>
      <c r="D95" s="12" t="s">
        <v>291</v>
      </c>
      <c r="E95" s="12" t="s">
        <v>315</v>
      </c>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row>
    <row r="96" spans="1:36">
      <c r="A96" s="11">
        <v>7</v>
      </c>
      <c r="B96" s="12" t="str">
        <f>المدخلات!$F$4</f>
        <v>4:00–5:30 م</v>
      </c>
      <c r="C96" s="12">
        <v>3</v>
      </c>
      <c r="D96" s="12" t="s">
        <v>163</v>
      </c>
      <c r="E96" s="12" t="s">
        <v>216</v>
      </c>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row>
    <row r="97" spans="1:36">
      <c r="A97" s="11">
        <v>7</v>
      </c>
      <c r="B97" s="12" t="str">
        <f>المدخلات!$F$4</f>
        <v>4:00–5:30 م</v>
      </c>
      <c r="C97" s="12">
        <v>4</v>
      </c>
      <c r="D97" s="12" t="s">
        <v>274</v>
      </c>
      <c r="E97" s="12" t="s">
        <v>283</v>
      </c>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row>
    <row r="98" spans="1:36">
      <c r="A98" s="11">
        <v>7</v>
      </c>
      <c r="B98" s="12" t="str">
        <f>المدخلات!$F$4</f>
        <v>4:00–5:30 م</v>
      </c>
      <c r="C98" s="12">
        <v>5</v>
      </c>
      <c r="D98" s="12" t="s">
        <v>89</v>
      </c>
      <c r="E98" s="12" t="s">
        <v>90</v>
      </c>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row>
    <row r="99" spans="1:36">
      <c r="A99" s="11">
        <v>7</v>
      </c>
      <c r="B99" s="12" t="str">
        <f>المدخلات!$F$5</f>
        <v>5:40–7:10 م</v>
      </c>
      <c r="C99" s="12">
        <v>1</v>
      </c>
      <c r="D99" s="12" t="s">
        <v>163</v>
      </c>
      <c r="E99" s="12" t="s">
        <v>193</v>
      </c>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row>
    <row r="100" spans="1:36">
      <c r="A100" s="11">
        <v>7</v>
      </c>
      <c r="B100" s="12" t="str">
        <f>المدخلات!$F$5</f>
        <v>5:40–7:10 م</v>
      </c>
      <c r="C100" s="12">
        <v>2</v>
      </c>
      <c r="D100" s="12" t="s">
        <v>163</v>
      </c>
      <c r="E100" s="12" t="s">
        <v>167</v>
      </c>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row>
    <row r="101" spans="1:36">
      <c r="A101" s="11">
        <v>7</v>
      </c>
      <c r="B101" s="12" t="str">
        <f>المدخلات!$F$5</f>
        <v>5:40–7:10 م</v>
      </c>
      <c r="C101" s="12">
        <v>3</v>
      </c>
      <c r="D101" s="12" t="s">
        <v>89</v>
      </c>
      <c r="E101" s="12" t="s">
        <v>74</v>
      </c>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row>
    <row r="102" spans="1:36">
      <c r="A102" s="11">
        <v>7</v>
      </c>
      <c r="B102" s="12" t="str">
        <f>المدخلات!$F$5</f>
        <v>5:40–7:10 م</v>
      </c>
      <c r="C102" s="12">
        <v>4</v>
      </c>
      <c r="D102" s="12" t="s">
        <v>17</v>
      </c>
      <c r="E102" s="12" t="s">
        <v>19</v>
      </c>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row>
    <row r="103" spans="1:36">
      <c r="A103" s="11">
        <v>7</v>
      </c>
      <c r="B103" s="12" t="str">
        <f>المدخلات!$F$5</f>
        <v>5:40–7:10 م</v>
      </c>
      <c r="C103" s="12">
        <v>5</v>
      </c>
      <c r="D103" s="12" t="s">
        <v>274</v>
      </c>
      <c r="E103" s="12" t="s">
        <v>279</v>
      </c>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row>
    <row r="104" spans="1:36">
      <c r="A104" s="11">
        <v>7</v>
      </c>
      <c r="B104" s="12" t="str">
        <f>المدخلات!$F$6</f>
        <v>7:20–8:50 م</v>
      </c>
      <c r="C104" s="12">
        <v>1</v>
      </c>
      <c r="D104" s="12" t="s">
        <v>291</v>
      </c>
      <c r="E104" s="12" t="s">
        <v>307</v>
      </c>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row>
    <row r="105" spans="1:36">
      <c r="A105" s="11">
        <v>7</v>
      </c>
      <c r="B105" s="12" t="str">
        <f>المدخلات!$F$6</f>
        <v>7:20–8:50 م</v>
      </c>
      <c r="C105" s="12">
        <v>2</v>
      </c>
      <c r="D105" s="12" t="s">
        <v>274</v>
      </c>
      <c r="E105" s="12" t="s">
        <v>275</v>
      </c>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row>
    <row r="106" spans="1:36">
      <c r="A106" s="11">
        <v>7</v>
      </c>
      <c r="B106" s="12" t="str">
        <f>المدخلات!$F$6</f>
        <v>7:20–8:50 م</v>
      </c>
      <c r="C106" s="12">
        <v>3</v>
      </c>
      <c r="D106" s="12" t="s">
        <v>291</v>
      </c>
      <c r="E106" s="12" t="s">
        <v>312</v>
      </c>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row>
    <row r="107" spans="1:36">
      <c r="A107" s="11">
        <v>7</v>
      </c>
      <c r="B107" s="12" t="str">
        <f>المدخلات!$F$6</f>
        <v>7:20–8:50 م</v>
      </c>
      <c r="C107" s="12">
        <v>4</v>
      </c>
      <c r="D107" s="12" t="s">
        <v>17</v>
      </c>
      <c r="E107" s="12" t="s">
        <v>20</v>
      </c>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row>
    <row r="108" spans="1:36">
      <c r="A108" s="11">
        <v>7</v>
      </c>
      <c r="B108" s="12" t="str">
        <f>المدخلات!$F$6</f>
        <v>7:20–8:50 م</v>
      </c>
      <c r="C108" s="12">
        <v>5</v>
      </c>
      <c r="D108" s="12" t="s">
        <v>89</v>
      </c>
      <c r="E108" s="12" t="s">
        <v>85</v>
      </c>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row>
    <row r="109" spans="1:36">
      <c r="A109" s="11">
        <v>8</v>
      </c>
      <c r="B109" s="12" t="str">
        <f>المدخلات!$F$4</f>
        <v>4:00–5:30 م</v>
      </c>
      <c r="C109" s="12">
        <v>1</v>
      </c>
      <c r="D109" s="12" t="s">
        <v>163</v>
      </c>
      <c r="E109" s="12" t="s">
        <v>519</v>
      </c>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row>
    <row r="110" spans="1:36">
      <c r="A110" s="11">
        <v>8</v>
      </c>
      <c r="B110" s="12" t="str">
        <f>المدخلات!$F$4</f>
        <v>4:00–5:30 م</v>
      </c>
      <c r="C110" s="12">
        <v>2</v>
      </c>
      <c r="D110" s="12" t="s">
        <v>89</v>
      </c>
      <c r="E110" s="12" t="s">
        <v>518</v>
      </c>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row>
    <row r="111" spans="1:36">
      <c r="A111" s="11">
        <v>8</v>
      </c>
      <c r="B111" s="12" t="str">
        <f>المدخلات!$F$4</f>
        <v>4:00–5:30 م</v>
      </c>
      <c r="C111" s="12">
        <v>3</v>
      </c>
      <c r="D111" s="12" t="s">
        <v>17</v>
      </c>
      <c r="E111" s="12" t="s">
        <v>517</v>
      </c>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row>
    <row r="112" spans="1:36">
      <c r="A112" s="11">
        <v>8</v>
      </c>
      <c r="B112" s="12" t="str">
        <f>المدخلات!$F$4</f>
        <v>4:00–5:30 م</v>
      </c>
      <c r="C112" s="12">
        <v>4</v>
      </c>
      <c r="D112" s="12" t="s">
        <v>17</v>
      </c>
      <c r="E112" s="12" t="s">
        <v>28</v>
      </c>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row>
    <row r="113" spans="1:36">
      <c r="A113" s="11">
        <v>8</v>
      </c>
      <c r="B113" s="12" t="str">
        <f>المدخلات!$F$4</f>
        <v>4:00–5:30 م</v>
      </c>
      <c r="C113" s="12">
        <v>5</v>
      </c>
      <c r="D113" s="12" t="s">
        <v>89</v>
      </c>
      <c r="E113" s="12" t="s">
        <v>70</v>
      </c>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row>
    <row r="114" spans="1:36">
      <c r="A114" s="11">
        <v>8</v>
      </c>
      <c r="B114" s="12" t="str">
        <f>المدخلات!$F$5</f>
        <v>5:40–7:10 م</v>
      </c>
      <c r="C114" s="12">
        <v>1</v>
      </c>
      <c r="D114" s="12" t="s">
        <v>163</v>
      </c>
      <c r="E114" s="12" t="s">
        <v>165</v>
      </c>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row>
    <row r="115" spans="1:36">
      <c r="A115" s="11">
        <v>8</v>
      </c>
      <c r="B115" s="12" t="str">
        <f>المدخلات!$F$5</f>
        <v>5:40–7:10 م</v>
      </c>
      <c r="C115" s="12">
        <v>2</v>
      </c>
      <c r="D115" s="12" t="s">
        <v>291</v>
      </c>
      <c r="E115" s="12" t="s">
        <v>523</v>
      </c>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row>
    <row r="116" spans="1:36">
      <c r="A116" s="11">
        <v>8</v>
      </c>
      <c r="B116" s="12" t="str">
        <f>المدخلات!$F$5</f>
        <v>5:40–7:10 م</v>
      </c>
      <c r="C116" s="12">
        <v>3</v>
      </c>
      <c r="D116" s="12" t="s">
        <v>163</v>
      </c>
      <c r="E116" s="12" t="s">
        <v>179</v>
      </c>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row>
    <row r="117" spans="1:36">
      <c r="A117" s="11">
        <v>8</v>
      </c>
      <c r="B117" s="12" t="str">
        <f>المدخلات!$F$5</f>
        <v>5:40–7:10 م</v>
      </c>
      <c r="C117" s="12">
        <v>4</v>
      </c>
      <c r="D117" s="12" t="s">
        <v>274</v>
      </c>
      <c r="E117" s="12" t="s">
        <v>522</v>
      </c>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row>
    <row r="118" spans="1:36">
      <c r="A118" s="11">
        <v>8</v>
      </c>
      <c r="B118" s="12" t="str">
        <f>المدخلات!$F$5</f>
        <v>5:40–7:10 م</v>
      </c>
      <c r="C118" s="12">
        <v>5</v>
      </c>
      <c r="D118" s="12" t="s">
        <v>17</v>
      </c>
      <c r="E118" s="12" t="s">
        <v>21</v>
      </c>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row>
    <row r="119" spans="1:36">
      <c r="A119" s="11">
        <v>8</v>
      </c>
      <c r="B119" s="12" t="str">
        <f>المدخلات!$F$6</f>
        <v>7:20–8:50 م</v>
      </c>
      <c r="C119" s="12">
        <v>1</v>
      </c>
      <c r="D119" s="12" t="s">
        <v>274</v>
      </c>
      <c r="E119" s="12" t="s">
        <v>520</v>
      </c>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row>
    <row r="120" spans="1:36">
      <c r="A120" s="11">
        <v>8</v>
      </c>
      <c r="B120" s="12" t="str">
        <f>المدخلات!$F$6</f>
        <v>7:20–8:50 م</v>
      </c>
      <c r="C120" s="12">
        <v>2</v>
      </c>
      <c r="D120" s="12" t="s">
        <v>291</v>
      </c>
      <c r="E120" s="12" t="s">
        <v>521</v>
      </c>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row>
    <row r="121" spans="1:36">
      <c r="A121" s="11">
        <v>8</v>
      </c>
      <c r="B121" s="12" t="str">
        <f>المدخلات!$F$6</f>
        <v>7:20–8:50 م</v>
      </c>
      <c r="C121" s="12">
        <v>3</v>
      </c>
      <c r="D121" s="12" t="s">
        <v>89</v>
      </c>
      <c r="E121" s="12" t="s">
        <v>80</v>
      </c>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row>
    <row r="122" spans="1:36">
      <c r="A122" s="11">
        <v>8</v>
      </c>
      <c r="B122" s="12" t="str">
        <f>المدخلات!$F$6</f>
        <v>7:20–8:50 م</v>
      </c>
      <c r="C122" s="12">
        <v>4</v>
      </c>
      <c r="D122" s="12" t="s">
        <v>274</v>
      </c>
      <c r="E122" s="12" t="s">
        <v>277</v>
      </c>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row>
    <row r="123" spans="1:36">
      <c r="A123" s="11">
        <v>8</v>
      </c>
      <c r="B123" s="12" t="str">
        <f>المدخلات!$F$6</f>
        <v>7:20–8:50 م</v>
      </c>
      <c r="C123" s="12">
        <v>5</v>
      </c>
      <c r="D123" s="12" t="s">
        <v>291</v>
      </c>
      <c r="E123" s="12" t="s">
        <v>310</v>
      </c>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row>
    <row r="124" spans="1:36">
      <c r="A124" s="11">
        <v>9</v>
      </c>
      <c r="B124" s="12" t="str">
        <f>المدخلات!$F$4</f>
        <v>4:00–5:30 م</v>
      </c>
      <c r="C124" s="12">
        <v>1</v>
      </c>
      <c r="D124" s="12" t="s">
        <v>291</v>
      </c>
      <c r="E124" s="12" t="s">
        <v>309</v>
      </c>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row>
    <row r="125" spans="1:36">
      <c r="A125" s="11">
        <v>9</v>
      </c>
      <c r="B125" s="12" t="str">
        <f>المدخلات!$F$4</f>
        <v>4:00–5:30 م</v>
      </c>
      <c r="C125" s="12">
        <v>2</v>
      </c>
      <c r="D125" s="12" t="s">
        <v>17</v>
      </c>
      <c r="E125" s="12" t="s">
        <v>25</v>
      </c>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row>
    <row r="126" spans="1:36">
      <c r="A126" s="11">
        <v>9</v>
      </c>
      <c r="B126" s="12" t="str">
        <f>المدخلات!$F$4</f>
        <v>4:00–5:30 م</v>
      </c>
      <c r="C126" s="12">
        <v>3</v>
      </c>
      <c r="D126" s="12" t="s">
        <v>291</v>
      </c>
      <c r="E126" s="12" t="s">
        <v>317</v>
      </c>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row>
    <row r="127" spans="1:36">
      <c r="A127" s="11">
        <v>9</v>
      </c>
      <c r="B127" s="12" t="str">
        <f>المدخلات!$F$4</f>
        <v>4:00–5:30 م</v>
      </c>
      <c r="C127" s="12">
        <v>4</v>
      </c>
      <c r="D127" s="12" t="s">
        <v>89</v>
      </c>
      <c r="E127" s="12" t="s">
        <v>79</v>
      </c>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row>
    <row r="128" spans="1:36">
      <c r="A128" s="11">
        <v>9</v>
      </c>
      <c r="B128" s="12" t="str">
        <f>المدخلات!$F$4</f>
        <v>4:00–5:30 م</v>
      </c>
      <c r="C128" s="12">
        <v>5</v>
      </c>
      <c r="D128" s="12" t="s">
        <v>274</v>
      </c>
      <c r="E128" s="12" t="s">
        <v>285</v>
      </c>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row>
    <row r="129" spans="1:36">
      <c r="A129" s="11">
        <v>9</v>
      </c>
      <c r="B129" s="12" t="str">
        <f>المدخلات!$F$5</f>
        <v>5:40–7:10 م</v>
      </c>
      <c r="C129" s="12">
        <v>1</v>
      </c>
      <c r="D129" s="12" t="s">
        <v>291</v>
      </c>
      <c r="E129" s="12" t="s">
        <v>526</v>
      </c>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row>
    <row r="130" spans="1:36">
      <c r="A130" s="11">
        <v>9</v>
      </c>
      <c r="B130" s="12" t="str">
        <f>المدخلات!$F$5</f>
        <v>5:40–7:10 م</v>
      </c>
      <c r="C130" s="12">
        <v>2</v>
      </c>
      <c r="D130" s="12" t="s">
        <v>274</v>
      </c>
      <c r="E130" s="12" t="s">
        <v>524</v>
      </c>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row>
    <row r="131" spans="1:36">
      <c r="A131" s="11">
        <v>9</v>
      </c>
      <c r="B131" s="12" t="str">
        <f>المدخلات!$F$5</f>
        <v>5:40–7:10 م</v>
      </c>
      <c r="C131" s="12">
        <v>3</v>
      </c>
      <c r="D131" s="12" t="s">
        <v>89</v>
      </c>
      <c r="E131" s="12" t="s">
        <v>99</v>
      </c>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row>
    <row r="132" spans="1:36">
      <c r="A132" s="11">
        <v>9</v>
      </c>
      <c r="B132" s="12" t="str">
        <f>المدخلات!$F$5</f>
        <v>5:40–7:10 م</v>
      </c>
      <c r="C132" s="12">
        <v>4</v>
      </c>
      <c r="D132" s="12" t="s">
        <v>89</v>
      </c>
      <c r="E132" s="12" t="s">
        <v>92</v>
      </c>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row>
    <row r="133" spans="1:36">
      <c r="A133" s="11">
        <v>9</v>
      </c>
      <c r="B133" s="12" t="str">
        <f>المدخلات!$F$5</f>
        <v>5:40–7:10 م</v>
      </c>
      <c r="C133" s="12">
        <v>5</v>
      </c>
      <c r="D133" s="12" t="s">
        <v>163</v>
      </c>
      <c r="E133" s="12" t="s">
        <v>227</v>
      </c>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row>
    <row r="134" spans="1:36">
      <c r="A134" s="11">
        <v>9</v>
      </c>
      <c r="B134" s="12" t="str">
        <f>المدخلات!$F$6</f>
        <v>7:20–8:50 م</v>
      </c>
      <c r="C134" s="12">
        <v>1</v>
      </c>
      <c r="D134" s="12" t="s">
        <v>274</v>
      </c>
      <c r="E134" s="12" t="s">
        <v>525</v>
      </c>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row>
    <row r="135" spans="1:36">
      <c r="A135" s="11">
        <v>9</v>
      </c>
      <c r="B135" s="12" t="str">
        <f>المدخلات!$F$6</f>
        <v>7:20–8:50 م</v>
      </c>
      <c r="C135" s="12">
        <v>2</v>
      </c>
      <c r="D135" s="12" t="s">
        <v>163</v>
      </c>
      <c r="E135" s="12" t="s">
        <v>178</v>
      </c>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row>
    <row r="136" spans="1:36">
      <c r="A136" s="11">
        <v>9</v>
      </c>
      <c r="B136" s="12" t="str">
        <f>المدخلات!$F$6</f>
        <v>7:20–8:50 م</v>
      </c>
      <c r="C136" s="12">
        <v>3</v>
      </c>
      <c r="D136" s="12" t="s">
        <v>17</v>
      </c>
      <c r="E136" s="12" t="s">
        <v>39</v>
      </c>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row>
    <row r="137" spans="1:36">
      <c r="A137" s="11">
        <v>9</v>
      </c>
      <c r="B137" s="12" t="str">
        <f>المدخلات!$F$6</f>
        <v>7:20–8:50 م</v>
      </c>
      <c r="C137" s="12">
        <v>4</v>
      </c>
      <c r="D137" s="12" t="s">
        <v>163</v>
      </c>
      <c r="E137" s="12" t="s">
        <v>206</v>
      </c>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row>
    <row r="138" spans="1:36">
      <c r="A138" s="11">
        <v>9</v>
      </c>
      <c r="B138" s="12" t="str">
        <f>المدخلات!$F$6</f>
        <v>7:20–8:50 م</v>
      </c>
      <c r="C138" s="12">
        <v>5</v>
      </c>
      <c r="D138" s="12" t="s">
        <v>17</v>
      </c>
      <c r="E138" s="12" t="s">
        <v>26</v>
      </c>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row>
    <row r="139" spans="1:36">
      <c r="A139" s="11">
        <v>10</v>
      </c>
      <c r="B139" s="12" t="str">
        <f>المدخلات!$F$4</f>
        <v>4:00–5:30 م</v>
      </c>
      <c r="C139" s="12">
        <v>1</v>
      </c>
      <c r="D139" s="12" t="s">
        <v>291</v>
      </c>
      <c r="E139" s="12" t="s">
        <v>316</v>
      </c>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row>
    <row r="140" spans="1:36">
      <c r="A140" s="11">
        <v>10</v>
      </c>
      <c r="B140" s="12" t="str">
        <f>المدخلات!$F$4</f>
        <v>4:00–5:30 م</v>
      </c>
      <c r="C140" s="12">
        <v>2</v>
      </c>
      <c r="D140" s="12" t="s">
        <v>274</v>
      </c>
      <c r="E140" s="12" t="s">
        <v>530</v>
      </c>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row>
    <row r="141" spans="1:36">
      <c r="A141" s="11">
        <v>10</v>
      </c>
      <c r="B141" s="12" t="str">
        <f>المدخلات!$F$4</f>
        <v>4:00–5:30 م</v>
      </c>
      <c r="C141" s="12">
        <v>3</v>
      </c>
      <c r="D141" s="12" t="s">
        <v>163</v>
      </c>
      <c r="E141" s="12" t="s">
        <v>226</v>
      </c>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row>
    <row r="142" spans="1:36">
      <c r="A142" s="11">
        <v>10</v>
      </c>
      <c r="B142" s="12" t="str">
        <f>المدخلات!$F$4</f>
        <v>4:00–5:30 م</v>
      </c>
      <c r="C142" s="12">
        <v>4</v>
      </c>
      <c r="D142" s="12" t="s">
        <v>274</v>
      </c>
      <c r="E142" s="12" t="s">
        <v>533</v>
      </c>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row>
    <row r="143" spans="1:36">
      <c r="A143" s="11">
        <v>10</v>
      </c>
      <c r="B143" s="12" t="str">
        <f>المدخلات!$F$4</f>
        <v>4:00–5:30 م</v>
      </c>
      <c r="C143" s="12">
        <v>5</v>
      </c>
      <c r="D143" s="12" t="s">
        <v>163</v>
      </c>
      <c r="E143" s="12" t="s">
        <v>529</v>
      </c>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row>
    <row r="144" spans="1:36">
      <c r="A144" s="11">
        <v>10</v>
      </c>
      <c r="B144" s="12" t="str">
        <f>المدخلات!$F$5</f>
        <v>5:40–7:10 م</v>
      </c>
      <c r="C144" s="12">
        <v>1</v>
      </c>
      <c r="D144" s="12" t="s">
        <v>17</v>
      </c>
      <c r="E144" s="12" t="s">
        <v>41</v>
      </c>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row>
    <row r="145" spans="1:36">
      <c r="A145" s="11">
        <v>10</v>
      </c>
      <c r="B145" s="12" t="str">
        <f>المدخلات!$F$5</f>
        <v>5:40–7:10 م</v>
      </c>
      <c r="C145" s="12">
        <v>2</v>
      </c>
      <c r="D145" s="12" t="s">
        <v>163</v>
      </c>
      <c r="E145" s="12" t="s">
        <v>205</v>
      </c>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row>
    <row r="146" spans="1:36">
      <c r="A146" s="11">
        <v>10</v>
      </c>
      <c r="B146" s="12" t="str">
        <f>المدخلات!$F$5</f>
        <v>5:40–7:10 م</v>
      </c>
      <c r="C146" s="12">
        <v>3</v>
      </c>
      <c r="D146" s="12" t="s">
        <v>89</v>
      </c>
      <c r="E146" s="12" t="s">
        <v>528</v>
      </c>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row>
    <row r="147" spans="1:36">
      <c r="A147" s="11">
        <v>10</v>
      </c>
      <c r="B147" s="12" t="str">
        <f>المدخلات!$F$5</f>
        <v>5:40–7:10 م</v>
      </c>
      <c r="C147" s="12">
        <v>4</v>
      </c>
      <c r="D147" s="12" t="s">
        <v>291</v>
      </c>
      <c r="E147" s="12" t="s">
        <v>531</v>
      </c>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row>
    <row r="148" spans="1:36">
      <c r="A148" s="11">
        <v>10</v>
      </c>
      <c r="B148" s="12" t="str">
        <f>المدخلات!$F$5</f>
        <v>5:40–7:10 م</v>
      </c>
      <c r="C148" s="12">
        <v>5</v>
      </c>
      <c r="D148" s="12" t="s">
        <v>17</v>
      </c>
      <c r="E148" s="12" t="s">
        <v>22</v>
      </c>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row>
    <row r="149" spans="1:36">
      <c r="A149" s="11">
        <v>10</v>
      </c>
      <c r="B149" s="12" t="str">
        <f>المدخلات!$F$6</f>
        <v>7:20–8:50 م</v>
      </c>
      <c r="C149" s="12">
        <v>1</v>
      </c>
      <c r="D149" s="12" t="s">
        <v>89</v>
      </c>
      <c r="E149" s="12" t="s">
        <v>91</v>
      </c>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row>
    <row r="150" spans="1:36">
      <c r="A150" s="11">
        <v>10</v>
      </c>
      <c r="B150" s="12" t="str">
        <f>المدخلات!$F$6</f>
        <v>7:20–8:50 م</v>
      </c>
      <c r="C150" s="12">
        <v>2</v>
      </c>
      <c r="D150" s="12" t="s">
        <v>17</v>
      </c>
      <c r="E150" s="12" t="s">
        <v>527</v>
      </c>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row>
    <row r="151" spans="1:36">
      <c r="A151" s="11">
        <v>10</v>
      </c>
      <c r="B151" s="12" t="str">
        <f>المدخلات!$F$6</f>
        <v>7:20–8:50 م</v>
      </c>
      <c r="C151" s="12">
        <v>3</v>
      </c>
      <c r="D151" s="12" t="s">
        <v>274</v>
      </c>
      <c r="E151" s="12" t="s">
        <v>280</v>
      </c>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row>
    <row r="152" spans="1:36">
      <c r="A152" s="11">
        <v>10</v>
      </c>
      <c r="B152" s="12" t="str">
        <f>المدخلات!$F$6</f>
        <v>7:20–8:50 م</v>
      </c>
      <c r="C152" s="12">
        <v>4</v>
      </c>
      <c r="D152" s="12" t="s">
        <v>291</v>
      </c>
      <c r="E152" s="12" t="s">
        <v>532</v>
      </c>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row>
    <row r="153" spans="1:36">
      <c r="A153" s="11">
        <v>10</v>
      </c>
      <c r="B153" s="12" t="str">
        <f>المدخلات!$F$6</f>
        <v>7:20–8:50 م</v>
      </c>
      <c r="C153" s="12">
        <v>5</v>
      </c>
      <c r="D153" s="12" t="s">
        <v>89</v>
      </c>
      <c r="E153" s="12" t="s">
        <v>101</v>
      </c>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row>
    <row r="154" spans="1:36">
      <c r="A154" s="11">
        <v>11</v>
      </c>
      <c r="B154" s="12" t="str">
        <f>المدخلات!$F$4</f>
        <v>4:00–5:30 م</v>
      </c>
      <c r="C154" s="12">
        <v>1</v>
      </c>
      <c r="D154" s="12" t="s">
        <v>291</v>
      </c>
      <c r="E154" s="12" t="s">
        <v>545</v>
      </c>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row>
    <row r="155" spans="1:36">
      <c r="A155" s="11">
        <v>11</v>
      </c>
      <c r="B155" s="12" t="str">
        <f>المدخلات!$F$4</f>
        <v>4:00–5:30 م</v>
      </c>
      <c r="C155" s="12">
        <v>2</v>
      </c>
      <c r="D155" s="12" t="s">
        <v>89</v>
      </c>
      <c r="E155" s="12" t="s">
        <v>542</v>
      </c>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row>
    <row r="156" spans="1:36">
      <c r="A156" s="11">
        <v>11</v>
      </c>
      <c r="B156" s="12" t="str">
        <f>المدخلات!$F$4</f>
        <v>4:00–5:30 م</v>
      </c>
      <c r="C156" s="12">
        <v>3</v>
      </c>
      <c r="D156" s="12" t="s">
        <v>163</v>
      </c>
      <c r="E156" s="12" t="s">
        <v>536</v>
      </c>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row>
    <row r="157" spans="1:36">
      <c r="A157" s="11">
        <v>11</v>
      </c>
      <c r="B157" s="12" t="str">
        <f>المدخلات!$F$4</f>
        <v>4:00–5:30 م</v>
      </c>
      <c r="C157" s="12">
        <v>4</v>
      </c>
      <c r="D157" s="12" t="s">
        <v>17</v>
      </c>
      <c r="E157" s="12" t="s">
        <v>541</v>
      </c>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row>
    <row r="158" spans="1:36">
      <c r="A158" s="11">
        <v>11</v>
      </c>
      <c r="B158" s="12" t="str">
        <f>المدخلات!$F$4</f>
        <v>4:00–5:30 م</v>
      </c>
      <c r="C158" s="12">
        <v>5</v>
      </c>
      <c r="D158" s="12" t="s">
        <v>274</v>
      </c>
      <c r="E158" s="12" t="s">
        <v>537</v>
      </c>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row>
    <row r="159" spans="1:36">
      <c r="A159" s="11">
        <v>11</v>
      </c>
      <c r="B159" s="12" t="str">
        <f>المدخلات!$F$5</f>
        <v>5:40–7:10 م</v>
      </c>
      <c r="C159" s="12">
        <v>1</v>
      </c>
      <c r="D159" s="12" t="s">
        <v>89</v>
      </c>
      <c r="E159" s="12" t="s">
        <v>535</v>
      </c>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row>
    <row r="160" spans="1:36">
      <c r="A160" s="11">
        <v>11</v>
      </c>
      <c r="B160" s="12" t="str">
        <f>المدخلات!$F$5</f>
        <v>5:40–7:10 م</v>
      </c>
      <c r="C160" s="12">
        <v>2</v>
      </c>
      <c r="D160" s="12" t="s">
        <v>89</v>
      </c>
      <c r="E160" s="12" t="s">
        <v>100</v>
      </c>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row>
    <row r="161" spans="1:36">
      <c r="A161" s="11">
        <v>11</v>
      </c>
      <c r="B161" s="12" t="str">
        <f>المدخلات!$F$5</f>
        <v>5:40–7:10 م</v>
      </c>
      <c r="C161" s="12">
        <v>3</v>
      </c>
      <c r="D161" s="12" t="s">
        <v>274</v>
      </c>
      <c r="E161" s="12" t="s">
        <v>539</v>
      </c>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row>
    <row r="162" spans="1:36">
      <c r="A162" s="11">
        <v>11</v>
      </c>
      <c r="B162" s="12" t="str">
        <f>المدخلات!$F$5</f>
        <v>5:40–7:10 م</v>
      </c>
      <c r="C162" s="12">
        <v>4</v>
      </c>
      <c r="D162" s="12" t="s">
        <v>291</v>
      </c>
      <c r="E162" s="12" t="s">
        <v>540</v>
      </c>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row>
    <row r="163" spans="1:36">
      <c r="A163" s="11">
        <v>11</v>
      </c>
      <c r="B163" s="12" t="str">
        <f>المدخلات!$F$5</f>
        <v>5:40–7:10 م</v>
      </c>
      <c r="C163" s="12">
        <v>5</v>
      </c>
      <c r="D163" s="12" t="s">
        <v>274</v>
      </c>
      <c r="E163" s="12" t="s">
        <v>544</v>
      </c>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row>
    <row r="164" spans="1:36">
      <c r="A164" s="11">
        <v>11</v>
      </c>
      <c r="B164" s="12" t="str">
        <f>المدخلات!$F$6</f>
        <v>7:20–8:50 م</v>
      </c>
      <c r="C164" s="12">
        <v>1</v>
      </c>
      <c r="D164" s="12" t="s">
        <v>163</v>
      </c>
      <c r="E164" s="12" t="s">
        <v>543</v>
      </c>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row>
    <row r="165" spans="1:36">
      <c r="A165" s="11">
        <v>11</v>
      </c>
      <c r="B165" s="12" t="str">
        <f>المدخلات!$F$6</f>
        <v>7:20–8:50 م</v>
      </c>
      <c r="C165" s="12">
        <v>2</v>
      </c>
      <c r="D165" s="12" t="s">
        <v>17</v>
      </c>
      <c r="E165" s="12" t="s">
        <v>40</v>
      </c>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row>
    <row r="166" spans="1:36">
      <c r="A166" s="11">
        <v>11</v>
      </c>
      <c r="B166" s="12" t="str">
        <f>المدخلات!$F$6</f>
        <v>7:20–8:50 م</v>
      </c>
      <c r="C166" s="12">
        <v>3</v>
      </c>
      <c r="D166" s="12" t="s">
        <v>17</v>
      </c>
      <c r="E166" s="12" t="s">
        <v>534</v>
      </c>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row>
    <row r="167" spans="1:36">
      <c r="A167" s="11">
        <v>11</v>
      </c>
      <c r="B167" s="12" t="str">
        <f>المدخلات!$F$6</f>
        <v>7:20–8:50 م</v>
      </c>
      <c r="C167" s="12">
        <v>4</v>
      </c>
      <c r="D167" s="12" t="s">
        <v>163</v>
      </c>
      <c r="E167" s="12" t="s">
        <v>225</v>
      </c>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row>
    <row r="168" spans="1:36">
      <c r="A168" s="11">
        <v>11</v>
      </c>
      <c r="B168" s="12" t="str">
        <f>المدخلات!$F$6</f>
        <v>7:20–8:50 م</v>
      </c>
      <c r="C168" s="12">
        <v>5</v>
      </c>
      <c r="D168" s="12" t="s">
        <v>291</v>
      </c>
      <c r="E168" s="12" t="s">
        <v>538</v>
      </c>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row>
    <row r="169" spans="1:36">
      <c r="A169" s="11">
        <v>12</v>
      </c>
      <c r="B169" s="12" t="str">
        <f>المدخلات!$F$4</f>
        <v>4:00–5:30 م</v>
      </c>
      <c r="C169" s="12">
        <v>1</v>
      </c>
      <c r="D169" s="12" t="s">
        <v>274</v>
      </c>
      <c r="E169" s="12" t="s">
        <v>549</v>
      </c>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row>
    <row r="170" spans="1:36">
      <c r="A170" s="11">
        <v>12</v>
      </c>
      <c r="B170" s="12" t="str">
        <f>المدخلات!$F$4</f>
        <v>4:00–5:30 م</v>
      </c>
      <c r="C170" s="12">
        <v>2</v>
      </c>
      <c r="D170" s="12" t="s">
        <v>17</v>
      </c>
      <c r="E170" s="12" t="s">
        <v>551</v>
      </c>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row>
    <row r="171" spans="1:36">
      <c r="A171" s="11">
        <v>12</v>
      </c>
      <c r="B171" s="12" t="str">
        <f>المدخلات!$F$4</f>
        <v>4:00–5:30 م</v>
      </c>
      <c r="C171" s="12">
        <v>3</v>
      </c>
      <c r="D171" s="12" t="s">
        <v>17</v>
      </c>
      <c r="E171" s="12" t="s">
        <v>556</v>
      </c>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row>
    <row r="172" spans="1:36">
      <c r="A172" s="11">
        <v>12</v>
      </c>
      <c r="B172" s="12" t="str">
        <f>المدخلات!$F$4</f>
        <v>4:00–5:30 م</v>
      </c>
      <c r="C172" s="12">
        <v>4</v>
      </c>
      <c r="D172" s="12" t="s">
        <v>89</v>
      </c>
      <c r="E172" s="12" t="s">
        <v>552</v>
      </c>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row>
    <row r="173" spans="1:36">
      <c r="A173" s="11">
        <v>12</v>
      </c>
      <c r="B173" s="12" t="str">
        <f>المدخلات!$F$4</f>
        <v>4:00–5:30 م</v>
      </c>
      <c r="C173" s="12">
        <v>5</v>
      </c>
      <c r="D173" s="12" t="s">
        <v>163</v>
      </c>
      <c r="E173" s="12" t="s">
        <v>548</v>
      </c>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row>
    <row r="174" spans="1:36">
      <c r="A174" s="11">
        <v>12</v>
      </c>
      <c r="B174" s="12" t="str">
        <f>المدخلات!$F$5</f>
        <v>5:40–7:10 م</v>
      </c>
      <c r="C174" s="12">
        <v>1</v>
      </c>
      <c r="D174" s="12" t="s">
        <v>274</v>
      </c>
      <c r="E174" s="12" t="s">
        <v>554</v>
      </c>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row>
    <row r="175" spans="1:36">
      <c r="A175" s="11">
        <v>12</v>
      </c>
      <c r="B175" s="12" t="str">
        <f>المدخلات!$F$5</f>
        <v>5:40–7:10 م</v>
      </c>
      <c r="C175" s="12">
        <v>2</v>
      </c>
      <c r="D175" s="12" t="s">
        <v>163</v>
      </c>
      <c r="E175" s="12" t="s">
        <v>558</v>
      </c>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row>
    <row r="176" spans="1:36">
      <c r="A176" s="11">
        <v>12</v>
      </c>
      <c r="B176" s="12" t="str">
        <f>المدخلات!$F$5</f>
        <v>5:40–7:10 م</v>
      </c>
      <c r="C176" s="12">
        <v>3</v>
      </c>
      <c r="D176" s="12" t="s">
        <v>291</v>
      </c>
      <c r="E176" s="12" t="s">
        <v>550</v>
      </c>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row>
    <row r="177" spans="1:36">
      <c r="A177" s="11">
        <v>12</v>
      </c>
      <c r="B177" s="12" t="str">
        <f>المدخلات!$F$5</f>
        <v>5:40–7:10 م</v>
      </c>
      <c r="C177" s="12">
        <v>4</v>
      </c>
      <c r="D177" s="12" t="s">
        <v>163</v>
      </c>
      <c r="E177" s="12" t="s">
        <v>553</v>
      </c>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row>
    <row r="178" spans="1:36">
      <c r="A178" s="11">
        <v>12</v>
      </c>
      <c r="B178" s="12" t="str">
        <f>المدخلات!$F$5</f>
        <v>5:40–7:10 م</v>
      </c>
      <c r="C178" s="12">
        <v>5</v>
      </c>
      <c r="D178" s="12" t="s">
        <v>17</v>
      </c>
      <c r="E178" s="12" t="s">
        <v>546</v>
      </c>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row>
    <row r="179" spans="1:36">
      <c r="A179" s="11">
        <v>12</v>
      </c>
      <c r="B179" s="12" t="str">
        <f>المدخلات!$F$6</f>
        <v>7:20–8:50 م</v>
      </c>
      <c r="C179" s="12">
        <v>1</v>
      </c>
      <c r="D179" s="12" t="s">
        <v>89</v>
      </c>
      <c r="E179" s="12" t="s">
        <v>557</v>
      </c>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row>
    <row r="180" spans="1:36">
      <c r="A180" s="11">
        <v>12</v>
      </c>
      <c r="B180" s="12" t="str">
        <f>المدخلات!$F$6</f>
        <v>7:20–8:50 م</v>
      </c>
      <c r="C180" s="12">
        <v>2</v>
      </c>
      <c r="D180" s="12" t="s">
        <v>291</v>
      </c>
      <c r="E180" s="12" t="s">
        <v>560</v>
      </c>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row>
    <row r="181" spans="1:36">
      <c r="A181" s="11">
        <v>12</v>
      </c>
      <c r="B181" s="12" t="str">
        <f>المدخلات!$F$6</f>
        <v>7:20–8:50 م</v>
      </c>
      <c r="C181" s="12">
        <v>3</v>
      </c>
      <c r="D181" s="12" t="s">
        <v>274</v>
      </c>
      <c r="E181" s="12" t="s">
        <v>559</v>
      </c>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row>
    <row r="182" spans="1:36">
      <c r="A182" s="11">
        <v>12</v>
      </c>
      <c r="B182" s="12" t="str">
        <f>المدخلات!$F$6</f>
        <v>7:20–8:50 م</v>
      </c>
      <c r="C182" s="12">
        <v>4</v>
      </c>
      <c r="D182" s="12" t="s">
        <v>89</v>
      </c>
      <c r="E182" s="12" t="s">
        <v>547</v>
      </c>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row>
    <row r="183" spans="1:36">
      <c r="A183" s="11">
        <v>12</v>
      </c>
      <c r="B183" s="12" t="str">
        <f>المدخلات!$F$6</f>
        <v>7:20–8:50 م</v>
      </c>
      <c r="C183" s="12">
        <v>5</v>
      </c>
      <c r="D183" s="12" t="s">
        <v>291</v>
      </c>
      <c r="E183" s="12" t="s">
        <v>555</v>
      </c>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row>
    <row r="184" spans="1:36">
      <c r="A184" s="11">
        <v>13</v>
      </c>
      <c r="B184" s="12" t="str">
        <f>المدخلات!$F$4</f>
        <v>4:00–5:30 م</v>
      </c>
      <c r="C184" s="12">
        <v>1</v>
      </c>
      <c r="D184" s="12" t="s">
        <v>274</v>
      </c>
      <c r="E184" s="12" t="s">
        <v>564</v>
      </c>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row>
    <row r="185" spans="1:36">
      <c r="A185" s="11">
        <v>13</v>
      </c>
      <c r="B185" s="12" t="str">
        <f>المدخلات!$F$4</f>
        <v>4:00–5:30 م</v>
      </c>
      <c r="C185" s="12">
        <v>2</v>
      </c>
      <c r="D185" s="12" t="s">
        <v>291</v>
      </c>
      <c r="E185" s="12" t="s">
        <v>575</v>
      </c>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row>
    <row r="186" spans="1:36">
      <c r="A186" s="11">
        <v>13</v>
      </c>
      <c r="B186" s="12" t="str">
        <f>المدخلات!$F$4</f>
        <v>4:00–5:30 م</v>
      </c>
      <c r="C186" s="12">
        <v>3</v>
      </c>
      <c r="D186" s="12" t="s">
        <v>291</v>
      </c>
      <c r="E186" s="12" t="s">
        <v>570</v>
      </c>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row>
    <row r="187" spans="1:36">
      <c r="A187" s="11">
        <v>13</v>
      </c>
      <c r="B187" s="12" t="str">
        <f>المدخلات!$F$4</f>
        <v>4:00–5:30 م</v>
      </c>
      <c r="C187" s="12">
        <v>4</v>
      </c>
      <c r="D187" s="12" t="s">
        <v>89</v>
      </c>
      <c r="E187" s="12" t="s">
        <v>567</v>
      </c>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row>
    <row r="188" spans="1:36">
      <c r="A188" s="11">
        <v>13</v>
      </c>
      <c r="B188" s="12" t="str">
        <f>المدخلات!$F$4</f>
        <v>4:00–5:30 م</v>
      </c>
      <c r="C188" s="12">
        <v>5</v>
      </c>
      <c r="D188" s="12" t="s">
        <v>291</v>
      </c>
      <c r="E188" s="12" t="s">
        <v>565</v>
      </c>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row>
    <row r="189" spans="1:36">
      <c r="A189" s="11">
        <v>13</v>
      </c>
      <c r="B189" s="12" t="str">
        <f>المدخلات!$F$5</f>
        <v>5:40–7:10 م</v>
      </c>
      <c r="C189" s="12">
        <v>1</v>
      </c>
      <c r="D189" s="12" t="s">
        <v>89</v>
      </c>
      <c r="E189" s="12" t="s">
        <v>562</v>
      </c>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row>
    <row r="190" spans="1:36">
      <c r="A190" s="11">
        <v>13</v>
      </c>
      <c r="B190" s="12" t="str">
        <f>المدخلات!$F$5</f>
        <v>5:40–7:10 م</v>
      </c>
      <c r="C190" s="12">
        <v>2</v>
      </c>
      <c r="D190" s="12" t="s">
        <v>274</v>
      </c>
      <c r="E190" s="12" t="s">
        <v>569</v>
      </c>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row>
    <row r="191" spans="1:36">
      <c r="A191" s="11">
        <v>13</v>
      </c>
      <c r="B191" s="12" t="str">
        <f>المدخلات!$F$5</f>
        <v>5:40–7:10 م</v>
      </c>
      <c r="C191" s="12">
        <v>3</v>
      </c>
      <c r="D191" s="12" t="s">
        <v>89</v>
      </c>
      <c r="E191" s="12" t="s">
        <v>572</v>
      </c>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row>
    <row r="192" spans="1:36">
      <c r="A192" s="11">
        <v>13</v>
      </c>
      <c r="B192" s="12" t="str">
        <f>المدخلات!$F$5</f>
        <v>5:40–7:10 م</v>
      </c>
      <c r="C192" s="12">
        <v>4</v>
      </c>
      <c r="D192" s="12" t="s">
        <v>17</v>
      </c>
      <c r="E192" s="12" t="s">
        <v>566</v>
      </c>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row>
    <row r="193" spans="1:36">
      <c r="A193" s="11">
        <v>13</v>
      </c>
      <c r="B193" s="12" t="str">
        <f>المدخلات!$F$5</f>
        <v>5:40–7:10 م</v>
      </c>
      <c r="C193" s="12">
        <v>5</v>
      </c>
      <c r="D193" s="12" t="s">
        <v>274</v>
      </c>
      <c r="E193" s="12" t="s">
        <v>574</v>
      </c>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row>
    <row r="194" spans="1:36">
      <c r="A194" s="11">
        <v>13</v>
      </c>
      <c r="B194" s="12" t="str">
        <f>المدخلات!$F$6</f>
        <v>7:20–8:50 م</v>
      </c>
      <c r="C194" s="12">
        <v>1</v>
      </c>
      <c r="D194" s="12" t="s">
        <v>17</v>
      </c>
      <c r="E194" s="12" t="s">
        <v>561</v>
      </c>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row>
    <row r="195" spans="1:36">
      <c r="A195" s="11">
        <v>13</v>
      </c>
      <c r="B195" s="12" t="str">
        <f>المدخلات!$F$6</f>
        <v>7:20–8:50 م</v>
      </c>
      <c r="C195" s="12">
        <v>2</v>
      </c>
      <c r="D195" s="12" t="s">
        <v>163</v>
      </c>
      <c r="E195" s="12" t="s">
        <v>568</v>
      </c>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row>
    <row r="196" spans="1:36">
      <c r="A196" s="11">
        <v>13</v>
      </c>
      <c r="B196" s="12" t="str">
        <f>المدخلات!$F$6</f>
        <v>7:20–8:50 م</v>
      </c>
      <c r="C196" s="12">
        <v>3</v>
      </c>
      <c r="D196" s="12" t="s">
        <v>163</v>
      </c>
      <c r="E196" s="12" t="s">
        <v>563</v>
      </c>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row>
    <row r="197" spans="1:36">
      <c r="A197" s="11">
        <v>13</v>
      </c>
      <c r="B197" s="12" t="str">
        <f>المدخلات!$F$6</f>
        <v>7:20–8:50 م</v>
      </c>
      <c r="C197" s="12">
        <v>4</v>
      </c>
      <c r="D197" s="12" t="s">
        <v>17</v>
      </c>
      <c r="E197" s="12" t="s">
        <v>571</v>
      </c>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row>
    <row r="198" spans="1:36">
      <c r="A198" s="11">
        <v>13</v>
      </c>
      <c r="B198" s="12" t="str">
        <f>المدخلات!$F$6</f>
        <v>7:20–8:50 م</v>
      </c>
      <c r="C198" s="12">
        <v>5</v>
      </c>
      <c r="D198" s="12" t="s">
        <v>163</v>
      </c>
      <c r="E198" s="12" t="s">
        <v>573</v>
      </c>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row>
    <row r="199" spans="1:36">
      <c r="A199" s="11">
        <v>14</v>
      </c>
      <c r="B199" s="12" t="str">
        <f>المدخلات!$F$4</f>
        <v>4:00–5:30 م</v>
      </c>
      <c r="C199" s="12">
        <v>1</v>
      </c>
      <c r="D199" s="12" t="s">
        <v>163</v>
      </c>
      <c r="E199" s="12" t="s">
        <v>127</v>
      </c>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row>
    <row r="200" spans="1:36">
      <c r="A200" s="11">
        <v>14</v>
      </c>
      <c r="B200" s="12" t="str">
        <f>المدخلات!$F$4</f>
        <v>4:00–5:30 م</v>
      </c>
      <c r="C200" s="12">
        <v>2</v>
      </c>
      <c r="D200" s="12" t="s">
        <v>89</v>
      </c>
      <c r="E200" s="12" t="s">
        <v>60</v>
      </c>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row>
    <row r="201" spans="1:36">
      <c r="A201" s="11">
        <v>14</v>
      </c>
      <c r="B201" s="12" t="str">
        <f>المدخلات!$F$4</f>
        <v>4:00–5:30 م</v>
      </c>
      <c r="C201" s="12">
        <v>3</v>
      </c>
      <c r="D201" s="12" t="s">
        <v>163</v>
      </c>
      <c r="E201" s="12" t="s">
        <v>583</v>
      </c>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row>
    <row r="202" spans="1:36">
      <c r="A202" s="11">
        <v>14</v>
      </c>
      <c r="B202" s="12" t="str">
        <f>المدخلات!$F$4</f>
        <v>4:00–5:30 م</v>
      </c>
      <c r="C202" s="12">
        <v>4</v>
      </c>
      <c r="D202" s="12" t="s">
        <v>274</v>
      </c>
      <c r="E202" s="12" t="s">
        <v>579</v>
      </c>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row>
    <row r="203" spans="1:36">
      <c r="A203" s="11">
        <v>14</v>
      </c>
      <c r="B203" s="12" t="str">
        <f>المدخلات!$F$4</f>
        <v>4:00–5:30 م</v>
      </c>
      <c r="C203" s="12">
        <v>5</v>
      </c>
      <c r="D203" s="12" t="s">
        <v>163</v>
      </c>
      <c r="E203" s="12" t="s">
        <v>578</v>
      </c>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row>
    <row r="204" spans="1:36">
      <c r="A204" s="11">
        <v>14</v>
      </c>
      <c r="B204" s="12" t="str">
        <f>المدخلات!$F$5</f>
        <v>5:40–7:10 م</v>
      </c>
      <c r="C204" s="12">
        <v>1</v>
      </c>
      <c r="D204" s="12" t="s">
        <v>291</v>
      </c>
      <c r="E204" s="12" t="s">
        <v>580</v>
      </c>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row>
    <row r="205" spans="1:36">
      <c r="A205" s="11">
        <v>14</v>
      </c>
      <c r="B205" s="12" t="str">
        <f>المدخلات!$F$5</f>
        <v>5:40–7:10 م</v>
      </c>
      <c r="C205" s="12">
        <v>2</v>
      </c>
      <c r="D205" s="12" t="s">
        <v>291</v>
      </c>
      <c r="E205" s="12" t="s">
        <v>304</v>
      </c>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row>
    <row r="206" spans="1:36">
      <c r="A206" s="11">
        <v>14</v>
      </c>
      <c r="B206" s="12" t="str">
        <f>المدخلات!$F$5</f>
        <v>5:40–7:10 م</v>
      </c>
      <c r="C206" s="12">
        <v>3</v>
      </c>
      <c r="D206" s="12" t="s">
        <v>17</v>
      </c>
      <c r="E206" s="12" t="s">
        <v>581</v>
      </c>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row>
    <row r="207" spans="1:36">
      <c r="A207" s="11">
        <v>14</v>
      </c>
      <c r="B207" s="12" t="str">
        <f>المدخلات!$F$5</f>
        <v>5:40–7:10 م</v>
      </c>
      <c r="C207" s="12">
        <v>4</v>
      </c>
      <c r="D207" s="12" t="s">
        <v>17</v>
      </c>
      <c r="E207" s="12" t="s">
        <v>576</v>
      </c>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row>
    <row r="208" spans="1:36">
      <c r="A208" s="11">
        <v>14</v>
      </c>
      <c r="B208" s="12" t="str">
        <f>المدخلات!$F$5</f>
        <v>5:40–7:10 م</v>
      </c>
      <c r="C208" s="12">
        <v>5</v>
      </c>
      <c r="D208" s="12" t="s">
        <v>17</v>
      </c>
      <c r="E208" s="12" t="s">
        <v>27</v>
      </c>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row>
    <row r="209" spans="1:36">
      <c r="A209" s="11">
        <v>14</v>
      </c>
      <c r="B209" s="12" t="str">
        <f>المدخلات!$F$6</f>
        <v>7:20–8:50 م</v>
      </c>
      <c r="C209" s="12">
        <v>1</v>
      </c>
      <c r="D209" s="12" t="s">
        <v>291</v>
      </c>
      <c r="E209" s="12" t="s">
        <v>585</v>
      </c>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row>
    <row r="210" spans="1:36">
      <c r="A210" s="11">
        <v>14</v>
      </c>
      <c r="B210" s="12" t="str">
        <f>المدخلات!$F$6</f>
        <v>7:20–8:50 م</v>
      </c>
      <c r="C210" s="12">
        <v>2</v>
      </c>
      <c r="D210" s="12" t="s">
        <v>89</v>
      </c>
      <c r="E210" s="12" t="s">
        <v>577</v>
      </c>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row>
    <row r="211" spans="1:36">
      <c r="A211" s="11">
        <v>14</v>
      </c>
      <c r="B211" s="12" t="str">
        <f>المدخلات!$F$6</f>
        <v>7:20–8:50 م</v>
      </c>
      <c r="C211" s="12">
        <v>3</v>
      </c>
      <c r="D211" s="12" t="s">
        <v>274</v>
      </c>
      <c r="E211" s="12" t="s">
        <v>270</v>
      </c>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row>
    <row r="212" spans="1:36">
      <c r="A212" s="11">
        <v>14</v>
      </c>
      <c r="B212" s="12" t="str">
        <f>المدخلات!$F$6</f>
        <v>7:20–8:50 م</v>
      </c>
      <c r="C212" s="12">
        <v>4</v>
      </c>
      <c r="D212" s="12" t="s">
        <v>89</v>
      </c>
      <c r="E212" s="12" t="s">
        <v>582</v>
      </c>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row>
    <row r="213" spans="1:36">
      <c r="A213" s="11">
        <v>14</v>
      </c>
      <c r="B213" s="12" t="str">
        <f>المدخلات!$F$6</f>
        <v>7:20–8:50 م</v>
      </c>
      <c r="C213" s="12">
        <v>5</v>
      </c>
      <c r="D213" s="12" t="s">
        <v>274</v>
      </c>
      <c r="E213" s="12" t="s">
        <v>584</v>
      </c>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row>
    <row r="214" spans="1:36">
      <c r="A214" s="11">
        <v>15</v>
      </c>
      <c r="B214" s="12" t="str">
        <f>المدخلات!$F$4</f>
        <v>4:00–5:30 م</v>
      </c>
      <c r="C214" s="12">
        <v>1</v>
      </c>
      <c r="D214" s="12" t="s">
        <v>274</v>
      </c>
      <c r="E214" s="12" t="s">
        <v>267</v>
      </c>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row>
    <row r="215" spans="1:36">
      <c r="A215" s="11">
        <v>15</v>
      </c>
      <c r="B215" s="12" t="str">
        <f>المدخلات!$F$4</f>
        <v>4:00–5:30 م</v>
      </c>
      <c r="C215" s="12">
        <v>2</v>
      </c>
      <c r="D215" s="12" t="s">
        <v>17</v>
      </c>
      <c r="E215" s="12" t="s">
        <v>375</v>
      </c>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row>
    <row r="216" spans="1:36">
      <c r="A216" s="11">
        <v>15</v>
      </c>
      <c r="B216" s="12" t="str">
        <f>المدخلات!$F$4</f>
        <v>4:00–5:30 م</v>
      </c>
      <c r="C216" s="12">
        <v>3</v>
      </c>
      <c r="D216" s="12" t="s">
        <v>89</v>
      </c>
      <c r="E216" s="12" t="s">
        <v>371</v>
      </c>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row>
    <row r="217" spans="1:36">
      <c r="A217" s="11">
        <v>15</v>
      </c>
      <c r="B217" s="12" t="str">
        <f>المدخلات!$F$4</f>
        <v>4:00–5:30 م</v>
      </c>
      <c r="C217" s="12">
        <v>4</v>
      </c>
      <c r="D217" s="12" t="s">
        <v>163</v>
      </c>
      <c r="E217" s="12" t="s">
        <v>114</v>
      </c>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row>
    <row r="218" spans="1:36">
      <c r="A218" s="11">
        <v>15</v>
      </c>
      <c r="B218" s="12" t="str">
        <f>المدخلات!$F$4</f>
        <v>4:00–5:30 م</v>
      </c>
      <c r="C218" s="12">
        <v>5</v>
      </c>
      <c r="D218" s="12" t="s">
        <v>89</v>
      </c>
      <c r="E218" s="12" t="s">
        <v>376</v>
      </c>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row>
    <row r="219" spans="1:36">
      <c r="A219" s="11">
        <v>15</v>
      </c>
      <c r="B219" s="12" t="str">
        <f>المدخلات!$F$5</f>
        <v>5:40–7:10 م</v>
      </c>
      <c r="C219" s="12">
        <v>1</v>
      </c>
      <c r="D219" s="12" t="s">
        <v>17</v>
      </c>
      <c r="E219" s="12" t="s">
        <v>30</v>
      </c>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row>
    <row r="220" spans="1:36">
      <c r="A220" s="11">
        <v>15</v>
      </c>
      <c r="B220" s="12" t="str">
        <f>المدخلات!$F$5</f>
        <v>5:40–7:10 م</v>
      </c>
      <c r="C220" s="12">
        <v>2</v>
      </c>
      <c r="D220" s="12" t="s">
        <v>163</v>
      </c>
      <c r="E220" s="12" t="s">
        <v>377</v>
      </c>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row>
    <row r="221" spans="1:36">
      <c r="A221" s="11">
        <v>15</v>
      </c>
      <c r="B221" s="12" t="str">
        <f>المدخلات!$F$5</f>
        <v>5:40–7:10 م</v>
      </c>
      <c r="C221" s="12">
        <v>3</v>
      </c>
      <c r="D221" s="12" t="s">
        <v>17</v>
      </c>
      <c r="E221" s="12" t="s">
        <v>370</v>
      </c>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row>
    <row r="222" spans="1:36">
      <c r="A222" s="11">
        <v>15</v>
      </c>
      <c r="B222" s="12" t="str">
        <f>المدخلات!$F$5</f>
        <v>5:40–7:10 م</v>
      </c>
      <c r="C222" s="12">
        <v>4</v>
      </c>
      <c r="D222" s="12" t="s">
        <v>274</v>
      </c>
      <c r="E222" s="12" t="s">
        <v>378</v>
      </c>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row>
    <row r="223" spans="1:36">
      <c r="A223" s="11">
        <v>15</v>
      </c>
      <c r="B223" s="12" t="str">
        <f>المدخلات!$F$5</f>
        <v>5:40–7:10 م</v>
      </c>
      <c r="C223" s="12">
        <v>5</v>
      </c>
      <c r="D223" s="12" t="s">
        <v>291</v>
      </c>
      <c r="E223" s="12" t="s">
        <v>379</v>
      </c>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row>
    <row r="224" spans="1:36">
      <c r="A224" s="11">
        <v>15</v>
      </c>
      <c r="B224" s="12" t="str">
        <f>المدخلات!$F$6</f>
        <v>7:20–8:50 م</v>
      </c>
      <c r="C224" s="12">
        <v>1</v>
      </c>
      <c r="D224" s="12" t="s">
        <v>291</v>
      </c>
      <c r="E224" s="12" t="s">
        <v>293</v>
      </c>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row>
    <row r="225" spans="1:36">
      <c r="A225" s="11">
        <v>15</v>
      </c>
      <c r="B225" s="12" t="str">
        <f>المدخلات!$F$6</f>
        <v>7:20–8:50 م</v>
      </c>
      <c r="C225" s="12">
        <v>2</v>
      </c>
      <c r="D225" s="12" t="s">
        <v>163</v>
      </c>
      <c r="E225" s="12" t="s">
        <v>372</v>
      </c>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row>
    <row r="226" spans="1:36">
      <c r="A226" s="11">
        <v>15</v>
      </c>
      <c r="B226" s="12" t="str">
        <f>المدخلات!$F$6</f>
        <v>7:20–8:50 م</v>
      </c>
      <c r="C226" s="12">
        <v>3</v>
      </c>
      <c r="D226" s="12" t="s">
        <v>274</v>
      </c>
      <c r="E226" s="12" t="s">
        <v>373</v>
      </c>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row>
    <row r="227" spans="1:36">
      <c r="A227" s="11">
        <v>15</v>
      </c>
      <c r="B227" s="12" t="str">
        <f>المدخلات!$F$6</f>
        <v>7:20–8:50 م</v>
      </c>
      <c r="C227" s="12">
        <v>4</v>
      </c>
      <c r="D227" s="12" t="s">
        <v>291</v>
      </c>
      <c r="E227" s="12" t="s">
        <v>374</v>
      </c>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row>
    <row r="228" spans="1:36">
      <c r="A228" s="11">
        <v>15</v>
      </c>
      <c r="B228" s="12" t="str">
        <f>المدخلات!$F$6</f>
        <v>7:20–8:50 م</v>
      </c>
      <c r="C228" s="12">
        <v>5</v>
      </c>
      <c r="D228" s="12" t="s">
        <v>89</v>
      </c>
      <c r="E228" s="12" t="s">
        <v>56</v>
      </c>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row>
    <row r="229" spans="1:36">
      <c r="A229" s="11">
        <v>16</v>
      </c>
      <c r="B229" s="12" t="str">
        <f>المدخلات!$F$4</f>
        <v>4:00–5:30 م</v>
      </c>
      <c r="C229" s="12">
        <v>1</v>
      </c>
      <c r="D229" s="12" t="s">
        <v>17</v>
      </c>
      <c r="E229" s="12" t="s">
        <v>365</v>
      </c>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row>
    <row r="230" spans="1:36">
      <c r="A230" s="11">
        <v>16</v>
      </c>
      <c r="B230" s="12" t="str">
        <f>المدخلات!$F$4</f>
        <v>4:00–5:30 م</v>
      </c>
      <c r="C230" s="12">
        <v>2</v>
      </c>
      <c r="D230" s="12" t="s">
        <v>291</v>
      </c>
      <c r="E230" s="12" t="s">
        <v>369</v>
      </c>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row>
    <row r="231" spans="1:36">
      <c r="A231" s="11">
        <v>16</v>
      </c>
      <c r="B231" s="12" t="str">
        <f>المدخلات!$F$4</f>
        <v>4:00–5:30 م</v>
      </c>
      <c r="C231" s="12">
        <v>3</v>
      </c>
      <c r="D231" s="12" t="s">
        <v>89</v>
      </c>
      <c r="E231" s="12" t="s">
        <v>366</v>
      </c>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row>
    <row r="232" spans="1:36">
      <c r="A232" s="11">
        <v>16</v>
      </c>
      <c r="B232" s="12" t="str">
        <f>المدخلات!$F$4</f>
        <v>4:00–5:30 م</v>
      </c>
      <c r="C232" s="12">
        <v>4</v>
      </c>
      <c r="D232" s="12" t="s">
        <v>291</v>
      </c>
      <c r="E232" s="12" t="s">
        <v>305</v>
      </c>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row>
    <row r="233" spans="1:36">
      <c r="A233" s="11">
        <v>16</v>
      </c>
      <c r="B233" s="12" t="str">
        <f>المدخلات!$F$4</f>
        <v>4:00–5:30 م</v>
      </c>
      <c r="C233" s="12">
        <v>5</v>
      </c>
      <c r="D233" s="12" t="s">
        <v>17</v>
      </c>
      <c r="E233" s="12" t="s">
        <v>23</v>
      </c>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row>
    <row r="234" spans="1:36">
      <c r="A234" s="11">
        <v>16</v>
      </c>
      <c r="B234" s="12" t="str">
        <f>المدخلات!$F$5</f>
        <v>5:40–7:10 م</v>
      </c>
      <c r="C234" s="12">
        <v>1</v>
      </c>
      <c r="D234" s="12" t="s">
        <v>163</v>
      </c>
      <c r="E234" s="12" t="s">
        <v>168</v>
      </c>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row>
    <row r="235" spans="1:36">
      <c r="A235" s="11">
        <v>16</v>
      </c>
      <c r="B235" s="12" t="str">
        <f>المدخلات!$F$5</f>
        <v>5:40–7:10 م</v>
      </c>
      <c r="C235" s="12">
        <v>2</v>
      </c>
      <c r="D235" s="12" t="s">
        <v>89</v>
      </c>
      <c r="E235" s="12" t="s">
        <v>64</v>
      </c>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row>
    <row r="236" spans="1:36">
      <c r="A236" s="11">
        <v>16</v>
      </c>
      <c r="B236" s="12" t="str">
        <f>المدخلات!$F$5</f>
        <v>5:40–7:10 م</v>
      </c>
      <c r="C236" s="12">
        <v>3</v>
      </c>
      <c r="D236" s="12" t="s">
        <v>291</v>
      </c>
      <c r="E236" s="12" t="s">
        <v>308</v>
      </c>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row>
    <row r="237" spans="1:36">
      <c r="A237" s="11">
        <v>16</v>
      </c>
      <c r="B237" s="12" t="str">
        <f>المدخلات!$F$5</f>
        <v>5:40–7:10 م</v>
      </c>
      <c r="C237" s="12">
        <v>4</v>
      </c>
      <c r="D237" s="12" t="s">
        <v>274</v>
      </c>
      <c r="E237" s="12" t="s">
        <v>276</v>
      </c>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row>
    <row r="238" spans="1:36">
      <c r="A238" s="11">
        <v>16</v>
      </c>
      <c r="B238" s="12" t="str">
        <f>المدخلات!$F$5</f>
        <v>5:40–7:10 م</v>
      </c>
      <c r="C238" s="12">
        <v>5</v>
      </c>
      <c r="D238" s="12" t="s">
        <v>89</v>
      </c>
      <c r="E238" s="12" t="s">
        <v>75</v>
      </c>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row>
    <row r="239" spans="1:36">
      <c r="A239" s="11">
        <v>16</v>
      </c>
      <c r="B239" s="12" t="str">
        <f>المدخلات!$F$6</f>
        <v>7:20–8:50 م</v>
      </c>
      <c r="C239" s="12">
        <v>1</v>
      </c>
      <c r="D239" s="12" t="s">
        <v>274</v>
      </c>
      <c r="E239" s="12" t="s">
        <v>368</v>
      </c>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row>
    <row r="240" spans="1:36">
      <c r="A240" s="11">
        <v>16</v>
      </c>
      <c r="B240" s="12" t="str">
        <f>المدخلات!$F$6</f>
        <v>7:20–8:50 م</v>
      </c>
      <c r="C240" s="12">
        <v>2</v>
      </c>
      <c r="D240" s="12" t="s">
        <v>17</v>
      </c>
      <c r="E240" s="12" t="s">
        <v>24</v>
      </c>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row>
    <row r="241" spans="1:36">
      <c r="A241" s="11">
        <v>16</v>
      </c>
      <c r="B241" s="12" t="str">
        <f>المدخلات!$F$6</f>
        <v>7:20–8:50 م</v>
      </c>
      <c r="C241" s="12">
        <v>3</v>
      </c>
      <c r="D241" s="12" t="s">
        <v>163</v>
      </c>
      <c r="E241" s="12" t="s">
        <v>151</v>
      </c>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row>
    <row r="242" spans="1:36">
      <c r="A242" s="11">
        <v>16</v>
      </c>
      <c r="B242" s="12" t="str">
        <f>المدخلات!$F$6</f>
        <v>7:20–8:50 م</v>
      </c>
      <c r="C242" s="12">
        <v>4</v>
      </c>
      <c r="D242" s="12" t="s">
        <v>274</v>
      </c>
      <c r="E242" s="12" t="s">
        <v>271</v>
      </c>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row>
    <row r="243" spans="1:36">
      <c r="A243" s="11">
        <v>16</v>
      </c>
      <c r="B243" s="12" t="str">
        <f>المدخلات!$F$6</f>
        <v>7:20–8:50 م</v>
      </c>
      <c r="C243" s="12">
        <v>5</v>
      </c>
      <c r="D243" s="12" t="s">
        <v>163</v>
      </c>
      <c r="E243" s="12" t="s">
        <v>367</v>
      </c>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row>
    <row r="244" spans="1:36">
      <c r="A244" s="11">
        <v>17</v>
      </c>
      <c r="B244" s="12" t="str">
        <f>المدخلات!$F$4</f>
        <v>4:00–5:30 م</v>
      </c>
      <c r="C244" s="12">
        <v>1</v>
      </c>
      <c r="D244" s="12" t="s">
        <v>274</v>
      </c>
      <c r="E244" s="12" t="s">
        <v>275</v>
      </c>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row>
    <row r="245" spans="1:36">
      <c r="A245" s="11">
        <v>17</v>
      </c>
      <c r="B245" s="12" t="str">
        <f>المدخلات!$F$4</f>
        <v>4:00–5:30 م</v>
      </c>
      <c r="C245" s="12">
        <v>2</v>
      </c>
      <c r="D245" s="12" t="s">
        <v>274</v>
      </c>
      <c r="E245" s="12" t="s">
        <v>283</v>
      </c>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row>
    <row r="246" spans="1:36">
      <c r="A246" s="11">
        <v>17</v>
      </c>
      <c r="B246" s="12" t="str">
        <f>المدخلات!$F$4</f>
        <v>4:00–5:30 م</v>
      </c>
      <c r="C246" s="12">
        <v>3</v>
      </c>
      <c r="D246" s="12" t="s">
        <v>291</v>
      </c>
      <c r="E246" s="12" t="s">
        <v>315</v>
      </c>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row>
    <row r="247" spans="1:36">
      <c r="A247" s="11">
        <v>17</v>
      </c>
      <c r="B247" s="12" t="str">
        <f>المدخلات!$F$4</f>
        <v>4:00–5:30 م</v>
      </c>
      <c r="C247" s="12">
        <v>4</v>
      </c>
      <c r="D247" s="12" t="s">
        <v>17</v>
      </c>
      <c r="E247" s="12" t="s">
        <v>18</v>
      </c>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row>
    <row r="248" spans="1:36">
      <c r="A248" s="11">
        <v>17</v>
      </c>
      <c r="B248" s="12" t="str">
        <f>المدخلات!$F$4</f>
        <v>4:00–5:30 م</v>
      </c>
      <c r="C248" s="12">
        <v>5</v>
      </c>
      <c r="D248" s="12" t="s">
        <v>89</v>
      </c>
      <c r="E248" s="12" t="s">
        <v>85</v>
      </c>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row>
    <row r="249" spans="1:36">
      <c r="A249" s="11">
        <v>17</v>
      </c>
      <c r="B249" s="12" t="str">
        <f>المدخلات!$F$5</f>
        <v>5:40–7:10 م</v>
      </c>
      <c r="C249" s="12">
        <v>1</v>
      </c>
      <c r="D249" s="12" t="s">
        <v>163</v>
      </c>
      <c r="E249" s="12" t="s">
        <v>193</v>
      </c>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row>
    <row r="250" spans="1:36">
      <c r="A250" s="11">
        <v>17</v>
      </c>
      <c r="B250" s="12" t="str">
        <f>المدخلات!$F$5</f>
        <v>5:40–7:10 م</v>
      </c>
      <c r="C250" s="12">
        <v>2</v>
      </c>
      <c r="D250" s="12" t="s">
        <v>163</v>
      </c>
      <c r="E250" s="12" t="s">
        <v>216</v>
      </c>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row>
    <row r="251" spans="1:36">
      <c r="A251" s="11">
        <v>17</v>
      </c>
      <c r="B251" s="12" t="str">
        <f>المدخلات!$F$5</f>
        <v>5:40–7:10 م</v>
      </c>
      <c r="C251" s="12">
        <v>3</v>
      </c>
      <c r="D251" s="12" t="s">
        <v>291</v>
      </c>
      <c r="E251" s="12" t="s">
        <v>312</v>
      </c>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row>
    <row r="252" spans="1:36">
      <c r="A252" s="11">
        <v>17</v>
      </c>
      <c r="B252" s="12" t="str">
        <f>المدخلات!$F$5</f>
        <v>5:40–7:10 م</v>
      </c>
      <c r="C252" s="12">
        <v>4</v>
      </c>
      <c r="D252" s="12" t="s">
        <v>163</v>
      </c>
      <c r="E252" s="12" t="s">
        <v>167</v>
      </c>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row>
    <row r="253" spans="1:36">
      <c r="A253" s="11">
        <v>17</v>
      </c>
      <c r="B253" s="12" t="str">
        <f>المدخلات!$F$5</f>
        <v>5:40–7:10 م</v>
      </c>
      <c r="C253" s="12">
        <v>5</v>
      </c>
      <c r="D253" s="12" t="s">
        <v>274</v>
      </c>
      <c r="E253" s="12" t="s">
        <v>279</v>
      </c>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row>
    <row r="254" spans="1:36">
      <c r="A254" s="11">
        <v>17</v>
      </c>
      <c r="B254" s="12" t="str">
        <f>المدخلات!$F$6</f>
        <v>7:20–8:50 م</v>
      </c>
      <c r="C254" s="12">
        <v>1</v>
      </c>
      <c r="D254" s="12" t="s">
        <v>89</v>
      </c>
      <c r="E254" s="12" t="s">
        <v>90</v>
      </c>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row>
    <row r="255" spans="1:36">
      <c r="A255" s="11">
        <v>17</v>
      </c>
      <c r="B255" s="12" t="str">
        <f>المدخلات!$F$6</f>
        <v>7:20–8:50 م</v>
      </c>
      <c r="C255" s="12">
        <v>2</v>
      </c>
      <c r="D255" s="12" t="s">
        <v>291</v>
      </c>
      <c r="E255" s="12" t="s">
        <v>307</v>
      </c>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row>
    <row r="256" spans="1:36">
      <c r="A256" s="11">
        <v>17</v>
      </c>
      <c r="B256" s="12" t="str">
        <f>المدخلات!$F$6</f>
        <v>7:20–8:50 م</v>
      </c>
      <c r="C256" s="12">
        <v>3</v>
      </c>
      <c r="D256" s="12" t="s">
        <v>17</v>
      </c>
      <c r="E256" s="12" t="s">
        <v>20</v>
      </c>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row>
    <row r="257" spans="1:36">
      <c r="A257" s="11">
        <v>17</v>
      </c>
      <c r="B257" s="12" t="str">
        <f>المدخلات!$F$6</f>
        <v>7:20–8:50 م</v>
      </c>
      <c r="C257" s="12">
        <v>4</v>
      </c>
      <c r="D257" s="12" t="s">
        <v>89</v>
      </c>
      <c r="E257" s="12" t="s">
        <v>74</v>
      </c>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row>
    <row r="258" spans="1:36">
      <c r="A258" s="11">
        <v>17</v>
      </c>
      <c r="B258" s="12" t="str">
        <f>المدخلات!$F$6</f>
        <v>7:20–8:50 م</v>
      </c>
      <c r="C258" s="12">
        <v>5</v>
      </c>
      <c r="D258" s="12" t="s">
        <v>17</v>
      </c>
      <c r="E258" s="12" t="s">
        <v>19</v>
      </c>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row>
    <row r="259" spans="1:36">
      <c r="A259" s="11">
        <v>18</v>
      </c>
      <c r="B259" s="12" t="str">
        <f>المدخلات!$F$4</f>
        <v>4:00–5:30 م</v>
      </c>
      <c r="C259" s="12">
        <v>1</v>
      </c>
      <c r="D259" s="12" t="s">
        <v>163</v>
      </c>
      <c r="E259" s="12" t="s">
        <v>215</v>
      </c>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row>
    <row r="260" spans="1:36">
      <c r="A260" s="11">
        <v>18</v>
      </c>
      <c r="B260" s="12" t="str">
        <f>المدخلات!$F$4</f>
        <v>4:00–5:30 م</v>
      </c>
      <c r="C260" s="12">
        <v>2</v>
      </c>
      <c r="D260" s="12" t="s">
        <v>274</v>
      </c>
      <c r="E260" s="12" t="s">
        <v>284</v>
      </c>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row>
    <row r="261" spans="1:36">
      <c r="A261" s="11">
        <v>18</v>
      </c>
      <c r="B261" s="12" t="str">
        <f>المدخلات!$F$4</f>
        <v>4:00–5:30 م</v>
      </c>
      <c r="C261" s="12">
        <v>3</v>
      </c>
      <c r="D261" s="12" t="s">
        <v>17</v>
      </c>
      <c r="E261" s="12" t="s">
        <v>32</v>
      </c>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row>
    <row r="262" spans="1:36">
      <c r="A262" s="11">
        <v>18</v>
      </c>
      <c r="B262" s="12" t="str">
        <f>المدخلات!$F$4</f>
        <v>4:00–5:30 م</v>
      </c>
      <c r="C262" s="12">
        <v>4</v>
      </c>
      <c r="D262" s="12" t="s">
        <v>163</v>
      </c>
      <c r="E262" s="12" t="s">
        <v>192</v>
      </c>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row>
    <row r="263" spans="1:36">
      <c r="A263" s="11">
        <v>18</v>
      </c>
      <c r="B263" s="12" t="str">
        <f>المدخلات!$F$4</f>
        <v>4:00–5:30 م</v>
      </c>
      <c r="C263" s="12">
        <v>5</v>
      </c>
      <c r="D263" s="12" t="s">
        <v>291</v>
      </c>
      <c r="E263" s="12" t="s">
        <v>311</v>
      </c>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row>
    <row r="264" spans="1:36">
      <c r="A264" s="11">
        <v>18</v>
      </c>
      <c r="B264" s="12" t="str">
        <f>المدخلات!$F$5</f>
        <v>5:40–7:10 م</v>
      </c>
      <c r="C264" s="12">
        <v>1</v>
      </c>
      <c r="D264" s="12" t="s">
        <v>163</v>
      </c>
      <c r="E264" s="12" t="s">
        <v>236</v>
      </c>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row>
    <row r="265" spans="1:36">
      <c r="A265" s="11">
        <v>18</v>
      </c>
      <c r="B265" s="12" t="str">
        <f>المدخلات!$F$5</f>
        <v>5:40–7:10 م</v>
      </c>
      <c r="C265" s="12">
        <v>2</v>
      </c>
      <c r="D265" s="12" t="s">
        <v>89</v>
      </c>
      <c r="E265" s="12" t="s">
        <v>84</v>
      </c>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row>
    <row r="266" spans="1:36">
      <c r="A266" s="11">
        <v>18</v>
      </c>
      <c r="B266" s="12" t="str">
        <f>المدخلات!$F$5</f>
        <v>5:40–7:10 م</v>
      </c>
      <c r="C266" s="12">
        <v>3</v>
      </c>
      <c r="D266" s="12" t="s">
        <v>274</v>
      </c>
      <c r="E266" s="12" t="s">
        <v>282</v>
      </c>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row>
    <row r="267" spans="1:36">
      <c r="A267" s="11">
        <v>18</v>
      </c>
      <c r="B267" s="12" t="str">
        <f>المدخلات!$F$5</f>
        <v>5:40–7:10 م</v>
      </c>
      <c r="C267" s="12">
        <v>4</v>
      </c>
      <c r="D267" s="12" t="s">
        <v>291</v>
      </c>
      <c r="E267" s="12" t="s">
        <v>314</v>
      </c>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row>
    <row r="268" spans="1:36">
      <c r="A268" s="11">
        <v>18</v>
      </c>
      <c r="B268" s="12" t="str">
        <f>المدخلات!$F$5</f>
        <v>5:40–7:10 م</v>
      </c>
      <c r="C268" s="12">
        <v>5</v>
      </c>
      <c r="D268" s="12" t="s">
        <v>89</v>
      </c>
      <c r="E268" s="12" t="s">
        <v>94</v>
      </c>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row>
    <row r="269" spans="1:36">
      <c r="A269" s="11">
        <v>18</v>
      </c>
      <c r="B269" s="12" t="str">
        <f>المدخلات!$F$6</f>
        <v>7:20–8:50 م</v>
      </c>
      <c r="C269" s="12">
        <v>1</v>
      </c>
      <c r="D269" s="12" t="s">
        <v>17</v>
      </c>
      <c r="E269" s="12" t="s">
        <v>31</v>
      </c>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row>
    <row r="270" spans="1:36">
      <c r="A270" s="11">
        <v>18</v>
      </c>
      <c r="B270" s="12" t="str">
        <f>المدخلات!$F$6</f>
        <v>7:20–8:50 م</v>
      </c>
      <c r="C270" s="12">
        <v>2</v>
      </c>
      <c r="D270" s="12" t="s">
        <v>274</v>
      </c>
      <c r="E270" s="12" t="s">
        <v>278</v>
      </c>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row>
    <row r="271" spans="1:36">
      <c r="A271" s="11">
        <v>18</v>
      </c>
      <c r="B271" s="12" t="str">
        <f>المدخلات!$F$6</f>
        <v>7:20–8:50 م</v>
      </c>
      <c r="C271" s="12">
        <v>3</v>
      </c>
      <c r="D271" s="12" t="s">
        <v>89</v>
      </c>
      <c r="E271" s="12" t="s">
        <v>98</v>
      </c>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row>
    <row r="272" spans="1:36">
      <c r="A272" s="11">
        <v>18</v>
      </c>
      <c r="B272" s="12" t="str">
        <f>المدخلات!$F$6</f>
        <v>7:20–8:50 م</v>
      </c>
      <c r="C272" s="12">
        <v>4</v>
      </c>
      <c r="D272" s="12" t="s">
        <v>17</v>
      </c>
      <c r="E272" s="12" t="s">
        <v>38</v>
      </c>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row>
    <row r="273" spans="1:36">
      <c r="A273" s="11">
        <v>18</v>
      </c>
      <c r="B273" s="12" t="str">
        <f>المدخلات!$F$6</f>
        <v>7:20–8:50 م</v>
      </c>
      <c r="C273" s="12">
        <v>5</v>
      </c>
      <c r="D273" s="12" t="s">
        <v>291</v>
      </c>
      <c r="E273" s="12" t="s">
        <v>320</v>
      </c>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row>
    <row r="274" spans="1:36">
      <c r="A274" s="11">
        <v>19</v>
      </c>
      <c r="B274" s="12" t="str">
        <f>المدخلات!$F$4</f>
        <v>4:00–5:30 م</v>
      </c>
      <c r="C274" s="12">
        <v>1</v>
      </c>
      <c r="D274" s="12" t="s">
        <v>17</v>
      </c>
      <c r="E274" s="12" t="s">
        <v>43</v>
      </c>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row>
    <row r="275" spans="1:36">
      <c r="A275" s="11">
        <v>19</v>
      </c>
      <c r="B275" s="12" t="str">
        <f>المدخلات!$F$4</f>
        <v>4:00–5:30 م</v>
      </c>
      <c r="C275" s="12">
        <v>2</v>
      </c>
      <c r="D275" s="12" t="s">
        <v>163</v>
      </c>
      <c r="E275" s="12" t="s">
        <v>235</v>
      </c>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row>
    <row r="276" spans="1:36">
      <c r="A276" s="11">
        <v>19</v>
      </c>
      <c r="B276" s="12" t="str">
        <f>المدخلات!$F$4</f>
        <v>4:00–5:30 م</v>
      </c>
      <c r="C276" s="12">
        <v>3</v>
      </c>
      <c r="D276" s="12" t="s">
        <v>163</v>
      </c>
      <c r="E276" s="12" t="s">
        <v>214</v>
      </c>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row>
    <row r="277" spans="1:36">
      <c r="A277" s="11">
        <v>19</v>
      </c>
      <c r="B277" s="12" t="str">
        <f>المدخلات!$F$4</f>
        <v>4:00–5:30 م</v>
      </c>
      <c r="C277" s="12">
        <v>4</v>
      </c>
      <c r="D277" s="12" t="s">
        <v>291</v>
      </c>
      <c r="E277" s="12" t="s">
        <v>319</v>
      </c>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row>
    <row r="278" spans="1:36">
      <c r="A278" s="11">
        <v>19</v>
      </c>
      <c r="B278" s="12" t="str">
        <f>المدخلات!$F$4</f>
        <v>4:00–5:30 م</v>
      </c>
      <c r="C278" s="12">
        <v>5</v>
      </c>
      <c r="D278" s="12" t="s">
        <v>274</v>
      </c>
      <c r="E278" s="12" t="s">
        <v>281</v>
      </c>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row>
    <row r="279" spans="1:36">
      <c r="A279" s="11">
        <v>19</v>
      </c>
      <c r="B279" s="12" t="str">
        <f>المدخلات!$F$5</f>
        <v>5:40–7:10 م</v>
      </c>
      <c r="C279" s="12">
        <v>1</v>
      </c>
      <c r="D279" s="12" t="s">
        <v>89</v>
      </c>
      <c r="E279" s="12" t="s">
        <v>103</v>
      </c>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row>
    <row r="280" spans="1:36">
      <c r="A280" s="11">
        <v>19</v>
      </c>
      <c r="B280" s="12" t="str">
        <f>المدخلات!$F$5</f>
        <v>5:40–7:10 م</v>
      </c>
      <c r="C280" s="12">
        <v>2</v>
      </c>
      <c r="D280" s="12" t="s">
        <v>17</v>
      </c>
      <c r="E280" s="12" t="s">
        <v>29</v>
      </c>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row>
    <row r="281" spans="1:36">
      <c r="A281" s="11">
        <v>19</v>
      </c>
      <c r="B281" s="12" t="str">
        <f>المدخلات!$F$5</f>
        <v>5:40–7:10 م</v>
      </c>
      <c r="C281" s="12">
        <v>3</v>
      </c>
      <c r="D281" s="12" t="s">
        <v>17</v>
      </c>
      <c r="E281" s="12" t="s">
        <v>510</v>
      </c>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row>
    <row r="282" spans="1:36">
      <c r="A282" s="11">
        <v>19</v>
      </c>
      <c r="B282" s="12" t="str">
        <f>المدخلات!$F$5</f>
        <v>5:40–7:10 م</v>
      </c>
      <c r="C282" s="12">
        <v>4</v>
      </c>
      <c r="D282" s="12" t="s">
        <v>89</v>
      </c>
      <c r="E282" s="12" t="s">
        <v>93</v>
      </c>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row>
    <row r="283" spans="1:36">
      <c r="A283" s="11">
        <v>19</v>
      </c>
      <c r="B283" s="12" t="str">
        <f>المدخلات!$F$5</f>
        <v>5:40–7:10 م</v>
      </c>
      <c r="C283" s="12">
        <v>5</v>
      </c>
      <c r="D283" s="12" t="s">
        <v>274</v>
      </c>
      <c r="E283" s="12" t="s">
        <v>287</v>
      </c>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row>
    <row r="284" spans="1:36">
      <c r="A284" s="11">
        <v>19</v>
      </c>
      <c r="B284" s="12" t="str">
        <f>المدخلات!$F$6</f>
        <v>7:20–8:50 م</v>
      </c>
      <c r="C284" s="12">
        <v>1</v>
      </c>
      <c r="D284" s="12" t="s">
        <v>291</v>
      </c>
      <c r="E284" s="12" t="s">
        <v>313</v>
      </c>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row>
    <row r="285" spans="1:36">
      <c r="A285" s="11">
        <v>19</v>
      </c>
      <c r="B285" s="12" t="str">
        <f>المدخلات!$F$6</f>
        <v>7:20–8:50 م</v>
      </c>
      <c r="C285" s="12">
        <v>2</v>
      </c>
      <c r="D285" s="12" t="s">
        <v>163</v>
      </c>
      <c r="E285" s="12" t="s">
        <v>403</v>
      </c>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row>
    <row r="286" spans="1:36">
      <c r="A286" s="11">
        <v>19</v>
      </c>
      <c r="B286" s="12" t="str">
        <f>المدخلات!$F$6</f>
        <v>7:20–8:50 م</v>
      </c>
      <c r="C286" s="12">
        <v>3</v>
      </c>
      <c r="D286" s="12" t="s">
        <v>274</v>
      </c>
      <c r="E286" s="12" t="s">
        <v>410</v>
      </c>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row>
    <row r="287" spans="1:36">
      <c r="A287" s="11">
        <v>19</v>
      </c>
      <c r="B287" s="12" t="str">
        <f>المدخلات!$F$6</f>
        <v>7:20–8:50 م</v>
      </c>
      <c r="C287" s="12">
        <v>4</v>
      </c>
      <c r="D287" s="12" t="s">
        <v>89</v>
      </c>
      <c r="E287" s="12" t="s">
        <v>398</v>
      </c>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row>
    <row r="288" spans="1:36">
      <c r="A288" s="11">
        <v>19</v>
      </c>
      <c r="B288" s="12" t="str">
        <f>المدخلات!$F$6</f>
        <v>7:20–8:50 م</v>
      </c>
      <c r="C288" s="12">
        <v>5</v>
      </c>
      <c r="D288" s="12" t="s">
        <v>291</v>
      </c>
      <c r="E288" s="12" t="s">
        <v>395</v>
      </c>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row>
    <row r="289" spans="1:36">
      <c r="A289" s="11">
        <v>20</v>
      </c>
      <c r="B289" s="12" t="str">
        <f>المدخلات!$F$4</f>
        <v>4:00–5:30 م</v>
      </c>
      <c r="C289" s="12">
        <v>1</v>
      </c>
      <c r="D289" s="12" t="s">
        <v>89</v>
      </c>
      <c r="E289" s="12" t="s">
        <v>420</v>
      </c>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row>
    <row r="290" spans="1:36">
      <c r="A290" s="11">
        <v>20</v>
      </c>
      <c r="B290" s="12" t="str">
        <f>المدخلات!$F$4</f>
        <v>4:00–5:30 م</v>
      </c>
      <c r="C290" s="12">
        <v>2</v>
      </c>
      <c r="D290" s="12" t="s">
        <v>89</v>
      </c>
      <c r="E290" s="12" t="s">
        <v>391</v>
      </c>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row>
    <row r="291" spans="1:36">
      <c r="A291" s="11">
        <v>20</v>
      </c>
      <c r="B291" s="12" t="str">
        <f>المدخلات!$F$4</f>
        <v>4:00–5:30 م</v>
      </c>
      <c r="C291" s="12">
        <v>3</v>
      </c>
      <c r="D291" s="12" t="s">
        <v>274</v>
      </c>
      <c r="E291" s="12" t="s">
        <v>393</v>
      </c>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row>
    <row r="292" spans="1:36">
      <c r="A292" s="11">
        <v>20</v>
      </c>
      <c r="B292" s="12" t="str">
        <f>المدخلات!$F$4</f>
        <v>4:00–5:30 م</v>
      </c>
      <c r="C292" s="12">
        <v>4</v>
      </c>
      <c r="D292" s="12" t="s">
        <v>274</v>
      </c>
      <c r="E292" s="12" t="s">
        <v>512</v>
      </c>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row>
    <row r="293" spans="1:36">
      <c r="A293" s="11">
        <v>20</v>
      </c>
      <c r="B293" s="12" t="str">
        <f>المدخلات!$F$4</f>
        <v>4:00–5:30 م</v>
      </c>
      <c r="C293" s="12">
        <v>5</v>
      </c>
      <c r="D293" s="12" t="s">
        <v>163</v>
      </c>
      <c r="E293" s="12" t="s">
        <v>392</v>
      </c>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row>
    <row r="294" spans="1:36">
      <c r="A294" s="11">
        <v>20</v>
      </c>
      <c r="B294" s="12" t="str">
        <f>المدخلات!$F$5</f>
        <v>5:40–7:10 م</v>
      </c>
      <c r="C294" s="12">
        <v>1</v>
      </c>
      <c r="D294" s="12" t="s">
        <v>163</v>
      </c>
      <c r="E294" s="12" t="s">
        <v>234</v>
      </c>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row>
    <row r="295" spans="1:36">
      <c r="A295" s="11">
        <v>20</v>
      </c>
      <c r="B295" s="12" t="str">
        <f>المدخلات!$F$5</f>
        <v>5:40–7:10 م</v>
      </c>
      <c r="C295" s="12">
        <v>2</v>
      </c>
      <c r="D295" s="12" t="s">
        <v>17</v>
      </c>
      <c r="E295" s="12" t="s">
        <v>390</v>
      </c>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row>
    <row r="296" spans="1:36">
      <c r="A296" s="11">
        <v>20</v>
      </c>
      <c r="B296" s="12" t="str">
        <f>المدخلات!$F$5</f>
        <v>5:40–7:10 م</v>
      </c>
      <c r="C296" s="12">
        <v>3</v>
      </c>
      <c r="D296" s="12" t="s">
        <v>291</v>
      </c>
      <c r="E296" s="12" t="s">
        <v>318</v>
      </c>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row>
    <row r="297" spans="1:36">
      <c r="A297" s="11">
        <v>20</v>
      </c>
      <c r="B297" s="12" t="str">
        <f>المدخلات!$F$5</f>
        <v>5:40–7:10 م</v>
      </c>
      <c r="C297" s="12">
        <v>4</v>
      </c>
      <c r="D297" s="12" t="s">
        <v>291</v>
      </c>
      <c r="E297" s="12" t="s">
        <v>513</v>
      </c>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row>
    <row r="298" spans="1:36">
      <c r="A298" s="11">
        <v>20</v>
      </c>
      <c r="B298" s="12" t="str">
        <f>المدخلات!$F$5</f>
        <v>5:40–7:10 م</v>
      </c>
      <c r="C298" s="12">
        <v>5</v>
      </c>
      <c r="D298" s="12" t="s">
        <v>291</v>
      </c>
      <c r="E298" s="12" t="s">
        <v>394</v>
      </c>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row>
    <row r="299" spans="1:36">
      <c r="A299" s="11">
        <v>20</v>
      </c>
      <c r="B299" s="12" t="str">
        <f>المدخلات!$F$6</f>
        <v>7:20–8:50 م</v>
      </c>
      <c r="C299" s="12">
        <v>1</v>
      </c>
      <c r="D299" s="12" t="s">
        <v>17</v>
      </c>
      <c r="E299" s="12" t="s">
        <v>511</v>
      </c>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row>
    <row r="300" spans="1:36">
      <c r="A300" s="11">
        <v>20</v>
      </c>
      <c r="B300" s="12" t="str">
        <f>المدخلات!$F$6</f>
        <v>7:20–8:50 م</v>
      </c>
      <c r="C300" s="12">
        <v>2</v>
      </c>
      <c r="D300" s="12" t="s">
        <v>89</v>
      </c>
      <c r="E300" s="12" t="s">
        <v>102</v>
      </c>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row>
    <row r="301" spans="1:36">
      <c r="A301" s="11">
        <v>20</v>
      </c>
      <c r="B301" s="12" t="str">
        <f>المدخلات!$F$6</f>
        <v>7:20–8:50 م</v>
      </c>
      <c r="C301" s="12">
        <v>3</v>
      </c>
      <c r="D301" s="12" t="s">
        <v>163</v>
      </c>
      <c r="E301" s="12" t="s">
        <v>402</v>
      </c>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row>
    <row r="302" spans="1:36">
      <c r="A302" s="11">
        <v>20</v>
      </c>
      <c r="B302" s="12" t="str">
        <f>المدخلات!$F$6</f>
        <v>7:20–8:50 م</v>
      </c>
      <c r="C302" s="12">
        <v>4</v>
      </c>
      <c r="D302" s="12" t="s">
        <v>274</v>
      </c>
      <c r="E302" s="12" t="s">
        <v>286</v>
      </c>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row>
    <row r="303" spans="1:36">
      <c r="A303" s="11">
        <v>20</v>
      </c>
      <c r="B303" s="12" t="str">
        <f>المدخلات!$F$6</f>
        <v>7:20–8:50 م</v>
      </c>
      <c r="C303" s="12">
        <v>5</v>
      </c>
      <c r="D303" s="12" t="s">
        <v>17</v>
      </c>
      <c r="E303" s="12" t="s">
        <v>42</v>
      </c>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row>
    <row r="304" spans="1:36">
      <c r="A304" s="11">
        <v>21</v>
      </c>
      <c r="B304" s="12" t="str">
        <f>المدخلات!$F$4</f>
        <v>4:00–5:30 م</v>
      </c>
      <c r="C304" s="12">
        <v>1</v>
      </c>
      <c r="D304" s="12" t="s">
        <v>17</v>
      </c>
      <c r="E304" s="12" t="s">
        <v>385</v>
      </c>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row>
    <row r="305" spans="1:36">
      <c r="A305" s="11">
        <v>21</v>
      </c>
      <c r="B305" s="12" t="str">
        <f>المدخلات!$F$4</f>
        <v>4:00–5:30 م</v>
      </c>
      <c r="C305" s="12">
        <v>2</v>
      </c>
      <c r="D305" s="12" t="s">
        <v>291</v>
      </c>
      <c r="E305" s="12" t="s">
        <v>389</v>
      </c>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row>
    <row r="306" spans="1:36">
      <c r="A306" s="11">
        <v>21</v>
      </c>
      <c r="B306" s="12" t="str">
        <f>المدخلات!$F$4</f>
        <v>4:00–5:30 م</v>
      </c>
      <c r="C306" s="12">
        <v>3</v>
      </c>
      <c r="D306" s="12" t="s">
        <v>89</v>
      </c>
      <c r="E306" s="12" t="s">
        <v>381</v>
      </c>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row>
    <row r="307" spans="1:36">
      <c r="A307" s="11">
        <v>21</v>
      </c>
      <c r="B307" s="12" t="str">
        <f>المدخلات!$F$4</f>
        <v>4:00–5:30 م</v>
      </c>
      <c r="C307" s="12">
        <v>4</v>
      </c>
      <c r="D307" s="12" t="s">
        <v>17</v>
      </c>
      <c r="E307" s="12" t="s">
        <v>380</v>
      </c>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row>
    <row r="308" spans="1:36">
      <c r="A308" s="11">
        <v>21</v>
      </c>
      <c r="B308" s="12" t="str">
        <f>المدخلات!$F$4</f>
        <v>4:00–5:30 م</v>
      </c>
      <c r="C308" s="12">
        <v>5</v>
      </c>
      <c r="D308" s="12" t="s">
        <v>17</v>
      </c>
      <c r="E308" s="12" t="s">
        <v>514</v>
      </c>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row>
    <row r="309" spans="1:36">
      <c r="A309" s="11">
        <v>21</v>
      </c>
      <c r="B309" s="12" t="str">
        <f>المدخلات!$F$5</f>
        <v>5:40–7:10 م</v>
      </c>
      <c r="C309" s="12">
        <v>1</v>
      </c>
      <c r="D309" s="12" t="s">
        <v>274</v>
      </c>
      <c r="E309" s="12" t="s">
        <v>388</v>
      </c>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row>
    <row r="310" spans="1:36">
      <c r="A310" s="11">
        <v>21</v>
      </c>
      <c r="B310" s="12" t="str">
        <f>المدخلات!$F$5</f>
        <v>5:40–7:10 م</v>
      </c>
      <c r="C310" s="12">
        <v>2</v>
      </c>
      <c r="D310" s="12" t="s">
        <v>274</v>
      </c>
      <c r="E310" s="12" t="s">
        <v>515</v>
      </c>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row>
    <row r="311" spans="1:36">
      <c r="A311" s="11">
        <v>21</v>
      </c>
      <c r="B311" s="12" t="str">
        <f>المدخلات!$F$5</f>
        <v>5:40–7:10 م</v>
      </c>
      <c r="C311" s="12">
        <v>3</v>
      </c>
      <c r="D311" s="12" t="s">
        <v>89</v>
      </c>
      <c r="E311" s="12" t="s">
        <v>386</v>
      </c>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row>
    <row r="312" spans="1:36">
      <c r="A312" s="11">
        <v>21</v>
      </c>
      <c r="B312" s="12" t="str">
        <f>المدخلات!$F$5</f>
        <v>5:40–7:10 م</v>
      </c>
      <c r="C312" s="12">
        <v>4</v>
      </c>
      <c r="D312" s="12" t="s">
        <v>89</v>
      </c>
      <c r="E312" s="12" t="s">
        <v>431</v>
      </c>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row>
    <row r="313" spans="1:36">
      <c r="A313" s="11">
        <v>21</v>
      </c>
      <c r="B313" s="12" t="str">
        <f>المدخلات!$F$5</f>
        <v>5:40–7:10 م</v>
      </c>
      <c r="C313" s="12">
        <v>5</v>
      </c>
      <c r="D313" s="12" t="s">
        <v>163</v>
      </c>
      <c r="E313" s="12" t="s">
        <v>382</v>
      </c>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row>
    <row r="314" spans="1:36">
      <c r="A314" s="11">
        <v>21</v>
      </c>
      <c r="B314" s="12" t="str">
        <f>المدخلات!$F$6</f>
        <v>7:20–8:50 م</v>
      </c>
      <c r="C314" s="12">
        <v>1</v>
      </c>
      <c r="D314" s="12" t="s">
        <v>291</v>
      </c>
      <c r="E314" s="12" t="s">
        <v>516</v>
      </c>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row>
    <row r="315" spans="1:36">
      <c r="A315" s="11">
        <v>21</v>
      </c>
      <c r="B315" s="12" t="str">
        <f>المدخلات!$F$6</f>
        <v>7:20–8:50 م</v>
      </c>
      <c r="C315" s="12">
        <v>2</v>
      </c>
      <c r="D315" s="12" t="s">
        <v>274</v>
      </c>
      <c r="E315" s="12" t="s">
        <v>383</v>
      </c>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row>
    <row r="316" spans="1:36">
      <c r="A316" s="11">
        <v>21</v>
      </c>
      <c r="B316" s="12" t="str">
        <f>المدخلات!$F$6</f>
        <v>7:20–8:50 م</v>
      </c>
      <c r="C316" s="12">
        <v>3</v>
      </c>
      <c r="D316" s="12" t="s">
        <v>291</v>
      </c>
      <c r="E316" s="12" t="s">
        <v>384</v>
      </c>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row>
    <row r="317" spans="1:36">
      <c r="A317" s="11">
        <v>21</v>
      </c>
      <c r="B317" s="12" t="str">
        <f>المدخلات!$F$6</f>
        <v>7:20–8:50 م</v>
      </c>
      <c r="C317" s="12">
        <v>4</v>
      </c>
      <c r="D317" s="12" t="s">
        <v>163</v>
      </c>
      <c r="E317" s="12" t="s">
        <v>399</v>
      </c>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row>
    <row r="318" spans="1:36">
      <c r="A318" s="11">
        <v>21</v>
      </c>
      <c r="B318" s="12" t="str">
        <f>المدخلات!$F$6</f>
        <v>7:20–8:50 م</v>
      </c>
      <c r="C318" s="12">
        <v>5</v>
      </c>
      <c r="D318" s="12" t="s">
        <v>163</v>
      </c>
      <c r="E318" s="12" t="s">
        <v>387</v>
      </c>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row>
    <row r="319" spans="1:36">
      <c r="A319" s="11">
        <v>22</v>
      </c>
      <c r="B319" s="12" t="str">
        <f>المدخلات!$F$4</f>
        <v>4:00–5:30 م</v>
      </c>
      <c r="C319" s="12">
        <v>1</v>
      </c>
      <c r="D319" s="12" t="s">
        <v>295</v>
      </c>
      <c r="E319" s="12" t="s">
        <v>296</v>
      </c>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row>
    <row r="320" spans="1:36">
      <c r="A320" s="11">
        <v>22</v>
      </c>
      <c r="B320" s="12" t="str">
        <f>المدخلات!$F$4</f>
        <v>4:00–5:30 م</v>
      </c>
      <c r="C320" s="12">
        <v>2</v>
      </c>
      <c r="D320" s="12" t="s">
        <v>295</v>
      </c>
      <c r="E320" s="12" t="s">
        <v>297</v>
      </c>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row>
    <row r="321" spans="1:36">
      <c r="A321" s="11">
        <v>22</v>
      </c>
      <c r="B321" s="12" t="str">
        <f>المدخلات!$F$4</f>
        <v>4:00–5:30 م</v>
      </c>
      <c r="C321" s="12">
        <v>3</v>
      </c>
      <c r="D321" s="12" t="s">
        <v>295</v>
      </c>
      <c r="E321" s="12" t="s">
        <v>298</v>
      </c>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row>
    <row r="322" spans="1:36">
      <c r="A322" s="11">
        <v>22</v>
      </c>
      <c r="B322" s="12" t="str">
        <f>المدخلات!$F$4</f>
        <v>4:00–5:30 م</v>
      </c>
      <c r="C322" s="12">
        <v>4</v>
      </c>
      <c r="D322" s="12" t="s">
        <v>295</v>
      </c>
      <c r="E322" s="12" t="s">
        <v>299</v>
      </c>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row>
    <row r="323" spans="1:36">
      <c r="A323" s="11">
        <v>22</v>
      </c>
      <c r="B323" s="12" t="str">
        <f>المدخلات!$F$6</f>
        <v>7:20–8:50 م</v>
      </c>
      <c r="C323" s="12">
        <v>1</v>
      </c>
      <c r="D323" s="12" t="s">
        <v>169</v>
      </c>
      <c r="E323" s="12" t="s">
        <v>300</v>
      </c>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row>
    <row r="324" spans="1:36">
      <c r="A324" s="11">
        <v>22</v>
      </c>
      <c r="B324" s="12" t="str">
        <f>المدخلات!$F$6</f>
        <v>7:20–8:50 م</v>
      </c>
      <c r="C324" s="12">
        <v>2</v>
      </c>
      <c r="D324" s="12" t="s">
        <v>169</v>
      </c>
      <c r="E324" s="12" t="s">
        <v>301</v>
      </c>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row>
    <row r="325" spans="1:36">
      <c r="A325" s="11">
        <v>23</v>
      </c>
      <c r="B325" s="12" t="str">
        <f>المدخلات!$F$4</f>
        <v>4:00–5:30 م</v>
      </c>
      <c r="C325" s="12">
        <v>1</v>
      </c>
      <c r="D325" s="12" t="s">
        <v>95</v>
      </c>
      <c r="E325" s="12" t="s">
        <v>172</v>
      </c>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row>
    <row r="326" spans="1:36">
      <c r="A326" s="11"/>
      <c r="B326" s="12"/>
      <c r="C326" s="12"/>
      <c r="D326" s="12"/>
      <c r="E326" s="12"/>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row>
    <row r="327" spans="1:36" ht="15.5">
      <c r="A327" s="53" t="s">
        <v>363</v>
      </c>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c r="AB327" s="53"/>
      <c r="AC327" s="53"/>
      <c r="AD327" s="53"/>
      <c r="AE327" s="53"/>
      <c r="AF327" s="53"/>
      <c r="AG327" s="53"/>
      <c r="AH327" s="53"/>
      <c r="AI327" s="53"/>
      <c r="AJ327" s="53"/>
    </row>
    <row r="328" spans="1:36">
      <c r="A328" s="9" t="s">
        <v>362</v>
      </c>
      <c r="B328" s="9">
        <v>1</v>
      </c>
      <c r="C328" s="9">
        <v>2</v>
      </c>
      <c r="D328" s="9">
        <v>3</v>
      </c>
      <c r="E328" s="9">
        <v>4</v>
      </c>
      <c r="F328" s="9">
        <v>5</v>
      </c>
      <c r="G328" s="9">
        <v>6</v>
      </c>
      <c r="H328" s="9">
        <v>7</v>
      </c>
      <c r="I328" s="9">
        <v>8</v>
      </c>
      <c r="J328" s="9">
        <v>9</v>
      </c>
      <c r="K328" s="9">
        <v>10</v>
      </c>
      <c r="L328" s="9">
        <v>11</v>
      </c>
      <c r="M328" s="9">
        <v>12</v>
      </c>
      <c r="N328" s="9">
        <v>13</v>
      </c>
      <c r="O328" s="9">
        <v>14</v>
      </c>
      <c r="P328" s="9">
        <v>15</v>
      </c>
      <c r="Q328" s="9">
        <v>16</v>
      </c>
      <c r="R328" s="9">
        <v>17</v>
      </c>
      <c r="S328" s="9">
        <v>18</v>
      </c>
      <c r="T328" s="9">
        <v>19</v>
      </c>
      <c r="U328" s="9">
        <v>20</v>
      </c>
      <c r="V328" s="9">
        <v>21</v>
      </c>
      <c r="W328" s="9">
        <v>22</v>
      </c>
      <c r="X328" s="9">
        <v>23</v>
      </c>
      <c r="Y328" s="9">
        <v>24</v>
      </c>
      <c r="Z328" s="9">
        <v>25</v>
      </c>
      <c r="AA328" s="9">
        <v>26</v>
      </c>
      <c r="AB328" s="9">
        <v>27</v>
      </c>
      <c r="AC328" s="9">
        <v>28</v>
      </c>
      <c r="AD328" s="9">
        <v>29</v>
      </c>
      <c r="AE328" s="9">
        <v>30</v>
      </c>
      <c r="AF328" s="9">
        <v>31</v>
      </c>
      <c r="AG328" s="9">
        <v>32</v>
      </c>
      <c r="AH328" s="9">
        <v>33</v>
      </c>
      <c r="AI328" s="9">
        <v>34</v>
      </c>
      <c r="AJ328" s="9">
        <v>35</v>
      </c>
    </row>
    <row r="329" spans="1:36">
      <c r="A329" s="9">
        <v>1</v>
      </c>
      <c r="B329" s="12" t="str">
        <f t="shared" ref="B329:K338" si="0">IF($A329=B$328,"",COUNTIF($E$4:$E$325,$A329&amp;" ضد "&amp;B$328)+COUNTIF($E$4:$E$325,B$328&amp;" ضد "&amp;$A329))</f>
        <v/>
      </c>
      <c r="C329" s="12">
        <f t="shared" si="0"/>
        <v>3</v>
      </c>
      <c r="D329" s="12">
        <f t="shared" si="0"/>
        <v>3</v>
      </c>
      <c r="E329" s="12">
        <f t="shared" si="0"/>
        <v>3</v>
      </c>
      <c r="F329" s="12">
        <f t="shared" si="0"/>
        <v>3</v>
      </c>
      <c r="G329" s="12">
        <f t="shared" si="0"/>
        <v>3</v>
      </c>
      <c r="H329" s="12">
        <f t="shared" si="0"/>
        <v>3</v>
      </c>
      <c r="I329" s="12">
        <f t="shared" si="0"/>
        <v>0</v>
      </c>
      <c r="J329" s="12">
        <f t="shared" si="0"/>
        <v>0</v>
      </c>
      <c r="K329" s="12">
        <f t="shared" si="0"/>
        <v>0</v>
      </c>
      <c r="L329" s="12">
        <f t="shared" ref="L329:U338" si="1">IF($A329=L$328,"",COUNTIF($E$4:$E$325,$A329&amp;" ضد "&amp;L$328)+COUNTIF($E$4:$E$325,L$328&amp;" ضد "&amp;$A329))</f>
        <v>0</v>
      </c>
      <c r="M329" s="12">
        <f t="shared" si="1"/>
        <v>0</v>
      </c>
      <c r="N329" s="12">
        <f t="shared" si="1"/>
        <v>0</v>
      </c>
      <c r="O329" s="12">
        <f t="shared" si="1"/>
        <v>0</v>
      </c>
      <c r="P329" s="12">
        <f t="shared" si="1"/>
        <v>0</v>
      </c>
      <c r="Q329" s="12">
        <f t="shared" si="1"/>
        <v>0</v>
      </c>
      <c r="R329" s="12">
        <f t="shared" si="1"/>
        <v>0</v>
      </c>
      <c r="S329" s="12">
        <f t="shared" si="1"/>
        <v>0</v>
      </c>
      <c r="T329" s="12">
        <f t="shared" si="1"/>
        <v>0</v>
      </c>
      <c r="U329" s="12">
        <f t="shared" si="1"/>
        <v>0</v>
      </c>
      <c r="V329" s="12">
        <f t="shared" ref="V329:AJ338" si="2">IF($A329=V$328,"",COUNTIF($E$4:$E$325,$A329&amp;" ضد "&amp;V$328)+COUNTIF($E$4:$E$325,V$328&amp;" ضد "&amp;$A329))</f>
        <v>0</v>
      </c>
      <c r="W329" s="12">
        <f t="shared" si="2"/>
        <v>0</v>
      </c>
      <c r="X329" s="12">
        <f t="shared" si="2"/>
        <v>0</v>
      </c>
      <c r="Y329" s="12">
        <f t="shared" si="2"/>
        <v>0</v>
      </c>
      <c r="Z329" s="12">
        <f t="shared" si="2"/>
        <v>0</v>
      </c>
      <c r="AA329" s="12">
        <f t="shared" si="2"/>
        <v>0</v>
      </c>
      <c r="AB329" s="12">
        <f t="shared" si="2"/>
        <v>0</v>
      </c>
      <c r="AC329" s="12">
        <f t="shared" si="2"/>
        <v>0</v>
      </c>
      <c r="AD329" s="12">
        <f t="shared" si="2"/>
        <v>0</v>
      </c>
      <c r="AE329" s="12">
        <f t="shared" si="2"/>
        <v>0</v>
      </c>
      <c r="AF329" s="12">
        <f t="shared" si="2"/>
        <v>0</v>
      </c>
      <c r="AG329" s="12">
        <f t="shared" si="2"/>
        <v>0</v>
      </c>
      <c r="AH329" s="12">
        <f t="shared" si="2"/>
        <v>0</v>
      </c>
      <c r="AI329" s="12">
        <f t="shared" si="2"/>
        <v>0</v>
      </c>
      <c r="AJ329" s="12">
        <f t="shared" si="2"/>
        <v>0</v>
      </c>
    </row>
    <row r="330" spans="1:36">
      <c r="A330" s="9">
        <v>2</v>
      </c>
      <c r="B330" s="12">
        <f t="shared" si="0"/>
        <v>3</v>
      </c>
      <c r="C330" s="12" t="str">
        <f t="shared" si="0"/>
        <v/>
      </c>
      <c r="D330" s="12">
        <f t="shared" si="0"/>
        <v>3</v>
      </c>
      <c r="E330" s="12">
        <f t="shared" si="0"/>
        <v>3</v>
      </c>
      <c r="F330" s="12">
        <f t="shared" si="0"/>
        <v>3</v>
      </c>
      <c r="G330" s="12">
        <f t="shared" si="0"/>
        <v>3</v>
      </c>
      <c r="H330" s="12">
        <f t="shared" si="0"/>
        <v>3</v>
      </c>
      <c r="I330" s="12">
        <f t="shared" si="0"/>
        <v>0</v>
      </c>
      <c r="J330" s="12">
        <f t="shared" si="0"/>
        <v>0</v>
      </c>
      <c r="K330" s="12">
        <f t="shared" si="0"/>
        <v>0</v>
      </c>
      <c r="L330" s="12">
        <f t="shared" si="1"/>
        <v>0</v>
      </c>
      <c r="M330" s="12">
        <f t="shared" si="1"/>
        <v>0</v>
      </c>
      <c r="N330" s="12">
        <f t="shared" si="1"/>
        <v>0</v>
      </c>
      <c r="O330" s="12">
        <f t="shared" si="1"/>
        <v>0</v>
      </c>
      <c r="P330" s="12">
        <f t="shared" si="1"/>
        <v>0</v>
      </c>
      <c r="Q330" s="12">
        <f t="shared" si="1"/>
        <v>0</v>
      </c>
      <c r="R330" s="12">
        <f t="shared" si="1"/>
        <v>0</v>
      </c>
      <c r="S330" s="12">
        <f t="shared" si="1"/>
        <v>0</v>
      </c>
      <c r="T330" s="12">
        <f t="shared" si="1"/>
        <v>0</v>
      </c>
      <c r="U330" s="12">
        <f t="shared" si="1"/>
        <v>0</v>
      </c>
      <c r="V330" s="12">
        <f t="shared" si="2"/>
        <v>0</v>
      </c>
      <c r="W330" s="12">
        <f t="shared" si="2"/>
        <v>0</v>
      </c>
      <c r="X330" s="12">
        <f t="shared" si="2"/>
        <v>0</v>
      </c>
      <c r="Y330" s="12">
        <f t="shared" si="2"/>
        <v>0</v>
      </c>
      <c r="Z330" s="12">
        <f t="shared" si="2"/>
        <v>0</v>
      </c>
      <c r="AA330" s="12">
        <f t="shared" si="2"/>
        <v>0</v>
      </c>
      <c r="AB330" s="12">
        <f t="shared" si="2"/>
        <v>0</v>
      </c>
      <c r="AC330" s="12">
        <f t="shared" si="2"/>
        <v>0</v>
      </c>
      <c r="AD330" s="12">
        <f t="shared" si="2"/>
        <v>0</v>
      </c>
      <c r="AE330" s="12">
        <f t="shared" si="2"/>
        <v>0</v>
      </c>
      <c r="AF330" s="12">
        <f t="shared" si="2"/>
        <v>0</v>
      </c>
      <c r="AG330" s="12">
        <f t="shared" si="2"/>
        <v>0</v>
      </c>
      <c r="AH330" s="12">
        <f t="shared" si="2"/>
        <v>0</v>
      </c>
      <c r="AI330" s="12">
        <f t="shared" si="2"/>
        <v>0</v>
      </c>
      <c r="AJ330" s="12">
        <f t="shared" si="2"/>
        <v>0</v>
      </c>
    </row>
    <row r="331" spans="1:36">
      <c r="A331" s="9">
        <v>3</v>
      </c>
      <c r="B331" s="12">
        <f t="shared" si="0"/>
        <v>3</v>
      </c>
      <c r="C331" s="12">
        <f t="shared" si="0"/>
        <v>3</v>
      </c>
      <c r="D331" s="12" t="str">
        <f t="shared" si="0"/>
        <v/>
      </c>
      <c r="E331" s="12">
        <f t="shared" si="0"/>
        <v>3</v>
      </c>
      <c r="F331" s="12">
        <f t="shared" si="0"/>
        <v>3</v>
      </c>
      <c r="G331" s="12">
        <f t="shared" si="0"/>
        <v>3</v>
      </c>
      <c r="H331" s="12">
        <f t="shared" si="0"/>
        <v>3</v>
      </c>
      <c r="I331" s="12">
        <f t="shared" si="0"/>
        <v>0</v>
      </c>
      <c r="J331" s="12">
        <f t="shared" si="0"/>
        <v>0</v>
      </c>
      <c r="K331" s="12">
        <f t="shared" si="0"/>
        <v>0</v>
      </c>
      <c r="L331" s="12">
        <f t="shared" si="1"/>
        <v>0</v>
      </c>
      <c r="M331" s="12">
        <f t="shared" si="1"/>
        <v>0</v>
      </c>
      <c r="N331" s="12">
        <f t="shared" si="1"/>
        <v>0</v>
      </c>
      <c r="O331" s="12">
        <f t="shared" si="1"/>
        <v>0</v>
      </c>
      <c r="P331" s="12">
        <f t="shared" si="1"/>
        <v>0</v>
      </c>
      <c r="Q331" s="12">
        <f t="shared" si="1"/>
        <v>0</v>
      </c>
      <c r="R331" s="12">
        <f t="shared" si="1"/>
        <v>0</v>
      </c>
      <c r="S331" s="12">
        <f t="shared" si="1"/>
        <v>0</v>
      </c>
      <c r="T331" s="12">
        <f t="shared" si="1"/>
        <v>0</v>
      </c>
      <c r="U331" s="12">
        <f t="shared" si="1"/>
        <v>0</v>
      </c>
      <c r="V331" s="12">
        <f t="shared" si="2"/>
        <v>0</v>
      </c>
      <c r="W331" s="12">
        <f t="shared" si="2"/>
        <v>0</v>
      </c>
      <c r="X331" s="12">
        <f t="shared" si="2"/>
        <v>0</v>
      </c>
      <c r="Y331" s="12">
        <f t="shared" si="2"/>
        <v>0</v>
      </c>
      <c r="Z331" s="12">
        <f t="shared" si="2"/>
        <v>0</v>
      </c>
      <c r="AA331" s="12">
        <f t="shared" si="2"/>
        <v>0</v>
      </c>
      <c r="AB331" s="12">
        <f t="shared" si="2"/>
        <v>0</v>
      </c>
      <c r="AC331" s="12">
        <f t="shared" si="2"/>
        <v>0</v>
      </c>
      <c r="AD331" s="12">
        <f t="shared" si="2"/>
        <v>0</v>
      </c>
      <c r="AE331" s="12">
        <f t="shared" si="2"/>
        <v>0</v>
      </c>
      <c r="AF331" s="12">
        <f t="shared" si="2"/>
        <v>0</v>
      </c>
      <c r="AG331" s="12">
        <f t="shared" si="2"/>
        <v>0</v>
      </c>
      <c r="AH331" s="12">
        <f t="shared" si="2"/>
        <v>0</v>
      </c>
      <c r="AI331" s="12">
        <f t="shared" si="2"/>
        <v>0</v>
      </c>
      <c r="AJ331" s="12">
        <f t="shared" si="2"/>
        <v>0</v>
      </c>
    </row>
    <row r="332" spans="1:36">
      <c r="A332" s="9">
        <v>4</v>
      </c>
      <c r="B332" s="12">
        <f t="shared" si="0"/>
        <v>3</v>
      </c>
      <c r="C332" s="12">
        <f t="shared" si="0"/>
        <v>3</v>
      </c>
      <c r="D332" s="12">
        <f t="shared" si="0"/>
        <v>3</v>
      </c>
      <c r="E332" s="12" t="str">
        <f t="shared" si="0"/>
        <v/>
      </c>
      <c r="F332" s="12">
        <f t="shared" si="0"/>
        <v>3</v>
      </c>
      <c r="G332" s="12">
        <f t="shared" si="0"/>
        <v>3</v>
      </c>
      <c r="H332" s="12">
        <f t="shared" si="0"/>
        <v>3</v>
      </c>
      <c r="I332" s="12">
        <f t="shared" si="0"/>
        <v>0</v>
      </c>
      <c r="J332" s="12">
        <f t="shared" si="0"/>
        <v>0</v>
      </c>
      <c r="K332" s="12">
        <f t="shared" si="0"/>
        <v>0</v>
      </c>
      <c r="L332" s="12">
        <f t="shared" si="1"/>
        <v>0</v>
      </c>
      <c r="M332" s="12">
        <f t="shared" si="1"/>
        <v>0</v>
      </c>
      <c r="N332" s="12">
        <f t="shared" si="1"/>
        <v>0</v>
      </c>
      <c r="O332" s="12">
        <f t="shared" si="1"/>
        <v>0</v>
      </c>
      <c r="P332" s="12">
        <f t="shared" si="1"/>
        <v>0</v>
      </c>
      <c r="Q332" s="12">
        <f t="shared" si="1"/>
        <v>0</v>
      </c>
      <c r="R332" s="12">
        <f t="shared" si="1"/>
        <v>0</v>
      </c>
      <c r="S332" s="12">
        <f t="shared" si="1"/>
        <v>0</v>
      </c>
      <c r="T332" s="12">
        <f t="shared" si="1"/>
        <v>0</v>
      </c>
      <c r="U332" s="12">
        <f t="shared" si="1"/>
        <v>0</v>
      </c>
      <c r="V332" s="12">
        <f t="shared" si="2"/>
        <v>0</v>
      </c>
      <c r="W332" s="12">
        <f t="shared" si="2"/>
        <v>0</v>
      </c>
      <c r="X332" s="12">
        <f t="shared" si="2"/>
        <v>0</v>
      </c>
      <c r="Y332" s="12">
        <f t="shared" si="2"/>
        <v>0</v>
      </c>
      <c r="Z332" s="12">
        <f t="shared" si="2"/>
        <v>0</v>
      </c>
      <c r="AA332" s="12">
        <f t="shared" si="2"/>
        <v>0</v>
      </c>
      <c r="AB332" s="12">
        <f t="shared" si="2"/>
        <v>0</v>
      </c>
      <c r="AC332" s="12">
        <f t="shared" si="2"/>
        <v>0</v>
      </c>
      <c r="AD332" s="12">
        <f t="shared" si="2"/>
        <v>0</v>
      </c>
      <c r="AE332" s="12">
        <f t="shared" si="2"/>
        <v>0</v>
      </c>
      <c r="AF332" s="12">
        <f t="shared" si="2"/>
        <v>0</v>
      </c>
      <c r="AG332" s="12">
        <f t="shared" si="2"/>
        <v>0</v>
      </c>
      <c r="AH332" s="12">
        <f t="shared" si="2"/>
        <v>0</v>
      </c>
      <c r="AI332" s="12">
        <f t="shared" si="2"/>
        <v>0</v>
      </c>
      <c r="AJ332" s="12">
        <f t="shared" si="2"/>
        <v>0</v>
      </c>
    </row>
    <row r="333" spans="1:36">
      <c r="A333" s="9">
        <v>5</v>
      </c>
      <c r="B333" s="12">
        <f t="shared" si="0"/>
        <v>3</v>
      </c>
      <c r="C333" s="12">
        <f t="shared" si="0"/>
        <v>3</v>
      </c>
      <c r="D333" s="12">
        <f t="shared" si="0"/>
        <v>3</v>
      </c>
      <c r="E333" s="12">
        <f t="shared" si="0"/>
        <v>3</v>
      </c>
      <c r="F333" s="12" t="str">
        <f t="shared" si="0"/>
        <v/>
      </c>
      <c r="G333" s="12">
        <f t="shared" si="0"/>
        <v>3</v>
      </c>
      <c r="H333" s="12">
        <f t="shared" si="0"/>
        <v>3</v>
      </c>
      <c r="I333" s="12">
        <f t="shared" si="0"/>
        <v>0</v>
      </c>
      <c r="J333" s="12">
        <f t="shared" si="0"/>
        <v>0</v>
      </c>
      <c r="K333" s="12">
        <f t="shared" si="0"/>
        <v>0</v>
      </c>
      <c r="L333" s="12">
        <f t="shared" si="1"/>
        <v>0</v>
      </c>
      <c r="M333" s="12">
        <f t="shared" si="1"/>
        <v>0</v>
      </c>
      <c r="N333" s="12">
        <f t="shared" si="1"/>
        <v>0</v>
      </c>
      <c r="O333" s="12">
        <f t="shared" si="1"/>
        <v>0</v>
      </c>
      <c r="P333" s="12">
        <f t="shared" si="1"/>
        <v>0</v>
      </c>
      <c r="Q333" s="12">
        <f t="shared" si="1"/>
        <v>0</v>
      </c>
      <c r="R333" s="12">
        <f t="shared" si="1"/>
        <v>0</v>
      </c>
      <c r="S333" s="12">
        <f t="shared" si="1"/>
        <v>0</v>
      </c>
      <c r="T333" s="12">
        <f t="shared" si="1"/>
        <v>0</v>
      </c>
      <c r="U333" s="12">
        <f t="shared" si="1"/>
        <v>0</v>
      </c>
      <c r="V333" s="12">
        <f t="shared" si="2"/>
        <v>0</v>
      </c>
      <c r="W333" s="12">
        <f t="shared" si="2"/>
        <v>0</v>
      </c>
      <c r="X333" s="12">
        <f t="shared" si="2"/>
        <v>0</v>
      </c>
      <c r="Y333" s="12">
        <f t="shared" si="2"/>
        <v>0</v>
      </c>
      <c r="Z333" s="12">
        <f t="shared" si="2"/>
        <v>0</v>
      </c>
      <c r="AA333" s="12">
        <f t="shared" si="2"/>
        <v>0</v>
      </c>
      <c r="AB333" s="12">
        <f t="shared" si="2"/>
        <v>0</v>
      </c>
      <c r="AC333" s="12">
        <f t="shared" si="2"/>
        <v>0</v>
      </c>
      <c r="AD333" s="12">
        <f t="shared" si="2"/>
        <v>0</v>
      </c>
      <c r="AE333" s="12">
        <f t="shared" si="2"/>
        <v>0</v>
      </c>
      <c r="AF333" s="12">
        <f t="shared" si="2"/>
        <v>0</v>
      </c>
      <c r="AG333" s="12">
        <f t="shared" si="2"/>
        <v>0</v>
      </c>
      <c r="AH333" s="12">
        <f t="shared" si="2"/>
        <v>0</v>
      </c>
      <c r="AI333" s="12">
        <f t="shared" si="2"/>
        <v>0</v>
      </c>
      <c r="AJ333" s="12">
        <f t="shared" si="2"/>
        <v>0</v>
      </c>
    </row>
    <row r="334" spans="1:36">
      <c r="A334" s="9">
        <v>6</v>
      </c>
      <c r="B334" s="12">
        <f t="shared" si="0"/>
        <v>3</v>
      </c>
      <c r="C334" s="12">
        <f t="shared" si="0"/>
        <v>3</v>
      </c>
      <c r="D334" s="12">
        <f t="shared" si="0"/>
        <v>3</v>
      </c>
      <c r="E334" s="12">
        <f t="shared" si="0"/>
        <v>3</v>
      </c>
      <c r="F334" s="12">
        <f t="shared" si="0"/>
        <v>3</v>
      </c>
      <c r="G334" s="12" t="str">
        <f t="shared" si="0"/>
        <v/>
      </c>
      <c r="H334" s="12">
        <f t="shared" si="0"/>
        <v>3</v>
      </c>
      <c r="I334" s="12">
        <f t="shared" si="0"/>
        <v>0</v>
      </c>
      <c r="J334" s="12">
        <f t="shared" si="0"/>
        <v>0</v>
      </c>
      <c r="K334" s="12">
        <f t="shared" si="0"/>
        <v>0</v>
      </c>
      <c r="L334" s="12">
        <f t="shared" si="1"/>
        <v>0</v>
      </c>
      <c r="M334" s="12">
        <f t="shared" si="1"/>
        <v>0</v>
      </c>
      <c r="N334" s="12">
        <f t="shared" si="1"/>
        <v>0</v>
      </c>
      <c r="O334" s="12">
        <f t="shared" si="1"/>
        <v>0</v>
      </c>
      <c r="P334" s="12">
        <f t="shared" si="1"/>
        <v>0</v>
      </c>
      <c r="Q334" s="12">
        <f t="shared" si="1"/>
        <v>0</v>
      </c>
      <c r="R334" s="12">
        <f t="shared" si="1"/>
        <v>0</v>
      </c>
      <c r="S334" s="12">
        <f t="shared" si="1"/>
        <v>0</v>
      </c>
      <c r="T334" s="12">
        <f t="shared" si="1"/>
        <v>0</v>
      </c>
      <c r="U334" s="12">
        <f t="shared" si="1"/>
        <v>0</v>
      </c>
      <c r="V334" s="12">
        <f t="shared" si="2"/>
        <v>0</v>
      </c>
      <c r="W334" s="12">
        <f t="shared" si="2"/>
        <v>0</v>
      </c>
      <c r="X334" s="12">
        <f t="shared" si="2"/>
        <v>0</v>
      </c>
      <c r="Y334" s="12">
        <f t="shared" si="2"/>
        <v>0</v>
      </c>
      <c r="Z334" s="12">
        <f t="shared" si="2"/>
        <v>0</v>
      </c>
      <c r="AA334" s="12">
        <f t="shared" si="2"/>
        <v>0</v>
      </c>
      <c r="AB334" s="12">
        <f t="shared" si="2"/>
        <v>0</v>
      </c>
      <c r="AC334" s="12">
        <f t="shared" si="2"/>
        <v>0</v>
      </c>
      <c r="AD334" s="12">
        <f t="shared" si="2"/>
        <v>0</v>
      </c>
      <c r="AE334" s="12">
        <f t="shared" si="2"/>
        <v>0</v>
      </c>
      <c r="AF334" s="12">
        <f t="shared" si="2"/>
        <v>0</v>
      </c>
      <c r="AG334" s="12">
        <f t="shared" si="2"/>
        <v>0</v>
      </c>
      <c r="AH334" s="12">
        <f t="shared" si="2"/>
        <v>0</v>
      </c>
      <c r="AI334" s="12">
        <f t="shared" si="2"/>
        <v>0</v>
      </c>
      <c r="AJ334" s="12">
        <f t="shared" si="2"/>
        <v>0</v>
      </c>
    </row>
    <row r="335" spans="1:36">
      <c r="A335" s="9">
        <v>7</v>
      </c>
      <c r="B335" s="12">
        <f t="shared" si="0"/>
        <v>3</v>
      </c>
      <c r="C335" s="12">
        <f t="shared" si="0"/>
        <v>3</v>
      </c>
      <c r="D335" s="12">
        <f t="shared" si="0"/>
        <v>3</v>
      </c>
      <c r="E335" s="12">
        <f t="shared" si="0"/>
        <v>3</v>
      </c>
      <c r="F335" s="12">
        <f t="shared" si="0"/>
        <v>3</v>
      </c>
      <c r="G335" s="12">
        <f t="shared" si="0"/>
        <v>3</v>
      </c>
      <c r="H335" s="12" t="str">
        <f t="shared" si="0"/>
        <v/>
      </c>
      <c r="I335" s="12">
        <f t="shared" si="0"/>
        <v>0</v>
      </c>
      <c r="J335" s="12">
        <f t="shared" si="0"/>
        <v>0</v>
      </c>
      <c r="K335" s="12">
        <f t="shared" si="0"/>
        <v>0</v>
      </c>
      <c r="L335" s="12">
        <f t="shared" si="1"/>
        <v>0</v>
      </c>
      <c r="M335" s="12">
        <f t="shared" si="1"/>
        <v>0</v>
      </c>
      <c r="N335" s="12">
        <f t="shared" si="1"/>
        <v>0</v>
      </c>
      <c r="O335" s="12">
        <f t="shared" si="1"/>
        <v>0</v>
      </c>
      <c r="P335" s="12">
        <f t="shared" si="1"/>
        <v>0</v>
      </c>
      <c r="Q335" s="12">
        <f t="shared" si="1"/>
        <v>0</v>
      </c>
      <c r="R335" s="12">
        <f t="shared" si="1"/>
        <v>0</v>
      </c>
      <c r="S335" s="12">
        <f t="shared" si="1"/>
        <v>0</v>
      </c>
      <c r="T335" s="12">
        <f t="shared" si="1"/>
        <v>0</v>
      </c>
      <c r="U335" s="12">
        <f t="shared" si="1"/>
        <v>0</v>
      </c>
      <c r="V335" s="12">
        <f t="shared" si="2"/>
        <v>0</v>
      </c>
      <c r="W335" s="12">
        <f t="shared" si="2"/>
        <v>0</v>
      </c>
      <c r="X335" s="12">
        <f t="shared" si="2"/>
        <v>0</v>
      </c>
      <c r="Y335" s="12">
        <f t="shared" si="2"/>
        <v>0</v>
      </c>
      <c r="Z335" s="12">
        <f t="shared" si="2"/>
        <v>0</v>
      </c>
      <c r="AA335" s="12">
        <f t="shared" si="2"/>
        <v>0</v>
      </c>
      <c r="AB335" s="12">
        <f t="shared" si="2"/>
        <v>0</v>
      </c>
      <c r="AC335" s="12">
        <f t="shared" si="2"/>
        <v>0</v>
      </c>
      <c r="AD335" s="12">
        <f t="shared" si="2"/>
        <v>0</v>
      </c>
      <c r="AE335" s="12">
        <f t="shared" si="2"/>
        <v>0</v>
      </c>
      <c r="AF335" s="12">
        <f t="shared" si="2"/>
        <v>0</v>
      </c>
      <c r="AG335" s="12">
        <f t="shared" si="2"/>
        <v>0</v>
      </c>
      <c r="AH335" s="12">
        <f t="shared" si="2"/>
        <v>0</v>
      </c>
      <c r="AI335" s="12">
        <f t="shared" si="2"/>
        <v>0</v>
      </c>
      <c r="AJ335" s="12">
        <f t="shared" si="2"/>
        <v>0</v>
      </c>
    </row>
    <row r="336" spans="1:36">
      <c r="A336" s="9">
        <v>8</v>
      </c>
      <c r="B336" s="12">
        <f t="shared" si="0"/>
        <v>0</v>
      </c>
      <c r="C336" s="12">
        <f t="shared" si="0"/>
        <v>0</v>
      </c>
      <c r="D336" s="12">
        <f t="shared" si="0"/>
        <v>0</v>
      </c>
      <c r="E336" s="12">
        <f t="shared" si="0"/>
        <v>0</v>
      </c>
      <c r="F336" s="12">
        <f t="shared" si="0"/>
        <v>0</v>
      </c>
      <c r="G336" s="12">
        <f t="shared" si="0"/>
        <v>0</v>
      </c>
      <c r="H336" s="12">
        <f t="shared" si="0"/>
        <v>0</v>
      </c>
      <c r="I336" s="12" t="str">
        <f t="shared" si="0"/>
        <v/>
      </c>
      <c r="J336" s="12">
        <f t="shared" si="0"/>
        <v>3</v>
      </c>
      <c r="K336" s="12">
        <f t="shared" si="0"/>
        <v>3</v>
      </c>
      <c r="L336" s="12">
        <f t="shared" si="1"/>
        <v>3</v>
      </c>
      <c r="M336" s="12">
        <f t="shared" si="1"/>
        <v>3</v>
      </c>
      <c r="N336" s="12">
        <f t="shared" si="1"/>
        <v>3</v>
      </c>
      <c r="O336" s="12">
        <f t="shared" si="1"/>
        <v>3</v>
      </c>
      <c r="P336" s="12">
        <f t="shared" si="1"/>
        <v>0</v>
      </c>
      <c r="Q336" s="12">
        <f t="shared" si="1"/>
        <v>0</v>
      </c>
      <c r="R336" s="12">
        <f t="shared" si="1"/>
        <v>0</v>
      </c>
      <c r="S336" s="12">
        <f t="shared" si="1"/>
        <v>0</v>
      </c>
      <c r="T336" s="12">
        <f t="shared" si="1"/>
        <v>0</v>
      </c>
      <c r="U336" s="12">
        <f t="shared" si="1"/>
        <v>0</v>
      </c>
      <c r="V336" s="12">
        <f t="shared" si="2"/>
        <v>0</v>
      </c>
      <c r="W336" s="12">
        <f t="shared" si="2"/>
        <v>0</v>
      </c>
      <c r="X336" s="12">
        <f t="shared" si="2"/>
        <v>0</v>
      </c>
      <c r="Y336" s="12">
        <f t="shared" si="2"/>
        <v>0</v>
      </c>
      <c r="Z336" s="12">
        <f t="shared" si="2"/>
        <v>0</v>
      </c>
      <c r="AA336" s="12">
        <f t="shared" si="2"/>
        <v>0</v>
      </c>
      <c r="AB336" s="12">
        <f t="shared" si="2"/>
        <v>0</v>
      </c>
      <c r="AC336" s="12">
        <f t="shared" si="2"/>
        <v>0</v>
      </c>
      <c r="AD336" s="12">
        <f t="shared" si="2"/>
        <v>0</v>
      </c>
      <c r="AE336" s="12">
        <f t="shared" si="2"/>
        <v>0</v>
      </c>
      <c r="AF336" s="12">
        <f t="shared" si="2"/>
        <v>0</v>
      </c>
      <c r="AG336" s="12">
        <f t="shared" si="2"/>
        <v>0</v>
      </c>
      <c r="AH336" s="12">
        <f t="shared" si="2"/>
        <v>0</v>
      </c>
      <c r="AI336" s="12">
        <f t="shared" si="2"/>
        <v>0</v>
      </c>
      <c r="AJ336" s="12">
        <f t="shared" si="2"/>
        <v>0</v>
      </c>
    </row>
    <row r="337" spans="1:36">
      <c r="A337" s="9">
        <v>9</v>
      </c>
      <c r="B337" s="12">
        <f t="shared" si="0"/>
        <v>0</v>
      </c>
      <c r="C337" s="12">
        <f t="shared" si="0"/>
        <v>0</v>
      </c>
      <c r="D337" s="12">
        <f t="shared" si="0"/>
        <v>0</v>
      </c>
      <c r="E337" s="12">
        <f t="shared" si="0"/>
        <v>0</v>
      </c>
      <c r="F337" s="12">
        <f t="shared" si="0"/>
        <v>0</v>
      </c>
      <c r="G337" s="12">
        <f t="shared" si="0"/>
        <v>0</v>
      </c>
      <c r="H337" s="12">
        <f t="shared" si="0"/>
        <v>0</v>
      </c>
      <c r="I337" s="12">
        <f t="shared" si="0"/>
        <v>3</v>
      </c>
      <c r="J337" s="12" t="str">
        <f t="shared" si="0"/>
        <v/>
      </c>
      <c r="K337" s="12">
        <f t="shared" si="0"/>
        <v>3</v>
      </c>
      <c r="L337" s="12">
        <f t="shared" si="1"/>
        <v>3</v>
      </c>
      <c r="M337" s="12">
        <f t="shared" si="1"/>
        <v>3</v>
      </c>
      <c r="N337" s="12">
        <f t="shared" si="1"/>
        <v>3</v>
      </c>
      <c r="O337" s="12">
        <f t="shared" si="1"/>
        <v>3</v>
      </c>
      <c r="P337" s="12">
        <f t="shared" si="1"/>
        <v>0</v>
      </c>
      <c r="Q337" s="12">
        <f t="shared" si="1"/>
        <v>0</v>
      </c>
      <c r="R337" s="12">
        <f t="shared" si="1"/>
        <v>0</v>
      </c>
      <c r="S337" s="12">
        <f t="shared" si="1"/>
        <v>0</v>
      </c>
      <c r="T337" s="12">
        <f t="shared" si="1"/>
        <v>0</v>
      </c>
      <c r="U337" s="12">
        <f t="shared" si="1"/>
        <v>0</v>
      </c>
      <c r="V337" s="12">
        <f t="shared" si="2"/>
        <v>0</v>
      </c>
      <c r="W337" s="12">
        <f t="shared" si="2"/>
        <v>0</v>
      </c>
      <c r="X337" s="12">
        <f t="shared" si="2"/>
        <v>0</v>
      </c>
      <c r="Y337" s="12">
        <f t="shared" si="2"/>
        <v>0</v>
      </c>
      <c r="Z337" s="12">
        <f t="shared" si="2"/>
        <v>0</v>
      </c>
      <c r="AA337" s="12">
        <f t="shared" si="2"/>
        <v>0</v>
      </c>
      <c r="AB337" s="12">
        <f t="shared" si="2"/>
        <v>0</v>
      </c>
      <c r="AC337" s="12">
        <f t="shared" si="2"/>
        <v>0</v>
      </c>
      <c r="AD337" s="12">
        <f t="shared" si="2"/>
        <v>0</v>
      </c>
      <c r="AE337" s="12">
        <f t="shared" si="2"/>
        <v>0</v>
      </c>
      <c r="AF337" s="12">
        <f t="shared" si="2"/>
        <v>0</v>
      </c>
      <c r="AG337" s="12">
        <f t="shared" si="2"/>
        <v>0</v>
      </c>
      <c r="AH337" s="12">
        <f t="shared" si="2"/>
        <v>0</v>
      </c>
      <c r="AI337" s="12">
        <f t="shared" si="2"/>
        <v>0</v>
      </c>
      <c r="AJ337" s="12">
        <f t="shared" si="2"/>
        <v>0</v>
      </c>
    </row>
    <row r="338" spans="1:36">
      <c r="A338" s="9">
        <v>10</v>
      </c>
      <c r="B338" s="12">
        <f t="shared" si="0"/>
        <v>0</v>
      </c>
      <c r="C338" s="12">
        <f t="shared" si="0"/>
        <v>0</v>
      </c>
      <c r="D338" s="12">
        <f t="shared" si="0"/>
        <v>0</v>
      </c>
      <c r="E338" s="12">
        <f t="shared" si="0"/>
        <v>0</v>
      </c>
      <c r="F338" s="12">
        <f t="shared" si="0"/>
        <v>0</v>
      </c>
      <c r="G338" s="12">
        <f t="shared" si="0"/>
        <v>0</v>
      </c>
      <c r="H338" s="12">
        <f t="shared" si="0"/>
        <v>0</v>
      </c>
      <c r="I338" s="12">
        <f t="shared" si="0"/>
        <v>3</v>
      </c>
      <c r="J338" s="12">
        <f t="shared" si="0"/>
        <v>3</v>
      </c>
      <c r="K338" s="12" t="str">
        <f t="shared" si="0"/>
        <v/>
      </c>
      <c r="L338" s="12">
        <f t="shared" si="1"/>
        <v>3</v>
      </c>
      <c r="M338" s="12">
        <f t="shared" si="1"/>
        <v>3</v>
      </c>
      <c r="N338" s="12">
        <f t="shared" si="1"/>
        <v>3</v>
      </c>
      <c r="O338" s="12">
        <f t="shared" si="1"/>
        <v>3</v>
      </c>
      <c r="P338" s="12">
        <f t="shared" si="1"/>
        <v>0</v>
      </c>
      <c r="Q338" s="12">
        <f t="shared" si="1"/>
        <v>0</v>
      </c>
      <c r="R338" s="12">
        <f t="shared" si="1"/>
        <v>0</v>
      </c>
      <c r="S338" s="12">
        <f t="shared" si="1"/>
        <v>0</v>
      </c>
      <c r="T338" s="12">
        <f t="shared" si="1"/>
        <v>0</v>
      </c>
      <c r="U338" s="12">
        <f t="shared" si="1"/>
        <v>0</v>
      </c>
      <c r="V338" s="12">
        <f t="shared" si="2"/>
        <v>0</v>
      </c>
      <c r="W338" s="12">
        <f t="shared" si="2"/>
        <v>0</v>
      </c>
      <c r="X338" s="12">
        <f t="shared" si="2"/>
        <v>0</v>
      </c>
      <c r="Y338" s="12">
        <f t="shared" si="2"/>
        <v>0</v>
      </c>
      <c r="Z338" s="12">
        <f t="shared" si="2"/>
        <v>0</v>
      </c>
      <c r="AA338" s="12">
        <f t="shared" si="2"/>
        <v>0</v>
      </c>
      <c r="AB338" s="12">
        <f t="shared" si="2"/>
        <v>0</v>
      </c>
      <c r="AC338" s="12">
        <f t="shared" si="2"/>
        <v>0</v>
      </c>
      <c r="AD338" s="12">
        <f t="shared" si="2"/>
        <v>0</v>
      </c>
      <c r="AE338" s="12">
        <f t="shared" si="2"/>
        <v>0</v>
      </c>
      <c r="AF338" s="12">
        <f t="shared" si="2"/>
        <v>0</v>
      </c>
      <c r="AG338" s="12">
        <f t="shared" si="2"/>
        <v>0</v>
      </c>
      <c r="AH338" s="12">
        <f t="shared" si="2"/>
        <v>0</v>
      </c>
      <c r="AI338" s="12">
        <f t="shared" si="2"/>
        <v>0</v>
      </c>
      <c r="AJ338" s="12">
        <f t="shared" si="2"/>
        <v>0</v>
      </c>
    </row>
    <row r="339" spans="1:36">
      <c r="A339" s="9">
        <v>11</v>
      </c>
      <c r="B339" s="12">
        <f t="shared" ref="B339:K344" si="3">IF($A339=B$328,"",COUNTIF($E$4:$E$325,$A339&amp;" ضد "&amp;B$328)+COUNTIF($E$4:$E$325,B$328&amp;" ضد "&amp;$A339))</f>
        <v>0</v>
      </c>
      <c r="C339" s="12">
        <f t="shared" si="3"/>
        <v>0</v>
      </c>
      <c r="D339" s="12">
        <f t="shared" si="3"/>
        <v>0</v>
      </c>
      <c r="E339" s="12">
        <f t="shared" si="3"/>
        <v>0</v>
      </c>
      <c r="F339" s="12">
        <f t="shared" si="3"/>
        <v>0</v>
      </c>
      <c r="G339" s="12">
        <f t="shared" si="3"/>
        <v>0</v>
      </c>
      <c r="H339" s="12">
        <f t="shared" si="3"/>
        <v>0</v>
      </c>
      <c r="I339" s="12">
        <f t="shared" si="3"/>
        <v>3</v>
      </c>
      <c r="J339" s="12">
        <f t="shared" si="3"/>
        <v>3</v>
      </c>
      <c r="K339" s="12">
        <f t="shared" si="3"/>
        <v>3</v>
      </c>
      <c r="L339" s="12" t="str">
        <f t="shared" ref="L339:U344" si="4">IF($A339=L$328,"",COUNTIF($E$4:$E$325,$A339&amp;" ضد "&amp;L$328)+COUNTIF($E$4:$E$325,L$328&amp;" ضد "&amp;$A339))</f>
        <v/>
      </c>
      <c r="M339" s="12">
        <f t="shared" si="4"/>
        <v>3</v>
      </c>
      <c r="N339" s="12">
        <f t="shared" si="4"/>
        <v>3</v>
      </c>
      <c r="O339" s="12">
        <f t="shared" si="4"/>
        <v>3</v>
      </c>
      <c r="P339" s="12">
        <f t="shared" si="4"/>
        <v>0</v>
      </c>
      <c r="Q339" s="12">
        <f t="shared" si="4"/>
        <v>0</v>
      </c>
      <c r="R339" s="12">
        <f t="shared" si="4"/>
        <v>0</v>
      </c>
      <c r="S339" s="12">
        <f t="shared" si="4"/>
        <v>0</v>
      </c>
      <c r="T339" s="12">
        <f t="shared" si="4"/>
        <v>0</v>
      </c>
      <c r="U339" s="12">
        <f t="shared" si="4"/>
        <v>0</v>
      </c>
      <c r="V339" s="12">
        <f t="shared" ref="V339:AJ344" si="5">IF($A339=V$328,"",COUNTIF($E$4:$E$325,$A339&amp;" ضد "&amp;V$328)+COUNTIF($E$4:$E$325,V$328&amp;" ضد "&amp;$A339))</f>
        <v>0</v>
      </c>
      <c r="W339" s="12">
        <f t="shared" si="5"/>
        <v>0</v>
      </c>
      <c r="X339" s="12">
        <f t="shared" si="5"/>
        <v>0</v>
      </c>
      <c r="Y339" s="12">
        <f t="shared" si="5"/>
        <v>0</v>
      </c>
      <c r="Z339" s="12">
        <f t="shared" si="5"/>
        <v>0</v>
      </c>
      <c r="AA339" s="12">
        <f t="shared" si="5"/>
        <v>0</v>
      </c>
      <c r="AB339" s="12">
        <f t="shared" si="5"/>
        <v>0</v>
      </c>
      <c r="AC339" s="12">
        <f t="shared" si="5"/>
        <v>0</v>
      </c>
      <c r="AD339" s="12">
        <f t="shared" si="5"/>
        <v>0</v>
      </c>
      <c r="AE339" s="12">
        <f t="shared" si="5"/>
        <v>0</v>
      </c>
      <c r="AF339" s="12">
        <f t="shared" si="5"/>
        <v>0</v>
      </c>
      <c r="AG339" s="12">
        <f t="shared" si="5"/>
        <v>0</v>
      </c>
      <c r="AH339" s="12">
        <f t="shared" si="5"/>
        <v>0</v>
      </c>
      <c r="AI339" s="12">
        <f t="shared" si="5"/>
        <v>0</v>
      </c>
      <c r="AJ339" s="12">
        <f t="shared" si="5"/>
        <v>0</v>
      </c>
    </row>
    <row r="340" spans="1:36">
      <c r="A340" s="9">
        <v>12</v>
      </c>
      <c r="B340" s="12">
        <f t="shared" si="3"/>
        <v>0</v>
      </c>
      <c r="C340" s="12">
        <f t="shared" si="3"/>
        <v>0</v>
      </c>
      <c r="D340" s="12">
        <f t="shared" si="3"/>
        <v>0</v>
      </c>
      <c r="E340" s="12">
        <f t="shared" si="3"/>
        <v>0</v>
      </c>
      <c r="F340" s="12">
        <f t="shared" si="3"/>
        <v>0</v>
      </c>
      <c r="G340" s="12">
        <f t="shared" si="3"/>
        <v>0</v>
      </c>
      <c r="H340" s="12">
        <f t="shared" si="3"/>
        <v>0</v>
      </c>
      <c r="I340" s="12">
        <f t="shared" si="3"/>
        <v>3</v>
      </c>
      <c r="J340" s="12">
        <f t="shared" si="3"/>
        <v>3</v>
      </c>
      <c r="K340" s="12">
        <f t="shared" si="3"/>
        <v>3</v>
      </c>
      <c r="L340" s="12">
        <f t="shared" si="4"/>
        <v>3</v>
      </c>
      <c r="M340" s="12" t="str">
        <f t="shared" si="4"/>
        <v/>
      </c>
      <c r="N340" s="12">
        <f t="shared" si="4"/>
        <v>3</v>
      </c>
      <c r="O340" s="12">
        <f t="shared" si="4"/>
        <v>3</v>
      </c>
      <c r="P340" s="12">
        <f t="shared" si="4"/>
        <v>0</v>
      </c>
      <c r="Q340" s="12">
        <f t="shared" si="4"/>
        <v>0</v>
      </c>
      <c r="R340" s="12">
        <f t="shared" si="4"/>
        <v>0</v>
      </c>
      <c r="S340" s="12">
        <f t="shared" si="4"/>
        <v>0</v>
      </c>
      <c r="T340" s="12">
        <f t="shared" si="4"/>
        <v>0</v>
      </c>
      <c r="U340" s="12">
        <f t="shared" si="4"/>
        <v>0</v>
      </c>
      <c r="V340" s="12">
        <f t="shared" si="5"/>
        <v>0</v>
      </c>
      <c r="W340" s="12">
        <f t="shared" si="5"/>
        <v>0</v>
      </c>
      <c r="X340" s="12">
        <f t="shared" si="5"/>
        <v>0</v>
      </c>
      <c r="Y340" s="12">
        <f t="shared" si="5"/>
        <v>0</v>
      </c>
      <c r="Z340" s="12">
        <f t="shared" si="5"/>
        <v>0</v>
      </c>
      <c r="AA340" s="12">
        <f t="shared" si="5"/>
        <v>0</v>
      </c>
      <c r="AB340" s="12">
        <f t="shared" si="5"/>
        <v>0</v>
      </c>
      <c r="AC340" s="12">
        <f t="shared" si="5"/>
        <v>0</v>
      </c>
      <c r="AD340" s="12">
        <f t="shared" si="5"/>
        <v>0</v>
      </c>
      <c r="AE340" s="12">
        <f t="shared" si="5"/>
        <v>0</v>
      </c>
      <c r="AF340" s="12">
        <f t="shared" si="5"/>
        <v>0</v>
      </c>
      <c r="AG340" s="12">
        <f t="shared" si="5"/>
        <v>0</v>
      </c>
      <c r="AH340" s="12">
        <f t="shared" si="5"/>
        <v>0</v>
      </c>
      <c r="AI340" s="12">
        <f t="shared" si="5"/>
        <v>0</v>
      </c>
      <c r="AJ340" s="12">
        <f t="shared" si="5"/>
        <v>0</v>
      </c>
    </row>
    <row r="341" spans="1:36">
      <c r="A341" s="9">
        <v>13</v>
      </c>
      <c r="B341" s="12">
        <f t="shared" si="3"/>
        <v>0</v>
      </c>
      <c r="C341" s="12">
        <f t="shared" si="3"/>
        <v>0</v>
      </c>
      <c r="D341" s="12">
        <f t="shared" si="3"/>
        <v>0</v>
      </c>
      <c r="E341" s="12">
        <f t="shared" si="3"/>
        <v>0</v>
      </c>
      <c r="F341" s="12">
        <f t="shared" si="3"/>
        <v>0</v>
      </c>
      <c r="G341" s="12">
        <f t="shared" si="3"/>
        <v>0</v>
      </c>
      <c r="H341" s="12">
        <f t="shared" si="3"/>
        <v>0</v>
      </c>
      <c r="I341" s="12">
        <f t="shared" si="3"/>
        <v>3</v>
      </c>
      <c r="J341" s="12">
        <f t="shared" si="3"/>
        <v>3</v>
      </c>
      <c r="K341" s="12">
        <f t="shared" si="3"/>
        <v>3</v>
      </c>
      <c r="L341" s="12">
        <f t="shared" si="4"/>
        <v>3</v>
      </c>
      <c r="M341" s="12">
        <f t="shared" si="4"/>
        <v>3</v>
      </c>
      <c r="N341" s="12" t="str">
        <f t="shared" si="4"/>
        <v/>
      </c>
      <c r="O341" s="12">
        <f t="shared" si="4"/>
        <v>3</v>
      </c>
      <c r="P341" s="12">
        <f t="shared" si="4"/>
        <v>0</v>
      </c>
      <c r="Q341" s="12">
        <f t="shared" si="4"/>
        <v>0</v>
      </c>
      <c r="R341" s="12">
        <f t="shared" si="4"/>
        <v>0</v>
      </c>
      <c r="S341" s="12">
        <f t="shared" si="4"/>
        <v>0</v>
      </c>
      <c r="T341" s="12">
        <f t="shared" si="4"/>
        <v>0</v>
      </c>
      <c r="U341" s="12">
        <f t="shared" si="4"/>
        <v>0</v>
      </c>
      <c r="V341" s="12">
        <f t="shared" si="5"/>
        <v>0</v>
      </c>
      <c r="W341" s="12">
        <f t="shared" si="5"/>
        <v>0</v>
      </c>
      <c r="X341" s="12">
        <f t="shared" si="5"/>
        <v>0</v>
      </c>
      <c r="Y341" s="12">
        <f t="shared" si="5"/>
        <v>0</v>
      </c>
      <c r="Z341" s="12">
        <f t="shared" si="5"/>
        <v>0</v>
      </c>
      <c r="AA341" s="12">
        <f t="shared" si="5"/>
        <v>0</v>
      </c>
      <c r="AB341" s="12">
        <f t="shared" si="5"/>
        <v>0</v>
      </c>
      <c r="AC341" s="12">
        <f t="shared" si="5"/>
        <v>0</v>
      </c>
      <c r="AD341" s="12">
        <f t="shared" si="5"/>
        <v>0</v>
      </c>
      <c r="AE341" s="12">
        <f t="shared" si="5"/>
        <v>0</v>
      </c>
      <c r="AF341" s="12">
        <f t="shared" si="5"/>
        <v>0</v>
      </c>
      <c r="AG341" s="12">
        <f t="shared" si="5"/>
        <v>0</v>
      </c>
      <c r="AH341" s="12">
        <f t="shared" si="5"/>
        <v>0</v>
      </c>
      <c r="AI341" s="12">
        <f t="shared" si="5"/>
        <v>0</v>
      </c>
      <c r="AJ341" s="12">
        <f t="shared" si="5"/>
        <v>0</v>
      </c>
    </row>
    <row r="342" spans="1:36">
      <c r="A342" s="9">
        <v>14</v>
      </c>
      <c r="B342" s="12">
        <f t="shared" si="3"/>
        <v>0</v>
      </c>
      <c r="C342" s="12">
        <f t="shared" si="3"/>
        <v>0</v>
      </c>
      <c r="D342" s="12">
        <f t="shared" si="3"/>
        <v>0</v>
      </c>
      <c r="E342" s="12">
        <f t="shared" si="3"/>
        <v>0</v>
      </c>
      <c r="F342" s="12">
        <f t="shared" si="3"/>
        <v>0</v>
      </c>
      <c r="G342" s="12">
        <f t="shared" si="3"/>
        <v>0</v>
      </c>
      <c r="H342" s="12">
        <f t="shared" si="3"/>
        <v>0</v>
      </c>
      <c r="I342" s="12">
        <f t="shared" si="3"/>
        <v>3</v>
      </c>
      <c r="J342" s="12">
        <f t="shared" si="3"/>
        <v>3</v>
      </c>
      <c r="K342" s="12">
        <f t="shared" si="3"/>
        <v>3</v>
      </c>
      <c r="L342" s="12">
        <f t="shared" si="4"/>
        <v>3</v>
      </c>
      <c r="M342" s="12">
        <f t="shared" si="4"/>
        <v>3</v>
      </c>
      <c r="N342" s="12">
        <f t="shared" si="4"/>
        <v>3</v>
      </c>
      <c r="O342" s="12" t="str">
        <f t="shared" si="4"/>
        <v/>
      </c>
      <c r="P342" s="12">
        <f t="shared" si="4"/>
        <v>0</v>
      </c>
      <c r="Q342" s="12">
        <f t="shared" si="4"/>
        <v>0</v>
      </c>
      <c r="R342" s="12">
        <f t="shared" si="4"/>
        <v>0</v>
      </c>
      <c r="S342" s="12">
        <f t="shared" si="4"/>
        <v>0</v>
      </c>
      <c r="T342" s="12">
        <f t="shared" si="4"/>
        <v>0</v>
      </c>
      <c r="U342" s="12">
        <f t="shared" si="4"/>
        <v>0</v>
      </c>
      <c r="V342" s="12">
        <f t="shared" si="5"/>
        <v>0</v>
      </c>
      <c r="W342" s="12">
        <f t="shared" si="5"/>
        <v>0</v>
      </c>
      <c r="X342" s="12">
        <f t="shared" si="5"/>
        <v>0</v>
      </c>
      <c r="Y342" s="12">
        <f t="shared" si="5"/>
        <v>0</v>
      </c>
      <c r="Z342" s="12">
        <f t="shared" si="5"/>
        <v>0</v>
      </c>
      <c r="AA342" s="12">
        <f t="shared" si="5"/>
        <v>0</v>
      </c>
      <c r="AB342" s="12">
        <f t="shared" si="5"/>
        <v>0</v>
      </c>
      <c r="AC342" s="12">
        <f t="shared" si="5"/>
        <v>0</v>
      </c>
      <c r="AD342" s="12">
        <f t="shared" si="5"/>
        <v>0</v>
      </c>
      <c r="AE342" s="12">
        <f t="shared" si="5"/>
        <v>0</v>
      </c>
      <c r="AF342" s="12">
        <f t="shared" si="5"/>
        <v>0</v>
      </c>
      <c r="AG342" s="12">
        <f t="shared" si="5"/>
        <v>0</v>
      </c>
      <c r="AH342" s="12">
        <f t="shared" si="5"/>
        <v>0</v>
      </c>
      <c r="AI342" s="12">
        <f t="shared" si="5"/>
        <v>0</v>
      </c>
      <c r="AJ342" s="12">
        <f t="shared" si="5"/>
        <v>0</v>
      </c>
    </row>
    <row r="343" spans="1:36">
      <c r="A343" s="9">
        <v>15</v>
      </c>
      <c r="B343" s="12">
        <f t="shared" si="3"/>
        <v>0</v>
      </c>
      <c r="C343" s="12">
        <f t="shared" si="3"/>
        <v>0</v>
      </c>
      <c r="D343" s="12">
        <f t="shared" si="3"/>
        <v>0</v>
      </c>
      <c r="E343" s="12">
        <f t="shared" si="3"/>
        <v>0</v>
      </c>
      <c r="F343" s="12">
        <f t="shared" si="3"/>
        <v>0</v>
      </c>
      <c r="G343" s="12">
        <f t="shared" si="3"/>
        <v>0</v>
      </c>
      <c r="H343" s="12">
        <f t="shared" si="3"/>
        <v>0</v>
      </c>
      <c r="I343" s="12">
        <f t="shared" si="3"/>
        <v>0</v>
      </c>
      <c r="J343" s="12">
        <f t="shared" si="3"/>
        <v>0</v>
      </c>
      <c r="K343" s="12">
        <f t="shared" si="3"/>
        <v>0</v>
      </c>
      <c r="L343" s="12">
        <f t="shared" si="4"/>
        <v>0</v>
      </c>
      <c r="M343" s="12">
        <f t="shared" si="4"/>
        <v>0</v>
      </c>
      <c r="N343" s="12">
        <f t="shared" si="4"/>
        <v>0</v>
      </c>
      <c r="O343" s="12">
        <f t="shared" si="4"/>
        <v>0</v>
      </c>
      <c r="P343" s="12" t="str">
        <f t="shared" si="4"/>
        <v/>
      </c>
      <c r="Q343" s="12">
        <f t="shared" si="4"/>
        <v>3</v>
      </c>
      <c r="R343" s="12">
        <f t="shared" si="4"/>
        <v>3</v>
      </c>
      <c r="S343" s="12">
        <f t="shared" si="4"/>
        <v>3</v>
      </c>
      <c r="T343" s="12">
        <f t="shared" si="4"/>
        <v>3</v>
      </c>
      <c r="U343" s="12">
        <f t="shared" si="4"/>
        <v>3</v>
      </c>
      <c r="V343" s="12">
        <f t="shared" si="5"/>
        <v>3</v>
      </c>
      <c r="W343" s="12">
        <f t="shared" si="5"/>
        <v>0</v>
      </c>
      <c r="X343" s="12">
        <f t="shared" si="5"/>
        <v>0</v>
      </c>
      <c r="Y343" s="12">
        <f t="shared" si="5"/>
        <v>0</v>
      </c>
      <c r="Z343" s="12">
        <f t="shared" si="5"/>
        <v>0</v>
      </c>
      <c r="AA343" s="12">
        <f t="shared" si="5"/>
        <v>0</v>
      </c>
      <c r="AB343" s="12">
        <f t="shared" si="5"/>
        <v>0</v>
      </c>
      <c r="AC343" s="12">
        <f t="shared" si="5"/>
        <v>0</v>
      </c>
      <c r="AD343" s="12">
        <f t="shared" si="5"/>
        <v>0</v>
      </c>
      <c r="AE343" s="12">
        <f t="shared" si="5"/>
        <v>0</v>
      </c>
      <c r="AF343" s="12">
        <f t="shared" si="5"/>
        <v>0</v>
      </c>
      <c r="AG343" s="12">
        <f t="shared" si="5"/>
        <v>0</v>
      </c>
      <c r="AH343" s="12">
        <f t="shared" si="5"/>
        <v>0</v>
      </c>
      <c r="AI343" s="12">
        <f t="shared" si="5"/>
        <v>0</v>
      </c>
      <c r="AJ343" s="12">
        <f t="shared" si="5"/>
        <v>0</v>
      </c>
    </row>
    <row r="344" spans="1:36">
      <c r="A344" s="9">
        <v>16</v>
      </c>
      <c r="B344" s="12">
        <f t="shared" si="3"/>
        <v>0</v>
      </c>
      <c r="C344" s="12">
        <f t="shared" si="3"/>
        <v>0</v>
      </c>
      <c r="D344" s="12">
        <f t="shared" si="3"/>
        <v>0</v>
      </c>
      <c r="E344" s="12">
        <f t="shared" si="3"/>
        <v>0</v>
      </c>
      <c r="F344" s="12">
        <f t="shared" si="3"/>
        <v>0</v>
      </c>
      <c r="G344" s="12">
        <f t="shared" si="3"/>
        <v>0</v>
      </c>
      <c r="H344" s="12">
        <f t="shared" si="3"/>
        <v>0</v>
      </c>
      <c r="I344" s="12">
        <f t="shared" si="3"/>
        <v>0</v>
      </c>
      <c r="J344" s="12">
        <f t="shared" si="3"/>
        <v>0</v>
      </c>
      <c r="K344" s="12">
        <f t="shared" si="3"/>
        <v>0</v>
      </c>
      <c r="L344" s="12">
        <f t="shared" si="4"/>
        <v>0</v>
      </c>
      <c r="M344" s="12">
        <f t="shared" si="4"/>
        <v>0</v>
      </c>
      <c r="N344" s="12">
        <f t="shared" si="4"/>
        <v>0</v>
      </c>
      <c r="O344" s="12">
        <f t="shared" si="4"/>
        <v>0</v>
      </c>
      <c r="P344" s="12">
        <f t="shared" si="4"/>
        <v>3</v>
      </c>
      <c r="Q344" s="12" t="str">
        <f t="shared" si="4"/>
        <v/>
      </c>
      <c r="R344" s="12">
        <f t="shared" si="4"/>
        <v>3</v>
      </c>
      <c r="S344" s="12">
        <f t="shared" si="4"/>
        <v>3</v>
      </c>
      <c r="T344" s="12">
        <f t="shared" si="4"/>
        <v>3</v>
      </c>
      <c r="U344" s="12">
        <f t="shared" si="4"/>
        <v>3</v>
      </c>
      <c r="V344" s="12">
        <f t="shared" si="5"/>
        <v>3</v>
      </c>
      <c r="W344" s="12">
        <f t="shared" si="5"/>
        <v>0</v>
      </c>
      <c r="X344" s="12">
        <f t="shared" si="5"/>
        <v>0</v>
      </c>
      <c r="Y344" s="12">
        <f t="shared" si="5"/>
        <v>0</v>
      </c>
      <c r="Z344" s="12">
        <f t="shared" si="5"/>
        <v>0</v>
      </c>
      <c r="AA344" s="12">
        <f t="shared" si="5"/>
        <v>0</v>
      </c>
      <c r="AB344" s="12">
        <f t="shared" si="5"/>
        <v>0</v>
      </c>
      <c r="AC344" s="12">
        <f t="shared" si="5"/>
        <v>0</v>
      </c>
      <c r="AD344" s="12">
        <f t="shared" si="5"/>
        <v>0</v>
      </c>
      <c r="AE344" s="12">
        <f t="shared" si="5"/>
        <v>0</v>
      </c>
      <c r="AF344" s="12">
        <f t="shared" si="5"/>
        <v>0</v>
      </c>
      <c r="AG344" s="12">
        <f t="shared" si="5"/>
        <v>0</v>
      </c>
      <c r="AH344" s="12">
        <f t="shared" si="5"/>
        <v>0</v>
      </c>
      <c r="AI344" s="12">
        <f t="shared" si="5"/>
        <v>0</v>
      </c>
      <c r="AJ344" s="12">
        <f t="shared" si="5"/>
        <v>0</v>
      </c>
    </row>
    <row r="345" spans="1:36">
      <c r="A345" s="9">
        <v>17</v>
      </c>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row>
    <row r="346" spans="1:36">
      <c r="A346" s="9">
        <v>18</v>
      </c>
      <c r="B346" s="12">
        <f t="shared" ref="B346:K355" si="6">IF($A346=B$328,"",COUNTIF($E$4:$E$325,$A346&amp;" ضد "&amp;B$328)+COUNTIF($E$4:$E$325,B$328&amp;" ضد "&amp;$A346))</f>
        <v>0</v>
      </c>
      <c r="C346" s="12">
        <f t="shared" si="6"/>
        <v>0</v>
      </c>
      <c r="D346" s="12">
        <f t="shared" si="6"/>
        <v>0</v>
      </c>
      <c r="E346" s="12">
        <f t="shared" si="6"/>
        <v>0</v>
      </c>
      <c r="F346" s="12">
        <f t="shared" si="6"/>
        <v>0</v>
      </c>
      <c r="G346" s="12">
        <f t="shared" si="6"/>
        <v>0</v>
      </c>
      <c r="H346" s="12">
        <f t="shared" si="6"/>
        <v>0</v>
      </c>
      <c r="I346" s="12">
        <f t="shared" si="6"/>
        <v>0</v>
      </c>
      <c r="J346" s="12">
        <f t="shared" si="6"/>
        <v>0</v>
      </c>
      <c r="K346" s="12">
        <f t="shared" si="6"/>
        <v>0</v>
      </c>
      <c r="L346" s="12">
        <f t="shared" ref="L346:U355" si="7">IF($A346=L$328,"",COUNTIF($E$4:$E$325,$A346&amp;" ضد "&amp;L$328)+COUNTIF($E$4:$E$325,L$328&amp;" ضد "&amp;$A346))</f>
        <v>0</v>
      </c>
      <c r="M346" s="12">
        <f t="shared" si="7"/>
        <v>0</v>
      </c>
      <c r="N346" s="12">
        <f t="shared" si="7"/>
        <v>0</v>
      </c>
      <c r="O346" s="12">
        <f t="shared" si="7"/>
        <v>0</v>
      </c>
      <c r="P346" s="12">
        <f t="shared" si="7"/>
        <v>3</v>
      </c>
      <c r="Q346" s="12">
        <f t="shared" si="7"/>
        <v>3</v>
      </c>
      <c r="R346" s="12">
        <f t="shared" si="7"/>
        <v>3</v>
      </c>
      <c r="S346" s="12" t="str">
        <f t="shared" si="7"/>
        <v/>
      </c>
      <c r="T346" s="12">
        <f t="shared" si="7"/>
        <v>3</v>
      </c>
      <c r="U346" s="12">
        <f t="shared" si="7"/>
        <v>3</v>
      </c>
      <c r="V346" s="12">
        <f t="shared" ref="V346:AJ355" si="8">IF($A346=V$328,"",COUNTIF($E$4:$E$325,$A346&amp;" ضد "&amp;V$328)+COUNTIF($E$4:$E$325,V$328&amp;" ضد "&amp;$A346))</f>
        <v>3</v>
      </c>
      <c r="W346" s="12">
        <f t="shared" si="8"/>
        <v>0</v>
      </c>
      <c r="X346" s="12">
        <f t="shared" si="8"/>
        <v>0</v>
      </c>
      <c r="Y346" s="12">
        <f t="shared" si="8"/>
        <v>0</v>
      </c>
      <c r="Z346" s="12">
        <f t="shared" si="8"/>
        <v>0</v>
      </c>
      <c r="AA346" s="12">
        <f t="shared" si="8"/>
        <v>0</v>
      </c>
      <c r="AB346" s="12">
        <f t="shared" si="8"/>
        <v>0</v>
      </c>
      <c r="AC346" s="12">
        <f t="shared" si="8"/>
        <v>0</v>
      </c>
      <c r="AD346" s="12">
        <f t="shared" si="8"/>
        <v>0</v>
      </c>
      <c r="AE346" s="12">
        <f t="shared" si="8"/>
        <v>0</v>
      </c>
      <c r="AF346" s="12">
        <f t="shared" si="8"/>
        <v>0</v>
      </c>
      <c r="AG346" s="12">
        <f t="shared" si="8"/>
        <v>0</v>
      </c>
      <c r="AH346" s="12">
        <f t="shared" si="8"/>
        <v>0</v>
      </c>
      <c r="AI346" s="12">
        <f t="shared" si="8"/>
        <v>0</v>
      </c>
      <c r="AJ346" s="12">
        <f t="shared" si="8"/>
        <v>0</v>
      </c>
    </row>
    <row r="347" spans="1:36">
      <c r="A347" s="9">
        <v>19</v>
      </c>
      <c r="B347" s="12">
        <f t="shared" si="6"/>
        <v>0</v>
      </c>
      <c r="C347" s="12">
        <f t="shared" si="6"/>
        <v>0</v>
      </c>
      <c r="D347" s="12">
        <f t="shared" si="6"/>
        <v>0</v>
      </c>
      <c r="E347" s="12">
        <f t="shared" si="6"/>
        <v>0</v>
      </c>
      <c r="F347" s="12">
        <f t="shared" si="6"/>
        <v>0</v>
      </c>
      <c r="G347" s="12">
        <f t="shared" si="6"/>
        <v>0</v>
      </c>
      <c r="H347" s="12">
        <f t="shared" si="6"/>
        <v>0</v>
      </c>
      <c r="I347" s="12">
        <f t="shared" si="6"/>
        <v>0</v>
      </c>
      <c r="J347" s="12">
        <f t="shared" si="6"/>
        <v>0</v>
      </c>
      <c r="K347" s="12">
        <f t="shared" si="6"/>
        <v>0</v>
      </c>
      <c r="L347" s="12">
        <f t="shared" si="7"/>
        <v>0</v>
      </c>
      <c r="M347" s="12">
        <f t="shared" si="7"/>
        <v>0</v>
      </c>
      <c r="N347" s="12">
        <f t="shared" si="7"/>
        <v>0</v>
      </c>
      <c r="O347" s="12">
        <f t="shared" si="7"/>
        <v>0</v>
      </c>
      <c r="P347" s="12">
        <f t="shared" si="7"/>
        <v>3</v>
      </c>
      <c r="Q347" s="12">
        <f t="shared" si="7"/>
        <v>3</v>
      </c>
      <c r="R347" s="12">
        <f t="shared" si="7"/>
        <v>3</v>
      </c>
      <c r="S347" s="12">
        <f t="shared" si="7"/>
        <v>3</v>
      </c>
      <c r="T347" s="12" t="str">
        <f t="shared" si="7"/>
        <v/>
      </c>
      <c r="U347" s="12">
        <f t="shared" si="7"/>
        <v>3</v>
      </c>
      <c r="V347" s="12">
        <f t="shared" si="8"/>
        <v>3</v>
      </c>
      <c r="W347" s="12">
        <f t="shared" si="8"/>
        <v>0</v>
      </c>
      <c r="X347" s="12">
        <f t="shared" si="8"/>
        <v>0</v>
      </c>
      <c r="Y347" s="12">
        <f t="shared" si="8"/>
        <v>0</v>
      </c>
      <c r="Z347" s="12">
        <f t="shared" si="8"/>
        <v>0</v>
      </c>
      <c r="AA347" s="12">
        <f t="shared" si="8"/>
        <v>0</v>
      </c>
      <c r="AB347" s="12">
        <f t="shared" si="8"/>
        <v>0</v>
      </c>
      <c r="AC347" s="12">
        <f t="shared" si="8"/>
        <v>0</v>
      </c>
      <c r="AD347" s="12">
        <f t="shared" si="8"/>
        <v>0</v>
      </c>
      <c r="AE347" s="12">
        <f t="shared" si="8"/>
        <v>0</v>
      </c>
      <c r="AF347" s="12">
        <f t="shared" si="8"/>
        <v>0</v>
      </c>
      <c r="AG347" s="12">
        <f t="shared" si="8"/>
        <v>0</v>
      </c>
      <c r="AH347" s="12">
        <f t="shared" si="8"/>
        <v>0</v>
      </c>
      <c r="AI347" s="12">
        <f t="shared" si="8"/>
        <v>0</v>
      </c>
      <c r="AJ347" s="12">
        <f t="shared" si="8"/>
        <v>0</v>
      </c>
    </row>
    <row r="348" spans="1:36">
      <c r="A348" s="9">
        <v>20</v>
      </c>
      <c r="B348" s="12">
        <f t="shared" si="6"/>
        <v>0</v>
      </c>
      <c r="C348" s="12">
        <f t="shared" si="6"/>
        <v>0</v>
      </c>
      <c r="D348" s="12">
        <f t="shared" si="6"/>
        <v>0</v>
      </c>
      <c r="E348" s="12">
        <f t="shared" si="6"/>
        <v>0</v>
      </c>
      <c r="F348" s="12">
        <f t="shared" si="6"/>
        <v>0</v>
      </c>
      <c r="G348" s="12">
        <f t="shared" si="6"/>
        <v>0</v>
      </c>
      <c r="H348" s="12">
        <f t="shared" si="6"/>
        <v>0</v>
      </c>
      <c r="I348" s="12">
        <f t="shared" si="6"/>
        <v>0</v>
      </c>
      <c r="J348" s="12">
        <f t="shared" si="6"/>
        <v>0</v>
      </c>
      <c r="K348" s="12">
        <f t="shared" si="6"/>
        <v>0</v>
      </c>
      <c r="L348" s="12">
        <f t="shared" si="7"/>
        <v>0</v>
      </c>
      <c r="M348" s="12">
        <f t="shared" si="7"/>
        <v>0</v>
      </c>
      <c r="N348" s="12">
        <f t="shared" si="7"/>
        <v>0</v>
      </c>
      <c r="O348" s="12">
        <f t="shared" si="7"/>
        <v>0</v>
      </c>
      <c r="P348" s="12">
        <f t="shared" si="7"/>
        <v>3</v>
      </c>
      <c r="Q348" s="12">
        <f t="shared" si="7"/>
        <v>3</v>
      </c>
      <c r="R348" s="12">
        <f t="shared" si="7"/>
        <v>3</v>
      </c>
      <c r="S348" s="12">
        <f t="shared" si="7"/>
        <v>3</v>
      </c>
      <c r="T348" s="12">
        <f t="shared" si="7"/>
        <v>3</v>
      </c>
      <c r="U348" s="12" t="str">
        <f t="shared" si="7"/>
        <v/>
      </c>
      <c r="V348" s="12">
        <f t="shared" si="8"/>
        <v>3</v>
      </c>
      <c r="W348" s="12">
        <f t="shared" si="8"/>
        <v>0</v>
      </c>
      <c r="X348" s="12">
        <f t="shared" si="8"/>
        <v>0</v>
      </c>
      <c r="Y348" s="12">
        <f t="shared" si="8"/>
        <v>0</v>
      </c>
      <c r="Z348" s="12">
        <f t="shared" si="8"/>
        <v>0</v>
      </c>
      <c r="AA348" s="12">
        <f t="shared" si="8"/>
        <v>0</v>
      </c>
      <c r="AB348" s="12">
        <f t="shared" si="8"/>
        <v>0</v>
      </c>
      <c r="AC348" s="12">
        <f t="shared" si="8"/>
        <v>0</v>
      </c>
      <c r="AD348" s="12">
        <f t="shared" si="8"/>
        <v>0</v>
      </c>
      <c r="AE348" s="12">
        <f t="shared" si="8"/>
        <v>0</v>
      </c>
      <c r="AF348" s="12">
        <f t="shared" si="8"/>
        <v>0</v>
      </c>
      <c r="AG348" s="12">
        <f t="shared" si="8"/>
        <v>0</v>
      </c>
      <c r="AH348" s="12">
        <f t="shared" si="8"/>
        <v>0</v>
      </c>
      <c r="AI348" s="12">
        <f t="shared" si="8"/>
        <v>0</v>
      </c>
      <c r="AJ348" s="12">
        <f t="shared" si="8"/>
        <v>0</v>
      </c>
    </row>
    <row r="349" spans="1:36">
      <c r="A349" s="9">
        <v>21</v>
      </c>
      <c r="B349" s="12">
        <f t="shared" si="6"/>
        <v>0</v>
      </c>
      <c r="C349" s="12">
        <f t="shared" si="6"/>
        <v>0</v>
      </c>
      <c r="D349" s="12">
        <f t="shared" si="6"/>
        <v>0</v>
      </c>
      <c r="E349" s="12">
        <f t="shared" si="6"/>
        <v>0</v>
      </c>
      <c r="F349" s="12">
        <f t="shared" si="6"/>
        <v>0</v>
      </c>
      <c r="G349" s="12">
        <f t="shared" si="6"/>
        <v>0</v>
      </c>
      <c r="H349" s="12">
        <f t="shared" si="6"/>
        <v>0</v>
      </c>
      <c r="I349" s="12">
        <f t="shared" si="6"/>
        <v>0</v>
      </c>
      <c r="J349" s="12">
        <f t="shared" si="6"/>
        <v>0</v>
      </c>
      <c r="K349" s="12">
        <f t="shared" si="6"/>
        <v>0</v>
      </c>
      <c r="L349" s="12">
        <f t="shared" si="7"/>
        <v>0</v>
      </c>
      <c r="M349" s="12">
        <f t="shared" si="7"/>
        <v>0</v>
      </c>
      <c r="N349" s="12">
        <f t="shared" si="7"/>
        <v>0</v>
      </c>
      <c r="O349" s="12">
        <f t="shared" si="7"/>
        <v>0</v>
      </c>
      <c r="P349" s="12">
        <f t="shared" si="7"/>
        <v>3</v>
      </c>
      <c r="Q349" s="12">
        <f t="shared" si="7"/>
        <v>3</v>
      </c>
      <c r="R349" s="12">
        <f t="shared" si="7"/>
        <v>3</v>
      </c>
      <c r="S349" s="12">
        <f t="shared" si="7"/>
        <v>3</v>
      </c>
      <c r="T349" s="12">
        <f t="shared" si="7"/>
        <v>3</v>
      </c>
      <c r="U349" s="12">
        <f t="shared" si="7"/>
        <v>3</v>
      </c>
      <c r="V349" s="12" t="str">
        <f t="shared" si="8"/>
        <v/>
      </c>
      <c r="W349" s="12">
        <f t="shared" si="8"/>
        <v>0</v>
      </c>
      <c r="X349" s="12">
        <f t="shared" si="8"/>
        <v>0</v>
      </c>
      <c r="Y349" s="12">
        <f t="shared" si="8"/>
        <v>0</v>
      </c>
      <c r="Z349" s="12">
        <f t="shared" si="8"/>
        <v>0</v>
      </c>
      <c r="AA349" s="12">
        <f t="shared" si="8"/>
        <v>0</v>
      </c>
      <c r="AB349" s="12">
        <f t="shared" si="8"/>
        <v>0</v>
      </c>
      <c r="AC349" s="12">
        <f t="shared" si="8"/>
        <v>0</v>
      </c>
      <c r="AD349" s="12">
        <f t="shared" si="8"/>
        <v>0</v>
      </c>
      <c r="AE349" s="12">
        <f t="shared" si="8"/>
        <v>0</v>
      </c>
      <c r="AF349" s="12">
        <f t="shared" si="8"/>
        <v>0</v>
      </c>
      <c r="AG349" s="12">
        <f t="shared" si="8"/>
        <v>0</v>
      </c>
      <c r="AH349" s="12">
        <f t="shared" si="8"/>
        <v>0</v>
      </c>
      <c r="AI349" s="12">
        <f t="shared" si="8"/>
        <v>0</v>
      </c>
      <c r="AJ349" s="12">
        <f t="shared" si="8"/>
        <v>0</v>
      </c>
    </row>
    <row r="350" spans="1:36">
      <c r="A350" s="9">
        <v>22</v>
      </c>
      <c r="B350" s="12">
        <f t="shared" si="6"/>
        <v>0</v>
      </c>
      <c r="C350" s="12">
        <f t="shared" si="6"/>
        <v>0</v>
      </c>
      <c r="D350" s="12">
        <f t="shared" si="6"/>
        <v>0</v>
      </c>
      <c r="E350" s="12">
        <f t="shared" si="6"/>
        <v>0</v>
      </c>
      <c r="F350" s="12">
        <f t="shared" si="6"/>
        <v>0</v>
      </c>
      <c r="G350" s="12">
        <f t="shared" si="6"/>
        <v>0</v>
      </c>
      <c r="H350" s="12">
        <f t="shared" si="6"/>
        <v>0</v>
      </c>
      <c r="I350" s="12">
        <f t="shared" si="6"/>
        <v>0</v>
      </c>
      <c r="J350" s="12">
        <f t="shared" si="6"/>
        <v>0</v>
      </c>
      <c r="K350" s="12">
        <f t="shared" si="6"/>
        <v>0</v>
      </c>
      <c r="L350" s="12">
        <f t="shared" si="7"/>
        <v>0</v>
      </c>
      <c r="M350" s="12">
        <f t="shared" si="7"/>
        <v>0</v>
      </c>
      <c r="N350" s="12">
        <f t="shared" si="7"/>
        <v>0</v>
      </c>
      <c r="O350" s="12">
        <f t="shared" si="7"/>
        <v>0</v>
      </c>
      <c r="P350" s="12">
        <f t="shared" si="7"/>
        <v>0</v>
      </c>
      <c r="Q350" s="12">
        <f t="shared" si="7"/>
        <v>0</v>
      </c>
      <c r="R350" s="12">
        <f t="shared" si="7"/>
        <v>0</v>
      </c>
      <c r="S350" s="12">
        <f t="shared" si="7"/>
        <v>0</v>
      </c>
      <c r="T350" s="12">
        <f t="shared" si="7"/>
        <v>0</v>
      </c>
      <c r="U350" s="12">
        <f t="shared" si="7"/>
        <v>0</v>
      </c>
      <c r="V350" s="12">
        <f t="shared" si="8"/>
        <v>0</v>
      </c>
      <c r="W350" s="12" t="str">
        <f t="shared" si="8"/>
        <v/>
      </c>
      <c r="X350" s="12">
        <f t="shared" si="8"/>
        <v>3</v>
      </c>
      <c r="Y350" s="12">
        <f t="shared" si="8"/>
        <v>3</v>
      </c>
      <c r="Z350" s="12">
        <f t="shared" si="8"/>
        <v>3</v>
      </c>
      <c r="AA350" s="12">
        <f t="shared" si="8"/>
        <v>3</v>
      </c>
      <c r="AB350" s="12">
        <f t="shared" si="8"/>
        <v>3</v>
      </c>
      <c r="AC350" s="12">
        <f t="shared" si="8"/>
        <v>3</v>
      </c>
      <c r="AD350" s="12">
        <f t="shared" si="8"/>
        <v>0</v>
      </c>
      <c r="AE350" s="12">
        <f t="shared" si="8"/>
        <v>0</v>
      </c>
      <c r="AF350" s="12">
        <f t="shared" si="8"/>
        <v>0</v>
      </c>
      <c r="AG350" s="12">
        <f t="shared" si="8"/>
        <v>0</v>
      </c>
      <c r="AH350" s="12">
        <f t="shared" si="8"/>
        <v>0</v>
      </c>
      <c r="AI350" s="12">
        <f t="shared" si="8"/>
        <v>0</v>
      </c>
      <c r="AJ350" s="12">
        <f t="shared" si="8"/>
        <v>0</v>
      </c>
    </row>
    <row r="351" spans="1:36">
      <c r="A351" s="9">
        <v>23</v>
      </c>
      <c r="B351" s="12">
        <f t="shared" si="6"/>
        <v>0</v>
      </c>
      <c r="C351" s="12">
        <f t="shared" si="6"/>
        <v>0</v>
      </c>
      <c r="D351" s="12">
        <f t="shared" si="6"/>
        <v>0</v>
      </c>
      <c r="E351" s="12">
        <f t="shared" si="6"/>
        <v>0</v>
      </c>
      <c r="F351" s="12">
        <f t="shared" si="6"/>
        <v>0</v>
      </c>
      <c r="G351" s="12">
        <f t="shared" si="6"/>
        <v>0</v>
      </c>
      <c r="H351" s="12">
        <f t="shared" si="6"/>
        <v>0</v>
      </c>
      <c r="I351" s="12">
        <f t="shared" si="6"/>
        <v>0</v>
      </c>
      <c r="J351" s="12">
        <f t="shared" si="6"/>
        <v>0</v>
      </c>
      <c r="K351" s="12">
        <f t="shared" si="6"/>
        <v>0</v>
      </c>
      <c r="L351" s="12">
        <f t="shared" si="7"/>
        <v>0</v>
      </c>
      <c r="M351" s="12">
        <f t="shared" si="7"/>
        <v>0</v>
      </c>
      <c r="N351" s="12">
        <f t="shared" si="7"/>
        <v>0</v>
      </c>
      <c r="O351" s="12">
        <f t="shared" si="7"/>
        <v>0</v>
      </c>
      <c r="P351" s="12">
        <f t="shared" si="7"/>
        <v>0</v>
      </c>
      <c r="Q351" s="12">
        <f t="shared" si="7"/>
        <v>0</v>
      </c>
      <c r="R351" s="12">
        <f t="shared" si="7"/>
        <v>0</v>
      </c>
      <c r="S351" s="12">
        <f t="shared" si="7"/>
        <v>0</v>
      </c>
      <c r="T351" s="12">
        <f t="shared" si="7"/>
        <v>0</v>
      </c>
      <c r="U351" s="12">
        <f t="shared" si="7"/>
        <v>0</v>
      </c>
      <c r="V351" s="12">
        <f t="shared" si="8"/>
        <v>0</v>
      </c>
      <c r="W351" s="12">
        <f t="shared" si="8"/>
        <v>3</v>
      </c>
      <c r="X351" s="12" t="str">
        <f t="shared" si="8"/>
        <v/>
      </c>
      <c r="Y351" s="12">
        <f t="shared" si="8"/>
        <v>3</v>
      </c>
      <c r="Z351" s="12">
        <f t="shared" si="8"/>
        <v>3</v>
      </c>
      <c r="AA351" s="12">
        <f t="shared" si="8"/>
        <v>3</v>
      </c>
      <c r="AB351" s="12">
        <f t="shared" si="8"/>
        <v>3</v>
      </c>
      <c r="AC351" s="12">
        <f t="shared" si="8"/>
        <v>3</v>
      </c>
      <c r="AD351" s="12">
        <f t="shared" si="8"/>
        <v>0</v>
      </c>
      <c r="AE351" s="12">
        <f t="shared" si="8"/>
        <v>0</v>
      </c>
      <c r="AF351" s="12">
        <f t="shared" si="8"/>
        <v>0</v>
      </c>
      <c r="AG351" s="12">
        <f t="shared" si="8"/>
        <v>0</v>
      </c>
      <c r="AH351" s="12">
        <f t="shared" si="8"/>
        <v>0</v>
      </c>
      <c r="AI351" s="12">
        <f t="shared" si="8"/>
        <v>0</v>
      </c>
      <c r="AJ351" s="12">
        <f t="shared" si="8"/>
        <v>0</v>
      </c>
    </row>
    <row r="352" spans="1:36">
      <c r="A352" s="9">
        <v>24</v>
      </c>
      <c r="B352" s="12">
        <f t="shared" si="6"/>
        <v>0</v>
      </c>
      <c r="C352" s="12">
        <f t="shared" si="6"/>
        <v>0</v>
      </c>
      <c r="D352" s="12">
        <f t="shared" si="6"/>
        <v>0</v>
      </c>
      <c r="E352" s="12">
        <f t="shared" si="6"/>
        <v>0</v>
      </c>
      <c r="F352" s="12">
        <f t="shared" si="6"/>
        <v>0</v>
      </c>
      <c r="G352" s="12">
        <f t="shared" si="6"/>
        <v>0</v>
      </c>
      <c r="H352" s="12">
        <f t="shared" si="6"/>
        <v>0</v>
      </c>
      <c r="I352" s="12">
        <f t="shared" si="6"/>
        <v>0</v>
      </c>
      <c r="J352" s="12">
        <f t="shared" si="6"/>
        <v>0</v>
      </c>
      <c r="K352" s="12">
        <f t="shared" si="6"/>
        <v>0</v>
      </c>
      <c r="L352" s="12">
        <f t="shared" si="7"/>
        <v>0</v>
      </c>
      <c r="M352" s="12">
        <f t="shared" si="7"/>
        <v>0</v>
      </c>
      <c r="N352" s="12">
        <f t="shared" si="7"/>
        <v>0</v>
      </c>
      <c r="O352" s="12">
        <f t="shared" si="7"/>
        <v>0</v>
      </c>
      <c r="P352" s="12">
        <f t="shared" si="7"/>
        <v>0</v>
      </c>
      <c r="Q352" s="12">
        <f t="shared" si="7"/>
        <v>0</v>
      </c>
      <c r="R352" s="12">
        <f t="shared" si="7"/>
        <v>0</v>
      </c>
      <c r="S352" s="12">
        <f t="shared" si="7"/>
        <v>0</v>
      </c>
      <c r="T352" s="12">
        <f t="shared" si="7"/>
        <v>0</v>
      </c>
      <c r="U352" s="12">
        <f t="shared" si="7"/>
        <v>0</v>
      </c>
      <c r="V352" s="12">
        <f t="shared" si="8"/>
        <v>0</v>
      </c>
      <c r="W352" s="12">
        <f t="shared" si="8"/>
        <v>3</v>
      </c>
      <c r="X352" s="12">
        <f t="shared" si="8"/>
        <v>3</v>
      </c>
      <c r="Y352" s="12" t="str">
        <f t="shared" si="8"/>
        <v/>
      </c>
      <c r="Z352" s="12">
        <f t="shared" si="8"/>
        <v>3</v>
      </c>
      <c r="AA352" s="12">
        <f t="shared" si="8"/>
        <v>3</v>
      </c>
      <c r="AB352" s="12">
        <f t="shared" si="8"/>
        <v>3</v>
      </c>
      <c r="AC352" s="12">
        <f t="shared" si="8"/>
        <v>3</v>
      </c>
      <c r="AD352" s="12">
        <f t="shared" si="8"/>
        <v>0</v>
      </c>
      <c r="AE352" s="12">
        <f t="shared" si="8"/>
        <v>0</v>
      </c>
      <c r="AF352" s="12">
        <f t="shared" si="8"/>
        <v>0</v>
      </c>
      <c r="AG352" s="12">
        <f t="shared" si="8"/>
        <v>0</v>
      </c>
      <c r="AH352" s="12">
        <f t="shared" si="8"/>
        <v>0</v>
      </c>
      <c r="AI352" s="12">
        <f t="shared" si="8"/>
        <v>0</v>
      </c>
      <c r="AJ352" s="12">
        <f t="shared" si="8"/>
        <v>0</v>
      </c>
    </row>
    <row r="353" spans="1:36">
      <c r="A353" s="9">
        <v>25</v>
      </c>
      <c r="B353" s="12">
        <f t="shared" si="6"/>
        <v>0</v>
      </c>
      <c r="C353" s="12">
        <f t="shared" si="6"/>
        <v>0</v>
      </c>
      <c r="D353" s="12">
        <f t="shared" si="6"/>
        <v>0</v>
      </c>
      <c r="E353" s="12">
        <f t="shared" si="6"/>
        <v>0</v>
      </c>
      <c r="F353" s="12">
        <f t="shared" si="6"/>
        <v>0</v>
      </c>
      <c r="G353" s="12">
        <f t="shared" si="6"/>
        <v>0</v>
      </c>
      <c r="H353" s="12">
        <f t="shared" si="6"/>
        <v>0</v>
      </c>
      <c r="I353" s="12">
        <f t="shared" si="6"/>
        <v>0</v>
      </c>
      <c r="J353" s="12">
        <f t="shared" si="6"/>
        <v>0</v>
      </c>
      <c r="K353" s="12">
        <f t="shared" si="6"/>
        <v>0</v>
      </c>
      <c r="L353" s="12">
        <f t="shared" si="7"/>
        <v>0</v>
      </c>
      <c r="M353" s="12">
        <f t="shared" si="7"/>
        <v>0</v>
      </c>
      <c r="N353" s="12">
        <f t="shared" si="7"/>
        <v>0</v>
      </c>
      <c r="O353" s="12">
        <f t="shared" si="7"/>
        <v>0</v>
      </c>
      <c r="P353" s="12">
        <f t="shared" si="7"/>
        <v>0</v>
      </c>
      <c r="Q353" s="12">
        <f t="shared" si="7"/>
        <v>0</v>
      </c>
      <c r="R353" s="12">
        <f t="shared" si="7"/>
        <v>0</v>
      </c>
      <c r="S353" s="12">
        <f t="shared" si="7"/>
        <v>0</v>
      </c>
      <c r="T353" s="12">
        <f t="shared" si="7"/>
        <v>0</v>
      </c>
      <c r="U353" s="12">
        <f t="shared" si="7"/>
        <v>0</v>
      </c>
      <c r="V353" s="12">
        <f t="shared" si="8"/>
        <v>0</v>
      </c>
      <c r="W353" s="12">
        <f t="shared" si="8"/>
        <v>3</v>
      </c>
      <c r="X353" s="12">
        <f t="shared" si="8"/>
        <v>3</v>
      </c>
      <c r="Y353" s="12">
        <f t="shared" si="8"/>
        <v>3</v>
      </c>
      <c r="Z353" s="12" t="str">
        <f t="shared" si="8"/>
        <v/>
      </c>
      <c r="AA353" s="12">
        <f t="shared" si="8"/>
        <v>3</v>
      </c>
      <c r="AB353" s="12">
        <f t="shared" si="8"/>
        <v>3</v>
      </c>
      <c r="AC353" s="12">
        <f t="shared" si="8"/>
        <v>3</v>
      </c>
      <c r="AD353" s="12">
        <f t="shared" si="8"/>
        <v>0</v>
      </c>
      <c r="AE353" s="12">
        <f t="shared" si="8"/>
        <v>0</v>
      </c>
      <c r="AF353" s="12">
        <f t="shared" si="8"/>
        <v>0</v>
      </c>
      <c r="AG353" s="12">
        <f t="shared" si="8"/>
        <v>0</v>
      </c>
      <c r="AH353" s="12">
        <f t="shared" si="8"/>
        <v>0</v>
      </c>
      <c r="AI353" s="12">
        <f t="shared" si="8"/>
        <v>0</v>
      </c>
      <c r="AJ353" s="12">
        <f t="shared" si="8"/>
        <v>0</v>
      </c>
    </row>
    <row r="354" spans="1:36">
      <c r="A354" s="9">
        <v>26</v>
      </c>
      <c r="B354" s="12">
        <f t="shared" si="6"/>
        <v>0</v>
      </c>
      <c r="C354" s="12">
        <f t="shared" si="6"/>
        <v>0</v>
      </c>
      <c r="D354" s="12">
        <f t="shared" si="6"/>
        <v>0</v>
      </c>
      <c r="E354" s="12">
        <f t="shared" si="6"/>
        <v>0</v>
      </c>
      <c r="F354" s="12">
        <f t="shared" si="6"/>
        <v>0</v>
      </c>
      <c r="G354" s="12">
        <f t="shared" si="6"/>
        <v>0</v>
      </c>
      <c r="H354" s="12">
        <f t="shared" si="6"/>
        <v>0</v>
      </c>
      <c r="I354" s="12">
        <f t="shared" si="6"/>
        <v>0</v>
      </c>
      <c r="J354" s="12">
        <f t="shared" si="6"/>
        <v>0</v>
      </c>
      <c r="K354" s="12">
        <f t="shared" si="6"/>
        <v>0</v>
      </c>
      <c r="L354" s="12">
        <f t="shared" si="7"/>
        <v>0</v>
      </c>
      <c r="M354" s="12">
        <f t="shared" si="7"/>
        <v>0</v>
      </c>
      <c r="N354" s="12">
        <f t="shared" si="7"/>
        <v>0</v>
      </c>
      <c r="O354" s="12">
        <f t="shared" si="7"/>
        <v>0</v>
      </c>
      <c r="P354" s="12">
        <f t="shared" si="7"/>
        <v>0</v>
      </c>
      <c r="Q354" s="12">
        <f t="shared" si="7"/>
        <v>0</v>
      </c>
      <c r="R354" s="12">
        <f t="shared" si="7"/>
        <v>0</v>
      </c>
      <c r="S354" s="12">
        <f t="shared" si="7"/>
        <v>0</v>
      </c>
      <c r="T354" s="12">
        <f t="shared" si="7"/>
        <v>0</v>
      </c>
      <c r="U354" s="12">
        <f t="shared" si="7"/>
        <v>0</v>
      </c>
      <c r="V354" s="12">
        <f t="shared" si="8"/>
        <v>0</v>
      </c>
      <c r="W354" s="12">
        <f t="shared" si="8"/>
        <v>3</v>
      </c>
      <c r="X354" s="12">
        <f t="shared" si="8"/>
        <v>3</v>
      </c>
      <c r="Y354" s="12">
        <f t="shared" si="8"/>
        <v>3</v>
      </c>
      <c r="Z354" s="12">
        <f t="shared" si="8"/>
        <v>3</v>
      </c>
      <c r="AA354" s="12" t="str">
        <f t="shared" si="8"/>
        <v/>
      </c>
      <c r="AB354" s="12">
        <f t="shared" si="8"/>
        <v>3</v>
      </c>
      <c r="AC354" s="12">
        <f t="shared" si="8"/>
        <v>3</v>
      </c>
      <c r="AD354" s="12">
        <f t="shared" si="8"/>
        <v>0</v>
      </c>
      <c r="AE354" s="12">
        <f t="shared" si="8"/>
        <v>0</v>
      </c>
      <c r="AF354" s="12">
        <f t="shared" si="8"/>
        <v>0</v>
      </c>
      <c r="AG354" s="12">
        <f t="shared" si="8"/>
        <v>0</v>
      </c>
      <c r="AH354" s="12">
        <f t="shared" si="8"/>
        <v>0</v>
      </c>
      <c r="AI354" s="12">
        <f t="shared" si="8"/>
        <v>0</v>
      </c>
      <c r="AJ354" s="12">
        <f t="shared" si="8"/>
        <v>0</v>
      </c>
    </row>
    <row r="355" spans="1:36">
      <c r="A355" s="9">
        <v>27</v>
      </c>
      <c r="B355" s="12">
        <f t="shared" si="6"/>
        <v>0</v>
      </c>
      <c r="C355" s="12">
        <f t="shared" si="6"/>
        <v>0</v>
      </c>
      <c r="D355" s="12">
        <f t="shared" si="6"/>
        <v>0</v>
      </c>
      <c r="E355" s="12">
        <f t="shared" si="6"/>
        <v>0</v>
      </c>
      <c r="F355" s="12">
        <f t="shared" si="6"/>
        <v>0</v>
      </c>
      <c r="G355" s="12">
        <f t="shared" si="6"/>
        <v>0</v>
      </c>
      <c r="H355" s="12">
        <f t="shared" si="6"/>
        <v>0</v>
      </c>
      <c r="I355" s="12">
        <f t="shared" si="6"/>
        <v>0</v>
      </c>
      <c r="J355" s="12">
        <f t="shared" si="6"/>
        <v>0</v>
      </c>
      <c r="K355" s="12">
        <f t="shared" si="6"/>
        <v>0</v>
      </c>
      <c r="L355" s="12">
        <f t="shared" si="7"/>
        <v>0</v>
      </c>
      <c r="M355" s="12">
        <f t="shared" si="7"/>
        <v>0</v>
      </c>
      <c r="N355" s="12">
        <f t="shared" si="7"/>
        <v>0</v>
      </c>
      <c r="O355" s="12">
        <f t="shared" si="7"/>
        <v>0</v>
      </c>
      <c r="P355" s="12">
        <f t="shared" si="7"/>
        <v>0</v>
      </c>
      <c r="Q355" s="12">
        <f t="shared" si="7"/>
        <v>0</v>
      </c>
      <c r="R355" s="12">
        <f t="shared" si="7"/>
        <v>0</v>
      </c>
      <c r="S355" s="12">
        <f t="shared" si="7"/>
        <v>0</v>
      </c>
      <c r="T355" s="12">
        <f t="shared" si="7"/>
        <v>0</v>
      </c>
      <c r="U355" s="12">
        <f t="shared" si="7"/>
        <v>0</v>
      </c>
      <c r="V355" s="12">
        <f t="shared" si="8"/>
        <v>0</v>
      </c>
      <c r="W355" s="12">
        <f t="shared" si="8"/>
        <v>3</v>
      </c>
      <c r="X355" s="12">
        <f t="shared" si="8"/>
        <v>3</v>
      </c>
      <c r="Y355" s="12">
        <f t="shared" si="8"/>
        <v>3</v>
      </c>
      <c r="Z355" s="12">
        <f t="shared" si="8"/>
        <v>3</v>
      </c>
      <c r="AA355" s="12">
        <f t="shared" si="8"/>
        <v>3</v>
      </c>
      <c r="AB355" s="12" t="str">
        <f t="shared" si="8"/>
        <v/>
      </c>
      <c r="AC355" s="12">
        <f t="shared" si="8"/>
        <v>3</v>
      </c>
      <c r="AD355" s="12">
        <f t="shared" si="8"/>
        <v>0</v>
      </c>
      <c r="AE355" s="12">
        <f t="shared" si="8"/>
        <v>0</v>
      </c>
      <c r="AF355" s="12">
        <f t="shared" si="8"/>
        <v>0</v>
      </c>
      <c r="AG355" s="12">
        <f t="shared" si="8"/>
        <v>0</v>
      </c>
      <c r="AH355" s="12">
        <f t="shared" si="8"/>
        <v>0</v>
      </c>
      <c r="AI355" s="12">
        <f t="shared" si="8"/>
        <v>0</v>
      </c>
      <c r="AJ355" s="12">
        <f t="shared" si="8"/>
        <v>0</v>
      </c>
    </row>
    <row r="356" spans="1:36">
      <c r="A356" s="9">
        <v>28</v>
      </c>
      <c r="B356" s="12">
        <f t="shared" ref="B356:K363" si="9">IF($A356=B$328,"",COUNTIF($E$4:$E$325,$A356&amp;" ضد "&amp;B$328)+COUNTIF($E$4:$E$325,B$328&amp;" ضد "&amp;$A356))</f>
        <v>0</v>
      </c>
      <c r="C356" s="12">
        <f t="shared" si="9"/>
        <v>0</v>
      </c>
      <c r="D356" s="12">
        <f t="shared" si="9"/>
        <v>0</v>
      </c>
      <c r="E356" s="12">
        <f t="shared" si="9"/>
        <v>0</v>
      </c>
      <c r="F356" s="12">
        <f t="shared" si="9"/>
        <v>0</v>
      </c>
      <c r="G356" s="12">
        <f t="shared" si="9"/>
        <v>0</v>
      </c>
      <c r="H356" s="12">
        <f t="shared" si="9"/>
        <v>0</v>
      </c>
      <c r="I356" s="12">
        <f t="shared" si="9"/>
        <v>0</v>
      </c>
      <c r="J356" s="12">
        <f t="shared" si="9"/>
        <v>0</v>
      </c>
      <c r="K356" s="12">
        <f t="shared" si="9"/>
        <v>0</v>
      </c>
      <c r="L356" s="12">
        <f t="shared" ref="L356:U363" si="10">IF($A356=L$328,"",COUNTIF($E$4:$E$325,$A356&amp;" ضد "&amp;L$328)+COUNTIF($E$4:$E$325,L$328&amp;" ضد "&amp;$A356))</f>
        <v>0</v>
      </c>
      <c r="M356" s="12">
        <f t="shared" si="10"/>
        <v>0</v>
      </c>
      <c r="N356" s="12">
        <f t="shared" si="10"/>
        <v>0</v>
      </c>
      <c r="O356" s="12">
        <f t="shared" si="10"/>
        <v>0</v>
      </c>
      <c r="P356" s="12">
        <f t="shared" si="10"/>
        <v>0</v>
      </c>
      <c r="Q356" s="12">
        <f t="shared" si="10"/>
        <v>0</v>
      </c>
      <c r="R356" s="12">
        <f t="shared" si="10"/>
        <v>0</v>
      </c>
      <c r="S356" s="12">
        <f t="shared" si="10"/>
        <v>0</v>
      </c>
      <c r="T356" s="12">
        <f t="shared" si="10"/>
        <v>0</v>
      </c>
      <c r="U356" s="12">
        <f t="shared" si="10"/>
        <v>0</v>
      </c>
      <c r="V356" s="12">
        <f t="shared" ref="V356:AJ363" si="11">IF($A356=V$328,"",COUNTIF($E$4:$E$325,$A356&amp;" ضد "&amp;V$328)+COUNTIF($E$4:$E$325,V$328&amp;" ضد "&amp;$A356))</f>
        <v>0</v>
      </c>
      <c r="W356" s="12">
        <f t="shared" si="11"/>
        <v>3</v>
      </c>
      <c r="X356" s="12">
        <f t="shared" si="11"/>
        <v>3</v>
      </c>
      <c r="Y356" s="12">
        <f t="shared" si="11"/>
        <v>3</v>
      </c>
      <c r="Z356" s="12">
        <f t="shared" si="11"/>
        <v>3</v>
      </c>
      <c r="AA356" s="12">
        <f t="shared" si="11"/>
        <v>3</v>
      </c>
      <c r="AB356" s="12">
        <f t="shared" si="11"/>
        <v>3</v>
      </c>
      <c r="AC356" s="12" t="str">
        <f t="shared" si="11"/>
        <v/>
      </c>
      <c r="AD356" s="12">
        <f t="shared" si="11"/>
        <v>0</v>
      </c>
      <c r="AE356" s="12">
        <f t="shared" si="11"/>
        <v>0</v>
      </c>
      <c r="AF356" s="12">
        <f t="shared" si="11"/>
        <v>0</v>
      </c>
      <c r="AG356" s="12">
        <f t="shared" si="11"/>
        <v>0</v>
      </c>
      <c r="AH356" s="12">
        <f t="shared" si="11"/>
        <v>0</v>
      </c>
      <c r="AI356" s="12">
        <f t="shared" si="11"/>
        <v>0</v>
      </c>
      <c r="AJ356" s="12">
        <f t="shared" si="11"/>
        <v>0</v>
      </c>
    </row>
    <row r="357" spans="1:36">
      <c r="A357" s="9">
        <v>29</v>
      </c>
      <c r="B357" s="12">
        <f t="shared" si="9"/>
        <v>0</v>
      </c>
      <c r="C357" s="12">
        <f t="shared" si="9"/>
        <v>0</v>
      </c>
      <c r="D357" s="12">
        <f t="shared" si="9"/>
        <v>0</v>
      </c>
      <c r="E357" s="12">
        <f t="shared" si="9"/>
        <v>0</v>
      </c>
      <c r="F357" s="12">
        <f t="shared" si="9"/>
        <v>0</v>
      </c>
      <c r="G357" s="12">
        <f t="shared" si="9"/>
        <v>0</v>
      </c>
      <c r="H357" s="12">
        <f t="shared" si="9"/>
        <v>0</v>
      </c>
      <c r="I357" s="12">
        <f t="shared" si="9"/>
        <v>0</v>
      </c>
      <c r="J357" s="12">
        <f t="shared" si="9"/>
        <v>0</v>
      </c>
      <c r="K357" s="12">
        <f t="shared" si="9"/>
        <v>0</v>
      </c>
      <c r="L357" s="12">
        <f t="shared" si="10"/>
        <v>0</v>
      </c>
      <c r="M357" s="12">
        <f t="shared" si="10"/>
        <v>0</v>
      </c>
      <c r="N357" s="12">
        <f t="shared" si="10"/>
        <v>0</v>
      </c>
      <c r="O357" s="12">
        <f t="shared" si="10"/>
        <v>0</v>
      </c>
      <c r="P357" s="12">
        <f t="shared" si="10"/>
        <v>0</v>
      </c>
      <c r="Q357" s="12">
        <f t="shared" si="10"/>
        <v>0</v>
      </c>
      <c r="R357" s="12">
        <f t="shared" si="10"/>
        <v>0</v>
      </c>
      <c r="S357" s="12">
        <f t="shared" si="10"/>
        <v>0</v>
      </c>
      <c r="T357" s="12">
        <f t="shared" si="10"/>
        <v>0</v>
      </c>
      <c r="U357" s="12">
        <f t="shared" si="10"/>
        <v>0</v>
      </c>
      <c r="V357" s="12">
        <f t="shared" si="11"/>
        <v>0</v>
      </c>
      <c r="W357" s="12">
        <f t="shared" si="11"/>
        <v>0</v>
      </c>
      <c r="X357" s="12">
        <f t="shared" si="11"/>
        <v>0</v>
      </c>
      <c r="Y357" s="12">
        <f t="shared" si="11"/>
        <v>0</v>
      </c>
      <c r="Z357" s="12">
        <f t="shared" si="11"/>
        <v>0</v>
      </c>
      <c r="AA357" s="12">
        <f t="shared" si="11"/>
        <v>0</v>
      </c>
      <c r="AB357" s="12">
        <f t="shared" si="11"/>
        <v>0</v>
      </c>
      <c r="AC357" s="12">
        <f t="shared" si="11"/>
        <v>0</v>
      </c>
      <c r="AD357" s="12" t="str">
        <f t="shared" si="11"/>
        <v/>
      </c>
      <c r="AE357" s="12">
        <f t="shared" si="11"/>
        <v>3</v>
      </c>
      <c r="AF357" s="12">
        <f t="shared" si="11"/>
        <v>3</v>
      </c>
      <c r="AG357" s="12">
        <f t="shared" si="11"/>
        <v>3</v>
      </c>
      <c r="AH357" s="12">
        <f t="shared" si="11"/>
        <v>3</v>
      </c>
      <c r="AI357" s="12">
        <f t="shared" si="11"/>
        <v>3</v>
      </c>
      <c r="AJ357" s="12">
        <f t="shared" si="11"/>
        <v>3</v>
      </c>
    </row>
    <row r="358" spans="1:36">
      <c r="A358" s="9">
        <v>30</v>
      </c>
      <c r="B358" s="12">
        <f t="shared" si="9"/>
        <v>0</v>
      </c>
      <c r="C358" s="12">
        <f t="shared" si="9"/>
        <v>0</v>
      </c>
      <c r="D358" s="12">
        <f t="shared" si="9"/>
        <v>0</v>
      </c>
      <c r="E358" s="12">
        <f t="shared" si="9"/>
        <v>0</v>
      </c>
      <c r="F358" s="12">
        <f t="shared" si="9"/>
        <v>0</v>
      </c>
      <c r="G358" s="12">
        <f t="shared" si="9"/>
        <v>0</v>
      </c>
      <c r="H358" s="12">
        <f t="shared" si="9"/>
        <v>0</v>
      </c>
      <c r="I358" s="12">
        <f t="shared" si="9"/>
        <v>0</v>
      </c>
      <c r="J358" s="12">
        <f t="shared" si="9"/>
        <v>0</v>
      </c>
      <c r="K358" s="12">
        <f t="shared" si="9"/>
        <v>0</v>
      </c>
      <c r="L358" s="12">
        <f t="shared" si="10"/>
        <v>0</v>
      </c>
      <c r="M358" s="12">
        <f t="shared" si="10"/>
        <v>0</v>
      </c>
      <c r="N358" s="12">
        <f t="shared" si="10"/>
        <v>0</v>
      </c>
      <c r="O358" s="12">
        <f t="shared" si="10"/>
        <v>0</v>
      </c>
      <c r="P358" s="12">
        <f t="shared" si="10"/>
        <v>0</v>
      </c>
      <c r="Q358" s="12">
        <f t="shared" si="10"/>
        <v>0</v>
      </c>
      <c r="R358" s="12">
        <f t="shared" si="10"/>
        <v>0</v>
      </c>
      <c r="S358" s="12">
        <f t="shared" si="10"/>
        <v>0</v>
      </c>
      <c r="T358" s="12">
        <f t="shared" si="10"/>
        <v>0</v>
      </c>
      <c r="U358" s="12">
        <f t="shared" si="10"/>
        <v>0</v>
      </c>
      <c r="V358" s="12">
        <f t="shared" si="11"/>
        <v>0</v>
      </c>
      <c r="W358" s="12">
        <f t="shared" si="11"/>
        <v>0</v>
      </c>
      <c r="X358" s="12">
        <f t="shared" si="11"/>
        <v>0</v>
      </c>
      <c r="Y358" s="12">
        <f t="shared" si="11"/>
        <v>0</v>
      </c>
      <c r="Z358" s="12">
        <f t="shared" si="11"/>
        <v>0</v>
      </c>
      <c r="AA358" s="12">
        <f t="shared" si="11"/>
        <v>0</v>
      </c>
      <c r="AB358" s="12">
        <f t="shared" si="11"/>
        <v>0</v>
      </c>
      <c r="AC358" s="12">
        <f t="shared" si="11"/>
        <v>0</v>
      </c>
      <c r="AD358" s="12">
        <f t="shared" si="11"/>
        <v>3</v>
      </c>
      <c r="AE358" s="12" t="str">
        <f t="shared" si="11"/>
        <v/>
      </c>
      <c r="AF358" s="12">
        <f t="shared" si="11"/>
        <v>3</v>
      </c>
      <c r="AG358" s="12">
        <f t="shared" si="11"/>
        <v>3</v>
      </c>
      <c r="AH358" s="12">
        <f t="shared" si="11"/>
        <v>3</v>
      </c>
      <c r="AI358" s="12">
        <f t="shared" si="11"/>
        <v>3</v>
      </c>
      <c r="AJ358" s="12">
        <f t="shared" si="11"/>
        <v>3</v>
      </c>
    </row>
    <row r="359" spans="1:36">
      <c r="A359" s="9">
        <v>31</v>
      </c>
      <c r="B359" s="12">
        <f t="shared" si="9"/>
        <v>0</v>
      </c>
      <c r="C359" s="12">
        <f t="shared" si="9"/>
        <v>0</v>
      </c>
      <c r="D359" s="12">
        <f t="shared" si="9"/>
        <v>0</v>
      </c>
      <c r="E359" s="12">
        <f t="shared" si="9"/>
        <v>0</v>
      </c>
      <c r="F359" s="12">
        <f t="shared" si="9"/>
        <v>0</v>
      </c>
      <c r="G359" s="12">
        <f t="shared" si="9"/>
        <v>0</v>
      </c>
      <c r="H359" s="12">
        <f t="shared" si="9"/>
        <v>0</v>
      </c>
      <c r="I359" s="12">
        <f t="shared" si="9"/>
        <v>0</v>
      </c>
      <c r="J359" s="12">
        <f t="shared" si="9"/>
        <v>0</v>
      </c>
      <c r="K359" s="12">
        <f t="shared" si="9"/>
        <v>0</v>
      </c>
      <c r="L359" s="12">
        <f t="shared" si="10"/>
        <v>0</v>
      </c>
      <c r="M359" s="12">
        <f t="shared" si="10"/>
        <v>0</v>
      </c>
      <c r="N359" s="12">
        <f t="shared" si="10"/>
        <v>0</v>
      </c>
      <c r="O359" s="12">
        <f t="shared" si="10"/>
        <v>0</v>
      </c>
      <c r="P359" s="12">
        <f t="shared" si="10"/>
        <v>0</v>
      </c>
      <c r="Q359" s="12">
        <f t="shared" si="10"/>
        <v>0</v>
      </c>
      <c r="R359" s="12">
        <f t="shared" si="10"/>
        <v>0</v>
      </c>
      <c r="S359" s="12">
        <f t="shared" si="10"/>
        <v>0</v>
      </c>
      <c r="T359" s="12">
        <f t="shared" si="10"/>
        <v>0</v>
      </c>
      <c r="U359" s="12">
        <f t="shared" si="10"/>
        <v>0</v>
      </c>
      <c r="V359" s="12">
        <f t="shared" si="11"/>
        <v>0</v>
      </c>
      <c r="W359" s="12">
        <f t="shared" si="11"/>
        <v>0</v>
      </c>
      <c r="X359" s="12">
        <f t="shared" si="11"/>
        <v>0</v>
      </c>
      <c r="Y359" s="12">
        <f t="shared" si="11"/>
        <v>0</v>
      </c>
      <c r="Z359" s="12">
        <f t="shared" si="11"/>
        <v>0</v>
      </c>
      <c r="AA359" s="12">
        <f t="shared" si="11"/>
        <v>0</v>
      </c>
      <c r="AB359" s="12">
        <f t="shared" si="11"/>
        <v>0</v>
      </c>
      <c r="AC359" s="12">
        <f t="shared" si="11"/>
        <v>0</v>
      </c>
      <c r="AD359" s="12">
        <f t="shared" si="11"/>
        <v>3</v>
      </c>
      <c r="AE359" s="12">
        <f t="shared" si="11"/>
        <v>3</v>
      </c>
      <c r="AF359" s="12" t="str">
        <f t="shared" si="11"/>
        <v/>
      </c>
      <c r="AG359" s="12">
        <f t="shared" si="11"/>
        <v>3</v>
      </c>
      <c r="AH359" s="12">
        <f t="shared" si="11"/>
        <v>3</v>
      </c>
      <c r="AI359" s="12">
        <f t="shared" si="11"/>
        <v>3</v>
      </c>
      <c r="AJ359" s="12">
        <f t="shared" si="11"/>
        <v>3</v>
      </c>
    </row>
    <row r="360" spans="1:36">
      <c r="A360" s="9">
        <v>32</v>
      </c>
      <c r="B360" s="12">
        <f t="shared" si="9"/>
        <v>0</v>
      </c>
      <c r="C360" s="12">
        <f t="shared" si="9"/>
        <v>0</v>
      </c>
      <c r="D360" s="12">
        <f t="shared" si="9"/>
        <v>0</v>
      </c>
      <c r="E360" s="12">
        <f t="shared" si="9"/>
        <v>0</v>
      </c>
      <c r="F360" s="12">
        <f t="shared" si="9"/>
        <v>0</v>
      </c>
      <c r="G360" s="12">
        <f t="shared" si="9"/>
        <v>0</v>
      </c>
      <c r="H360" s="12">
        <f t="shared" si="9"/>
        <v>0</v>
      </c>
      <c r="I360" s="12">
        <f t="shared" si="9"/>
        <v>0</v>
      </c>
      <c r="J360" s="12">
        <f t="shared" si="9"/>
        <v>0</v>
      </c>
      <c r="K360" s="12">
        <f t="shared" si="9"/>
        <v>0</v>
      </c>
      <c r="L360" s="12">
        <f t="shared" si="10"/>
        <v>0</v>
      </c>
      <c r="M360" s="12">
        <f t="shared" si="10"/>
        <v>0</v>
      </c>
      <c r="N360" s="12">
        <f t="shared" si="10"/>
        <v>0</v>
      </c>
      <c r="O360" s="12">
        <f t="shared" si="10"/>
        <v>0</v>
      </c>
      <c r="P360" s="12">
        <f t="shared" si="10"/>
        <v>0</v>
      </c>
      <c r="Q360" s="12">
        <f t="shared" si="10"/>
        <v>0</v>
      </c>
      <c r="R360" s="12">
        <f t="shared" si="10"/>
        <v>0</v>
      </c>
      <c r="S360" s="12">
        <f t="shared" si="10"/>
        <v>0</v>
      </c>
      <c r="T360" s="12">
        <f t="shared" si="10"/>
        <v>0</v>
      </c>
      <c r="U360" s="12">
        <f t="shared" si="10"/>
        <v>0</v>
      </c>
      <c r="V360" s="12">
        <f t="shared" si="11"/>
        <v>0</v>
      </c>
      <c r="W360" s="12">
        <f t="shared" si="11"/>
        <v>0</v>
      </c>
      <c r="X360" s="12">
        <f t="shared" si="11"/>
        <v>0</v>
      </c>
      <c r="Y360" s="12">
        <f t="shared" si="11"/>
        <v>0</v>
      </c>
      <c r="Z360" s="12">
        <f t="shared" si="11"/>
        <v>0</v>
      </c>
      <c r="AA360" s="12">
        <f t="shared" si="11"/>
        <v>0</v>
      </c>
      <c r="AB360" s="12">
        <f t="shared" si="11"/>
        <v>0</v>
      </c>
      <c r="AC360" s="12">
        <f t="shared" si="11"/>
        <v>0</v>
      </c>
      <c r="AD360" s="12">
        <f t="shared" si="11"/>
        <v>3</v>
      </c>
      <c r="AE360" s="12">
        <f t="shared" si="11"/>
        <v>3</v>
      </c>
      <c r="AF360" s="12">
        <f t="shared" si="11"/>
        <v>3</v>
      </c>
      <c r="AG360" s="12" t="str">
        <f t="shared" si="11"/>
        <v/>
      </c>
      <c r="AH360" s="12">
        <f t="shared" si="11"/>
        <v>3</v>
      </c>
      <c r="AI360" s="12">
        <f t="shared" si="11"/>
        <v>3</v>
      </c>
      <c r="AJ360" s="12">
        <f t="shared" si="11"/>
        <v>3</v>
      </c>
    </row>
    <row r="361" spans="1:36">
      <c r="A361" s="9">
        <v>33</v>
      </c>
      <c r="B361" s="12">
        <f t="shared" si="9"/>
        <v>0</v>
      </c>
      <c r="C361" s="12">
        <f t="shared" si="9"/>
        <v>0</v>
      </c>
      <c r="D361" s="12">
        <f t="shared" si="9"/>
        <v>0</v>
      </c>
      <c r="E361" s="12">
        <f t="shared" si="9"/>
        <v>0</v>
      </c>
      <c r="F361" s="12">
        <f t="shared" si="9"/>
        <v>0</v>
      </c>
      <c r="G361" s="12">
        <f t="shared" si="9"/>
        <v>0</v>
      </c>
      <c r="H361" s="12">
        <f t="shared" si="9"/>
        <v>0</v>
      </c>
      <c r="I361" s="12">
        <f t="shared" si="9"/>
        <v>0</v>
      </c>
      <c r="J361" s="12">
        <f t="shared" si="9"/>
        <v>0</v>
      </c>
      <c r="K361" s="12">
        <f t="shared" si="9"/>
        <v>0</v>
      </c>
      <c r="L361" s="12">
        <f t="shared" si="10"/>
        <v>0</v>
      </c>
      <c r="M361" s="12">
        <f t="shared" si="10"/>
        <v>0</v>
      </c>
      <c r="N361" s="12">
        <f t="shared" si="10"/>
        <v>0</v>
      </c>
      <c r="O361" s="12">
        <f t="shared" si="10"/>
        <v>0</v>
      </c>
      <c r="P361" s="12">
        <f t="shared" si="10"/>
        <v>0</v>
      </c>
      <c r="Q361" s="12">
        <f t="shared" si="10"/>
        <v>0</v>
      </c>
      <c r="R361" s="12">
        <f t="shared" si="10"/>
        <v>0</v>
      </c>
      <c r="S361" s="12">
        <f t="shared" si="10"/>
        <v>0</v>
      </c>
      <c r="T361" s="12">
        <f t="shared" si="10"/>
        <v>0</v>
      </c>
      <c r="U361" s="12">
        <f t="shared" si="10"/>
        <v>0</v>
      </c>
      <c r="V361" s="12">
        <f t="shared" si="11"/>
        <v>0</v>
      </c>
      <c r="W361" s="12">
        <f t="shared" si="11"/>
        <v>0</v>
      </c>
      <c r="X361" s="12">
        <f t="shared" si="11"/>
        <v>0</v>
      </c>
      <c r="Y361" s="12">
        <f t="shared" si="11"/>
        <v>0</v>
      </c>
      <c r="Z361" s="12">
        <f t="shared" si="11"/>
        <v>0</v>
      </c>
      <c r="AA361" s="12">
        <f t="shared" si="11"/>
        <v>0</v>
      </c>
      <c r="AB361" s="12">
        <f t="shared" si="11"/>
        <v>0</v>
      </c>
      <c r="AC361" s="12">
        <f t="shared" si="11"/>
        <v>0</v>
      </c>
      <c r="AD361" s="12">
        <f t="shared" si="11"/>
        <v>3</v>
      </c>
      <c r="AE361" s="12">
        <f t="shared" si="11"/>
        <v>3</v>
      </c>
      <c r="AF361" s="12">
        <f t="shared" si="11"/>
        <v>3</v>
      </c>
      <c r="AG361" s="12">
        <f t="shared" si="11"/>
        <v>3</v>
      </c>
      <c r="AH361" s="12" t="str">
        <f t="shared" si="11"/>
        <v/>
      </c>
      <c r="AI361" s="12">
        <f t="shared" si="11"/>
        <v>3</v>
      </c>
      <c r="AJ361" s="12">
        <f t="shared" si="11"/>
        <v>3</v>
      </c>
    </row>
    <row r="362" spans="1:36">
      <c r="A362" s="9">
        <v>34</v>
      </c>
      <c r="B362" s="12">
        <f t="shared" si="9"/>
        <v>0</v>
      </c>
      <c r="C362" s="12">
        <f t="shared" si="9"/>
        <v>0</v>
      </c>
      <c r="D362" s="12">
        <f t="shared" si="9"/>
        <v>0</v>
      </c>
      <c r="E362" s="12">
        <f t="shared" si="9"/>
        <v>0</v>
      </c>
      <c r="F362" s="12">
        <f t="shared" si="9"/>
        <v>0</v>
      </c>
      <c r="G362" s="12">
        <f t="shared" si="9"/>
        <v>0</v>
      </c>
      <c r="H362" s="12">
        <f t="shared" si="9"/>
        <v>0</v>
      </c>
      <c r="I362" s="12">
        <f t="shared" si="9"/>
        <v>0</v>
      </c>
      <c r="J362" s="12">
        <f t="shared" si="9"/>
        <v>0</v>
      </c>
      <c r="K362" s="12">
        <f t="shared" si="9"/>
        <v>0</v>
      </c>
      <c r="L362" s="12">
        <f t="shared" si="10"/>
        <v>0</v>
      </c>
      <c r="M362" s="12">
        <f t="shared" si="10"/>
        <v>0</v>
      </c>
      <c r="N362" s="12">
        <f t="shared" si="10"/>
        <v>0</v>
      </c>
      <c r="O362" s="12">
        <f t="shared" si="10"/>
        <v>0</v>
      </c>
      <c r="P362" s="12">
        <f t="shared" si="10"/>
        <v>0</v>
      </c>
      <c r="Q362" s="12">
        <f t="shared" si="10"/>
        <v>0</v>
      </c>
      <c r="R362" s="12">
        <f t="shared" si="10"/>
        <v>0</v>
      </c>
      <c r="S362" s="12">
        <f t="shared" si="10"/>
        <v>0</v>
      </c>
      <c r="T362" s="12">
        <f t="shared" si="10"/>
        <v>0</v>
      </c>
      <c r="U362" s="12">
        <f t="shared" si="10"/>
        <v>0</v>
      </c>
      <c r="V362" s="12">
        <f t="shared" si="11"/>
        <v>0</v>
      </c>
      <c r="W362" s="12">
        <f t="shared" si="11"/>
        <v>0</v>
      </c>
      <c r="X362" s="12">
        <f t="shared" si="11"/>
        <v>0</v>
      </c>
      <c r="Y362" s="12">
        <f t="shared" si="11"/>
        <v>0</v>
      </c>
      <c r="Z362" s="12">
        <f t="shared" si="11"/>
        <v>0</v>
      </c>
      <c r="AA362" s="12">
        <f t="shared" si="11"/>
        <v>0</v>
      </c>
      <c r="AB362" s="12">
        <f t="shared" si="11"/>
        <v>0</v>
      </c>
      <c r="AC362" s="12">
        <f t="shared" si="11"/>
        <v>0</v>
      </c>
      <c r="AD362" s="12">
        <f t="shared" si="11"/>
        <v>3</v>
      </c>
      <c r="AE362" s="12">
        <f t="shared" si="11"/>
        <v>3</v>
      </c>
      <c r="AF362" s="12">
        <f t="shared" si="11"/>
        <v>3</v>
      </c>
      <c r="AG362" s="12">
        <f t="shared" si="11"/>
        <v>3</v>
      </c>
      <c r="AH362" s="12">
        <f t="shared" si="11"/>
        <v>3</v>
      </c>
      <c r="AI362" s="12" t="str">
        <f t="shared" si="11"/>
        <v/>
      </c>
      <c r="AJ362" s="12">
        <f t="shared" si="11"/>
        <v>3</v>
      </c>
    </row>
    <row r="363" spans="1:36">
      <c r="A363" s="9">
        <v>35</v>
      </c>
      <c r="B363" s="12">
        <f t="shared" si="9"/>
        <v>0</v>
      </c>
      <c r="C363" s="12">
        <f t="shared" si="9"/>
        <v>0</v>
      </c>
      <c r="D363" s="12">
        <f t="shared" si="9"/>
        <v>0</v>
      </c>
      <c r="E363" s="12">
        <f t="shared" si="9"/>
        <v>0</v>
      </c>
      <c r="F363" s="12">
        <f t="shared" si="9"/>
        <v>0</v>
      </c>
      <c r="G363" s="12">
        <f t="shared" si="9"/>
        <v>0</v>
      </c>
      <c r="H363" s="12">
        <f t="shared" si="9"/>
        <v>0</v>
      </c>
      <c r="I363" s="12">
        <f t="shared" si="9"/>
        <v>0</v>
      </c>
      <c r="J363" s="12">
        <f t="shared" si="9"/>
        <v>0</v>
      </c>
      <c r="K363" s="12">
        <f t="shared" si="9"/>
        <v>0</v>
      </c>
      <c r="L363" s="12">
        <f t="shared" si="10"/>
        <v>0</v>
      </c>
      <c r="M363" s="12">
        <f t="shared" si="10"/>
        <v>0</v>
      </c>
      <c r="N363" s="12">
        <f t="shared" si="10"/>
        <v>0</v>
      </c>
      <c r="O363" s="12">
        <f t="shared" si="10"/>
        <v>0</v>
      </c>
      <c r="P363" s="12">
        <f t="shared" si="10"/>
        <v>0</v>
      </c>
      <c r="Q363" s="12">
        <f t="shared" si="10"/>
        <v>0</v>
      </c>
      <c r="R363" s="12">
        <f t="shared" si="10"/>
        <v>0</v>
      </c>
      <c r="S363" s="12">
        <f t="shared" si="10"/>
        <v>0</v>
      </c>
      <c r="T363" s="12">
        <f t="shared" si="10"/>
        <v>0</v>
      </c>
      <c r="U363" s="12">
        <f t="shared" si="10"/>
        <v>0</v>
      </c>
      <c r="V363" s="12">
        <f t="shared" si="11"/>
        <v>0</v>
      </c>
      <c r="W363" s="12">
        <f t="shared" si="11"/>
        <v>0</v>
      </c>
      <c r="X363" s="12">
        <f t="shared" si="11"/>
        <v>0</v>
      </c>
      <c r="Y363" s="12">
        <f t="shared" si="11"/>
        <v>0</v>
      </c>
      <c r="Z363" s="12">
        <f t="shared" si="11"/>
        <v>0</v>
      </c>
      <c r="AA363" s="12">
        <f t="shared" si="11"/>
        <v>0</v>
      </c>
      <c r="AB363" s="12">
        <f t="shared" si="11"/>
        <v>0</v>
      </c>
      <c r="AC363" s="12">
        <f t="shared" si="11"/>
        <v>0</v>
      </c>
      <c r="AD363" s="12">
        <f t="shared" si="11"/>
        <v>3</v>
      </c>
      <c r="AE363" s="12">
        <f t="shared" si="11"/>
        <v>3</v>
      </c>
      <c r="AF363" s="12">
        <f t="shared" si="11"/>
        <v>3</v>
      </c>
      <c r="AG363" s="12">
        <f t="shared" si="11"/>
        <v>3</v>
      </c>
      <c r="AH363" s="12">
        <f t="shared" si="11"/>
        <v>3</v>
      </c>
      <c r="AI363" s="12">
        <f t="shared" si="11"/>
        <v>3</v>
      </c>
      <c r="AJ363" s="12" t="str">
        <f t="shared" si="11"/>
        <v/>
      </c>
    </row>
    <row r="364" spans="1:36">
      <c r="A364" s="47" t="s">
        <v>434</v>
      </c>
      <c r="B364" s="48">
        <f>_xlfn.MINIFS(B329:AJ363,B329:AJ363,"&gt;0")</f>
        <v>3</v>
      </c>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row>
    <row r="365" spans="1:36">
      <c r="A365" s="47" t="s">
        <v>435</v>
      </c>
      <c r="B365" s="48">
        <f>MAX(B329:AJ363)</f>
        <v>3</v>
      </c>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row>
    <row r="366" spans="1:36">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row>
    <row r="367" spans="1:36">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row>
    <row r="368" spans="1:36">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row>
    <row r="369" spans="1:36">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row>
    <row r="370" spans="1:36">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row>
    <row r="371" spans="1:36">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row>
    <row r="372" spans="1:36">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row>
    <row r="373" spans="1:36">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row>
    <row r="374" spans="1:36">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row>
    <row r="375" spans="1:36">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row>
    <row r="376" spans="1:36">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row>
    <row r="377" spans="1:36">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row>
    <row r="378" spans="1:36">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row>
    <row r="379" spans="1:36">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row>
    <row r="380" spans="1:36">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row>
    <row r="381" spans="1:36">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row>
    <row r="382" spans="1:36">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row>
    <row r="383" spans="1:36">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row>
    <row r="384" spans="1:36">
      <c r="A384" s="5"/>
      <c r="B384" s="5"/>
      <c r="C384" s="5"/>
      <c r="D384" s="5"/>
      <c r="E384" s="5"/>
      <c r="F384" s="5"/>
      <c r="G384" s="5"/>
    </row>
    <row r="385" s="5" customFormat="1"/>
    <row r="386" s="5" customFormat="1"/>
    <row r="387" s="5" customFormat="1"/>
    <row r="388" s="5" customFormat="1"/>
    <row r="389" s="5" customFormat="1"/>
    <row r="390" s="5" customFormat="1"/>
    <row r="391" s="5" customFormat="1"/>
    <row r="392" s="5" customFormat="1"/>
    <row r="393" s="5" customFormat="1"/>
    <row r="394" s="5" customFormat="1"/>
    <row r="395" s="5" customFormat="1"/>
    <row r="396" s="5" customFormat="1"/>
    <row r="397" s="5" customFormat="1"/>
    <row r="398" s="5" customFormat="1"/>
    <row r="399" s="5" customFormat="1"/>
    <row r="400" s="5" customFormat="1"/>
    <row r="401" s="5" customFormat="1"/>
    <row r="402" s="5" customFormat="1"/>
    <row r="403" s="5" customFormat="1"/>
    <row r="404" s="5" customFormat="1"/>
    <row r="405" s="5" customFormat="1"/>
    <row r="406" s="5" customFormat="1"/>
    <row r="407" s="5" customFormat="1"/>
    <row r="408" s="5" customFormat="1"/>
    <row r="409" s="5" customFormat="1"/>
    <row r="410" s="5" customFormat="1"/>
    <row r="411" s="5" customFormat="1"/>
    <row r="412" s="5" customFormat="1"/>
    <row r="413" s="5" customFormat="1"/>
    <row r="414" s="5" customFormat="1"/>
    <row r="415" s="5" customFormat="1"/>
    <row r="416" s="5" customFormat="1"/>
    <row r="417" s="5" customFormat="1"/>
    <row r="418" s="5" customFormat="1"/>
    <row r="419" s="5" customFormat="1"/>
    <row r="420" s="5" customFormat="1"/>
    <row r="421" s="5" customFormat="1"/>
    <row r="422" s="5" customFormat="1"/>
    <row r="423" s="5" customFormat="1"/>
    <row r="424" s="5" customFormat="1"/>
    <row r="425" s="5" customFormat="1"/>
    <row r="426" s="5" customFormat="1"/>
    <row r="427" s="5" customFormat="1"/>
    <row r="428" s="5" customFormat="1"/>
    <row r="429" s="5" customFormat="1"/>
    <row r="430" s="5" customFormat="1"/>
    <row r="431" s="5" customFormat="1"/>
    <row r="432" s="5" customFormat="1"/>
    <row r="433" s="5" customFormat="1"/>
    <row r="434" s="5" customFormat="1"/>
    <row r="435" s="5" customFormat="1"/>
    <row r="436" s="5" customFormat="1"/>
    <row r="437" s="5" customFormat="1"/>
    <row r="438" s="5" customFormat="1"/>
    <row r="439" s="5" customFormat="1"/>
    <row r="440" s="5" customFormat="1"/>
    <row r="441" s="5" customFormat="1"/>
    <row r="442" s="5" customFormat="1"/>
    <row r="443" s="5" customFormat="1"/>
    <row r="444" s="5" customFormat="1"/>
    <row r="445" s="5" customFormat="1"/>
    <row r="446" s="5" customFormat="1"/>
    <row r="447" s="5" customFormat="1"/>
    <row r="448" s="5" customFormat="1"/>
    <row r="449" s="5" customFormat="1"/>
    <row r="450" s="5" customFormat="1"/>
    <row r="451" s="5" customFormat="1"/>
    <row r="452" s="5" customFormat="1"/>
    <row r="453" s="5" customFormat="1"/>
    <row r="454" s="5" customFormat="1"/>
    <row r="455" s="5" customFormat="1"/>
    <row r="456" s="5" customFormat="1"/>
    <row r="457" s="5" customFormat="1"/>
    <row r="458" s="5" customFormat="1"/>
    <row r="459" s="5" customFormat="1"/>
    <row r="460" s="5" customFormat="1"/>
    <row r="461" s="5" customFormat="1"/>
    <row r="462" s="5" customFormat="1"/>
    <row r="463" s="5" customFormat="1"/>
    <row r="464" s="5" customFormat="1"/>
    <row r="465" s="5" customFormat="1"/>
    <row r="466" s="5" customFormat="1"/>
    <row r="467" s="5" customFormat="1"/>
    <row r="468" s="5" customFormat="1"/>
    <row r="469" s="5" customFormat="1"/>
    <row r="470" s="5" customFormat="1"/>
    <row r="471" s="5" customFormat="1"/>
    <row r="472" s="5" customFormat="1"/>
    <row r="473" s="5" customFormat="1"/>
    <row r="474" s="5" customFormat="1"/>
    <row r="475" s="5" customFormat="1"/>
    <row r="476" s="5" customFormat="1"/>
    <row r="477" s="5" customFormat="1"/>
    <row r="478" s="5" customFormat="1"/>
    <row r="479" s="5" customFormat="1"/>
    <row r="480" s="5" customFormat="1"/>
    <row r="481" s="5" customFormat="1"/>
    <row r="482" s="5" customFormat="1"/>
    <row r="483" s="5" customFormat="1"/>
    <row r="484" s="5" customFormat="1"/>
    <row r="485" s="5" customFormat="1"/>
    <row r="486" s="5" customFormat="1"/>
    <row r="487" s="5" customFormat="1"/>
    <row r="488" s="5" customFormat="1"/>
    <row r="489" s="5" customFormat="1"/>
    <row r="490" s="5" customFormat="1"/>
    <row r="491" s="5" customFormat="1"/>
    <row r="492" s="5" customFormat="1"/>
    <row r="493" s="5" customFormat="1"/>
    <row r="494" s="5" customFormat="1"/>
    <row r="495" s="5" customFormat="1"/>
    <row r="496" s="5" customFormat="1"/>
    <row r="497" s="5" customFormat="1"/>
    <row r="498" s="5" customFormat="1"/>
    <row r="499" s="5" customFormat="1"/>
    <row r="500" s="5" customFormat="1"/>
    <row r="501" s="5" customFormat="1"/>
    <row r="502" s="5" customFormat="1"/>
    <row r="503" s="5" customFormat="1"/>
    <row r="504" s="5" customFormat="1"/>
    <row r="505" s="5" customFormat="1"/>
    <row r="506" s="5" customFormat="1"/>
    <row r="507" s="5" customFormat="1"/>
    <row r="508" s="5" customFormat="1"/>
    <row r="509" s="5" customFormat="1"/>
    <row r="510" s="5" customFormat="1"/>
    <row r="511" s="5" customFormat="1"/>
    <row r="512" s="5" customFormat="1"/>
    <row r="513" s="5" customFormat="1"/>
    <row r="514" s="5" customFormat="1"/>
    <row r="515" s="5" customFormat="1"/>
    <row r="516" s="5" customFormat="1"/>
    <row r="517" s="5" customFormat="1"/>
    <row r="518" s="5" customFormat="1"/>
    <row r="519" s="5" customFormat="1"/>
    <row r="520" s="5" customFormat="1"/>
    <row r="521" s="5" customFormat="1"/>
    <row r="522" s="5" customFormat="1"/>
    <row r="523" s="5" customFormat="1"/>
    <row r="524" s="5" customFormat="1"/>
    <row r="525" s="5" customFormat="1"/>
    <row r="526" s="5" customFormat="1"/>
    <row r="527" s="5" customFormat="1"/>
    <row r="528" s="5" customFormat="1"/>
    <row r="529" s="5" customFormat="1"/>
    <row r="530" s="5" customFormat="1"/>
    <row r="531" s="5" customFormat="1"/>
    <row r="532" s="5" customFormat="1"/>
    <row r="533" s="5" customFormat="1"/>
    <row r="534" s="5" customFormat="1"/>
    <row r="535" s="5" customFormat="1"/>
    <row r="536" s="5" customFormat="1"/>
    <row r="537" s="5" customFormat="1"/>
    <row r="538" s="5" customFormat="1"/>
    <row r="539" s="5" customFormat="1"/>
    <row r="540" s="5" customFormat="1"/>
    <row r="541" s="5" customFormat="1"/>
    <row r="542" s="5" customFormat="1"/>
    <row r="543" s="5" customFormat="1"/>
    <row r="544" s="5" customFormat="1"/>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sheetData>
  <mergeCells count="2">
    <mergeCell ref="A1:G1"/>
    <mergeCell ref="A327:AJ32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38FF4-AE5F-4884-BAD7-54CFE43411DE}">
  <dimension ref="A1:AW800"/>
  <sheetViews>
    <sheetView rightToLeft="1" workbookViewId="0">
      <pane ySplit="3" topLeftCell="A480" activePane="bottomLeft" state="frozen"/>
      <selection sqref="A1:G1"/>
      <selection pane="bottomLeft" sqref="A1:XFD1048576"/>
    </sheetView>
  </sheetViews>
  <sheetFormatPr defaultRowHeight="14.5"/>
  <cols>
    <col min="1" max="1" width="20.1796875" style="15" bestFit="1" customWidth="1"/>
    <col min="2" max="2" width="10.1796875" style="15" bestFit="1" customWidth="1"/>
    <col min="3" max="3" width="5.81640625" style="15" bestFit="1" customWidth="1"/>
    <col min="4" max="4" width="12.90625" style="15" bestFit="1" customWidth="1"/>
    <col min="5" max="5" width="17.08984375" style="15" bestFit="1" customWidth="1"/>
    <col min="6" max="6" width="5.26953125" style="15" bestFit="1" customWidth="1"/>
    <col min="7" max="7" width="5.08984375" style="15" bestFit="1" customWidth="1"/>
    <col min="8" max="8" width="8.90625" style="5" bestFit="1" customWidth="1"/>
    <col min="9" max="9" width="10.90625" style="5" bestFit="1" customWidth="1"/>
    <col min="10" max="10" width="9.7265625" style="5" bestFit="1" customWidth="1"/>
    <col min="11" max="11" width="10.90625" style="5" bestFit="1" customWidth="1"/>
    <col min="12" max="12" width="73.453125" style="5" bestFit="1" customWidth="1"/>
    <col min="13" max="13" width="10.1796875" style="5" bestFit="1" customWidth="1"/>
    <col min="14" max="14" width="8.7265625" style="5"/>
    <col min="15" max="15" width="66.90625" style="5" bestFit="1" customWidth="1"/>
    <col min="16" max="16" width="10.1796875" style="5" bestFit="1" customWidth="1"/>
    <col min="17" max="16384" width="8.7265625" style="5"/>
  </cols>
  <sheetData>
    <row r="1" spans="1:16" ht="18.5">
      <c r="A1" s="49" t="s">
        <v>451</v>
      </c>
      <c r="B1" s="49"/>
      <c r="C1" s="49"/>
      <c r="D1" s="49"/>
      <c r="E1" s="49"/>
      <c r="F1" s="49"/>
      <c r="G1" s="49"/>
      <c r="H1" s="4"/>
      <c r="I1" s="4"/>
      <c r="J1" s="4"/>
      <c r="K1" s="4"/>
      <c r="L1" s="4"/>
      <c r="M1" s="4"/>
      <c r="N1" s="22"/>
      <c r="O1" s="22"/>
      <c r="P1" s="22"/>
    </row>
    <row r="2" spans="1:16">
      <c r="A2" s="6"/>
      <c r="B2" s="6"/>
      <c r="C2" s="6"/>
      <c r="D2" s="6"/>
      <c r="E2" s="6"/>
      <c r="F2" s="6"/>
      <c r="G2" s="6"/>
      <c r="H2" s="7"/>
      <c r="I2" s="7"/>
      <c r="J2" s="7"/>
      <c r="K2" s="7"/>
      <c r="L2" s="7"/>
      <c r="M2" s="7"/>
      <c r="N2" s="8"/>
      <c r="O2" s="8"/>
      <c r="P2" s="8"/>
    </row>
    <row r="3" spans="1:16">
      <c r="A3" s="9" t="s">
        <v>11</v>
      </c>
      <c r="B3" s="9" t="s">
        <v>13</v>
      </c>
      <c r="C3" s="9" t="s">
        <v>14</v>
      </c>
      <c r="D3" s="9" t="s">
        <v>15</v>
      </c>
      <c r="E3" s="9" t="s">
        <v>16</v>
      </c>
      <c r="F3" s="7"/>
      <c r="G3" s="25" t="s">
        <v>472</v>
      </c>
    </row>
    <row r="4" spans="1:16">
      <c r="A4" s="11">
        <v>1</v>
      </c>
      <c r="B4" s="12" t="str">
        <f>المدخلات!$F$4</f>
        <v>4:00–5:30 م</v>
      </c>
      <c r="C4" s="12">
        <v>1</v>
      </c>
      <c r="D4" s="12" t="s">
        <v>17</v>
      </c>
      <c r="E4" s="12" t="s">
        <v>18</v>
      </c>
      <c r="F4" s="5"/>
      <c r="G4" s="5"/>
    </row>
    <row r="5" spans="1:16">
      <c r="A5" s="11">
        <v>1</v>
      </c>
      <c r="B5" s="12" t="str">
        <f>المدخلات!$F$4</f>
        <v>4:00–5:30 م</v>
      </c>
      <c r="C5" s="12">
        <v>2</v>
      </c>
      <c r="D5" s="12" t="s">
        <v>17</v>
      </c>
      <c r="E5" s="12" t="s">
        <v>19</v>
      </c>
      <c r="F5" s="5"/>
      <c r="G5" s="5"/>
    </row>
    <row r="6" spans="1:16">
      <c r="A6" s="11">
        <v>1</v>
      </c>
      <c r="B6" s="12" t="str">
        <f>المدخلات!$F$4</f>
        <v>4:00–5:30 م</v>
      </c>
      <c r="C6" s="12">
        <v>3</v>
      </c>
      <c r="D6" s="12" t="s">
        <v>17</v>
      </c>
      <c r="E6" s="12" t="s">
        <v>20</v>
      </c>
      <c r="F6" s="5"/>
      <c r="G6" s="5"/>
    </row>
    <row r="7" spans="1:16">
      <c r="A7" s="11">
        <v>1</v>
      </c>
      <c r="B7" s="12" t="str">
        <f>المدخلات!$F$4</f>
        <v>4:00–5:30 م</v>
      </c>
      <c r="C7" s="12">
        <v>4</v>
      </c>
      <c r="D7" s="12" t="s">
        <v>89</v>
      </c>
      <c r="E7" s="12" t="s">
        <v>86</v>
      </c>
      <c r="F7" s="5"/>
      <c r="G7" s="5"/>
    </row>
    <row r="8" spans="1:16">
      <c r="A8" s="11">
        <v>1</v>
      </c>
      <c r="B8" s="12" t="str">
        <f>المدخلات!$F$4</f>
        <v>4:00–5:30 م</v>
      </c>
      <c r="C8" s="12">
        <v>5</v>
      </c>
      <c r="D8" s="12" t="s">
        <v>89</v>
      </c>
      <c r="E8" s="12" t="s">
        <v>75</v>
      </c>
      <c r="F8" s="5"/>
      <c r="G8" s="5"/>
    </row>
    <row r="9" spans="1:16">
      <c r="A9" s="11">
        <v>1</v>
      </c>
      <c r="B9" s="12" t="str">
        <f>المدخلات!$F$4</f>
        <v>4:00–5:30 م</v>
      </c>
      <c r="C9" s="12">
        <v>6</v>
      </c>
      <c r="D9" s="12" t="s">
        <v>89</v>
      </c>
      <c r="E9" s="12" t="s">
        <v>64</v>
      </c>
      <c r="F9" s="5"/>
      <c r="G9" s="5"/>
    </row>
    <row r="10" spans="1:16">
      <c r="A10" s="11">
        <v>1</v>
      </c>
      <c r="B10" s="12" t="str">
        <f>المدخلات!$F$4</f>
        <v>4:00–5:30 م</v>
      </c>
      <c r="C10" s="12">
        <v>7</v>
      </c>
      <c r="D10" s="12" t="s">
        <v>163</v>
      </c>
      <c r="E10" s="12" t="s">
        <v>164</v>
      </c>
      <c r="F10" s="5"/>
      <c r="G10" s="5"/>
    </row>
    <row r="11" spans="1:16">
      <c r="A11" s="11">
        <v>1</v>
      </c>
      <c r="B11" s="12" t="str">
        <f>المدخلات!$F$4</f>
        <v>4:00–5:30 م</v>
      </c>
      <c r="C11" s="12">
        <v>8</v>
      </c>
      <c r="D11" s="12" t="s">
        <v>163</v>
      </c>
      <c r="E11" s="12" t="s">
        <v>152</v>
      </c>
      <c r="F11" s="5"/>
      <c r="G11" s="5"/>
    </row>
    <row r="12" spans="1:16">
      <c r="A12" s="11">
        <v>1</v>
      </c>
      <c r="B12" s="12" t="str">
        <f>المدخلات!$F$5</f>
        <v>5:40–7:10 م</v>
      </c>
      <c r="C12" s="12">
        <v>1</v>
      </c>
      <c r="D12" s="12" t="s">
        <v>163</v>
      </c>
      <c r="E12" s="12" t="s">
        <v>114</v>
      </c>
      <c r="F12" s="5"/>
      <c r="G12" s="5"/>
    </row>
    <row r="13" spans="1:16">
      <c r="A13" s="11">
        <v>1</v>
      </c>
      <c r="B13" s="12" t="str">
        <f>المدخلات!$F$5</f>
        <v>5:40–7:10 م</v>
      </c>
      <c r="C13" s="12">
        <v>2</v>
      </c>
      <c r="D13" s="12" t="s">
        <v>274</v>
      </c>
      <c r="E13" s="12" t="s">
        <v>273</v>
      </c>
      <c r="F13" s="5"/>
      <c r="G13" s="5"/>
    </row>
    <row r="14" spans="1:16">
      <c r="A14" s="11">
        <v>1</v>
      </c>
      <c r="B14" s="12" t="str">
        <f>المدخلات!$F$5</f>
        <v>5:40–7:10 م</v>
      </c>
      <c r="C14" s="12">
        <v>3</v>
      </c>
      <c r="D14" s="12" t="s">
        <v>274</v>
      </c>
      <c r="E14" s="12" t="s">
        <v>268</v>
      </c>
      <c r="F14" s="5"/>
      <c r="G14" s="5"/>
    </row>
    <row r="15" spans="1:16">
      <c r="A15" s="11">
        <v>1</v>
      </c>
      <c r="B15" s="12" t="str">
        <f>المدخلات!$F$5</f>
        <v>5:40–7:10 م</v>
      </c>
      <c r="C15" s="12">
        <v>4</v>
      </c>
      <c r="D15" s="12" t="s">
        <v>274</v>
      </c>
      <c r="E15" s="12" t="s">
        <v>254</v>
      </c>
      <c r="F15" s="5"/>
      <c r="G15" s="5"/>
    </row>
    <row r="16" spans="1:16">
      <c r="A16" s="11">
        <v>1</v>
      </c>
      <c r="B16" s="12" t="str">
        <f>المدخلات!$F$5</f>
        <v>5:40–7:10 م</v>
      </c>
      <c r="C16" s="12">
        <v>5</v>
      </c>
      <c r="D16" s="12" t="s">
        <v>291</v>
      </c>
      <c r="E16" s="12" t="s">
        <v>292</v>
      </c>
      <c r="F16" s="5"/>
      <c r="G16" s="5"/>
    </row>
    <row r="17" spans="1:7">
      <c r="A17" s="11">
        <v>1</v>
      </c>
      <c r="B17" s="12" t="str">
        <f>المدخلات!$F$5</f>
        <v>5:40–7:10 م</v>
      </c>
      <c r="C17" s="12">
        <v>6</v>
      </c>
      <c r="D17" s="12" t="s">
        <v>291</v>
      </c>
      <c r="E17" s="12" t="s">
        <v>290</v>
      </c>
      <c r="F17" s="5"/>
      <c r="G17" s="5"/>
    </row>
    <row r="18" spans="1:7">
      <c r="A18" s="11">
        <v>1</v>
      </c>
      <c r="B18" s="12" t="str">
        <f>المدخلات!$F$5</f>
        <v>5:40–7:10 م</v>
      </c>
      <c r="C18" s="12">
        <v>7</v>
      </c>
      <c r="D18" s="12" t="s">
        <v>291</v>
      </c>
      <c r="E18" s="12" t="s">
        <v>286</v>
      </c>
      <c r="F18" s="5"/>
      <c r="G18" s="5"/>
    </row>
    <row r="19" spans="1:7">
      <c r="A19" s="11">
        <v>1</v>
      </c>
      <c r="B19" s="12" t="str">
        <f>المدخلات!$F$5</f>
        <v>5:40–7:10 م</v>
      </c>
      <c r="C19" s="12">
        <v>8</v>
      </c>
      <c r="D19" s="12" t="s">
        <v>321</v>
      </c>
      <c r="E19" s="12" t="s">
        <v>322</v>
      </c>
      <c r="F19" s="5"/>
      <c r="G19" s="5"/>
    </row>
    <row r="20" spans="1:7">
      <c r="A20" s="11">
        <v>1</v>
      </c>
      <c r="B20" s="12" t="str">
        <f>المدخلات!$F$6</f>
        <v>7:20–8:50 م</v>
      </c>
      <c r="C20" s="12">
        <v>1</v>
      </c>
      <c r="D20" s="12" t="s">
        <v>321</v>
      </c>
      <c r="E20" s="12" t="s">
        <v>319</v>
      </c>
      <c r="F20" s="5"/>
      <c r="G20" s="5"/>
    </row>
    <row r="21" spans="1:7">
      <c r="A21" s="11">
        <v>1</v>
      </c>
      <c r="B21" s="12" t="str">
        <f>المدخلات!$F$6</f>
        <v>7:20–8:50 م</v>
      </c>
      <c r="C21" s="12">
        <v>2</v>
      </c>
      <c r="D21" s="12" t="s">
        <v>321</v>
      </c>
      <c r="E21" s="12" t="s">
        <v>313</v>
      </c>
      <c r="F21" s="5"/>
      <c r="G21" s="5"/>
    </row>
    <row r="22" spans="1:7">
      <c r="A22" s="11">
        <v>1</v>
      </c>
      <c r="B22" s="12" t="str">
        <f>المدخلات!$F$6</f>
        <v>7:20–8:50 م</v>
      </c>
      <c r="C22" s="12">
        <v>3</v>
      </c>
      <c r="D22" s="12" t="s">
        <v>344</v>
      </c>
      <c r="E22" s="12" t="s">
        <v>335</v>
      </c>
      <c r="F22" s="5"/>
      <c r="G22" s="5"/>
    </row>
    <row r="23" spans="1:7">
      <c r="A23" s="11">
        <v>1</v>
      </c>
      <c r="B23" s="12" t="str">
        <f>المدخلات!$F$6</f>
        <v>7:20–8:50 م</v>
      </c>
      <c r="C23" s="12">
        <v>4</v>
      </c>
      <c r="D23" s="12" t="s">
        <v>344</v>
      </c>
      <c r="E23" s="12" t="s">
        <v>332</v>
      </c>
      <c r="F23" s="5"/>
      <c r="G23" s="5"/>
    </row>
    <row r="24" spans="1:7">
      <c r="A24" s="11">
        <v>1</v>
      </c>
      <c r="B24" s="12" t="str">
        <f>المدخلات!$F$6</f>
        <v>7:20–8:50 م</v>
      </c>
      <c r="C24" s="12">
        <v>5</v>
      </c>
      <c r="D24" s="12" t="s">
        <v>344</v>
      </c>
      <c r="E24" s="12" t="s">
        <v>328</v>
      </c>
      <c r="F24" s="5"/>
      <c r="G24" s="5"/>
    </row>
    <row r="25" spans="1:7">
      <c r="A25" s="11">
        <v>1</v>
      </c>
      <c r="B25" s="12" t="str">
        <f>المدخلات!$F$6</f>
        <v>7:20–8:50 م</v>
      </c>
      <c r="C25" s="12">
        <v>6</v>
      </c>
      <c r="D25" s="12" t="s">
        <v>345</v>
      </c>
      <c r="E25" s="12" t="s">
        <v>346</v>
      </c>
      <c r="F25" s="5"/>
      <c r="G25" s="5"/>
    </row>
    <row r="26" spans="1:7">
      <c r="A26" s="11">
        <v>1</v>
      </c>
      <c r="B26" s="12" t="str">
        <f>المدخلات!$F$6</f>
        <v>7:20–8:50 م</v>
      </c>
      <c r="C26" s="12">
        <v>7</v>
      </c>
      <c r="D26" s="12" t="s">
        <v>345</v>
      </c>
      <c r="E26" s="12" t="s">
        <v>343</v>
      </c>
      <c r="F26" s="5"/>
      <c r="G26" s="5"/>
    </row>
    <row r="27" spans="1:7">
      <c r="A27" s="11">
        <v>1</v>
      </c>
      <c r="B27" s="12" t="str">
        <f>المدخلات!$F$6</f>
        <v>7:20–8:50 م</v>
      </c>
      <c r="C27" s="12">
        <v>8</v>
      </c>
      <c r="D27" s="12" t="s">
        <v>345</v>
      </c>
      <c r="E27" s="12" t="s">
        <v>339</v>
      </c>
      <c r="F27" s="5"/>
      <c r="G27" s="5"/>
    </row>
    <row r="28" spans="1:7">
      <c r="A28" s="11">
        <v>2</v>
      </c>
      <c r="B28" s="12" t="str">
        <f>المدخلات!$F$4</f>
        <v>4:00–5:30 م</v>
      </c>
      <c r="C28" s="12">
        <v>1</v>
      </c>
      <c r="D28" s="12" t="s">
        <v>321</v>
      </c>
      <c r="E28" s="12" t="s">
        <v>421</v>
      </c>
      <c r="F28" s="5"/>
      <c r="G28" s="5"/>
    </row>
    <row r="29" spans="1:7">
      <c r="A29" s="11">
        <v>2</v>
      </c>
      <c r="B29" s="12" t="str">
        <f>المدخلات!$F$4</f>
        <v>4:00–5:30 م</v>
      </c>
      <c r="C29" s="12">
        <v>2</v>
      </c>
      <c r="D29" s="12" t="s">
        <v>344</v>
      </c>
      <c r="E29" s="12" t="s">
        <v>330</v>
      </c>
      <c r="F29" s="5"/>
      <c r="G29" s="5"/>
    </row>
    <row r="30" spans="1:7">
      <c r="A30" s="11">
        <v>2</v>
      </c>
      <c r="B30" s="12" t="str">
        <f>المدخلات!$F$4</f>
        <v>4:00–5:30 م</v>
      </c>
      <c r="C30" s="12">
        <v>3</v>
      </c>
      <c r="D30" s="12" t="s">
        <v>344</v>
      </c>
      <c r="E30" s="12" t="s">
        <v>327</v>
      </c>
      <c r="F30" s="5"/>
      <c r="G30" s="5"/>
    </row>
    <row r="31" spans="1:7">
      <c r="A31" s="11">
        <v>2</v>
      </c>
      <c r="B31" s="12" t="str">
        <f>المدخلات!$F$4</f>
        <v>4:00–5:30 م</v>
      </c>
      <c r="C31" s="12">
        <v>4</v>
      </c>
      <c r="D31" s="12" t="s">
        <v>344</v>
      </c>
      <c r="E31" s="12" t="s">
        <v>422</v>
      </c>
      <c r="F31" s="5"/>
      <c r="G31" s="5"/>
    </row>
    <row r="32" spans="1:7">
      <c r="A32" s="11">
        <v>2</v>
      </c>
      <c r="B32" s="12" t="str">
        <f>المدخلات!$F$4</f>
        <v>4:00–5:30 م</v>
      </c>
      <c r="C32" s="12">
        <v>5</v>
      </c>
      <c r="D32" s="12" t="s">
        <v>345</v>
      </c>
      <c r="E32" s="12" t="s">
        <v>341</v>
      </c>
      <c r="F32" s="5"/>
      <c r="G32" s="5"/>
    </row>
    <row r="33" spans="1:7">
      <c r="A33" s="11">
        <v>2</v>
      </c>
      <c r="B33" s="12" t="str">
        <f>المدخلات!$F$4</f>
        <v>4:00–5:30 م</v>
      </c>
      <c r="C33" s="12">
        <v>6</v>
      </c>
      <c r="D33" s="12" t="s">
        <v>345</v>
      </c>
      <c r="E33" s="12" t="s">
        <v>338</v>
      </c>
      <c r="F33" s="5"/>
      <c r="G33" s="5"/>
    </row>
    <row r="34" spans="1:7">
      <c r="A34" s="11">
        <v>2</v>
      </c>
      <c r="B34" s="12" t="str">
        <f>المدخلات!$F$4</f>
        <v>4:00–5:30 م</v>
      </c>
      <c r="C34" s="12">
        <v>7</v>
      </c>
      <c r="D34" s="12" t="s">
        <v>321</v>
      </c>
      <c r="E34" s="12" t="s">
        <v>316</v>
      </c>
      <c r="F34" s="5"/>
      <c r="G34" s="5"/>
    </row>
    <row r="35" spans="1:7">
      <c r="A35" s="11">
        <v>2</v>
      </c>
      <c r="B35" s="12" t="str">
        <f>المدخلات!$F$4</f>
        <v>4:00–5:30 م</v>
      </c>
      <c r="C35" s="12">
        <v>8</v>
      </c>
      <c r="D35" s="12" t="s">
        <v>291</v>
      </c>
      <c r="E35" s="12" t="s">
        <v>281</v>
      </c>
      <c r="F35" s="5"/>
      <c r="G35" s="5"/>
    </row>
    <row r="36" spans="1:7">
      <c r="A36" s="11">
        <v>2</v>
      </c>
      <c r="B36" s="12" t="str">
        <f>المدخلات!$F$5</f>
        <v>5:40–7:10 م</v>
      </c>
      <c r="C36" s="12">
        <v>1</v>
      </c>
      <c r="D36" s="12" t="s">
        <v>163</v>
      </c>
      <c r="E36" s="12" t="s">
        <v>130</v>
      </c>
      <c r="F36" s="5"/>
      <c r="G36" s="5"/>
    </row>
    <row r="37" spans="1:7">
      <c r="A37" s="11">
        <v>2</v>
      </c>
      <c r="B37" s="12" t="str">
        <f>المدخلات!$F$5</f>
        <v>5:40–7:10 م</v>
      </c>
      <c r="C37" s="12">
        <v>2</v>
      </c>
      <c r="D37" s="12" t="s">
        <v>345</v>
      </c>
      <c r="E37" s="12" t="s">
        <v>423</v>
      </c>
      <c r="F37" s="5"/>
      <c r="G37" s="5"/>
    </row>
    <row r="38" spans="1:7">
      <c r="A38" s="11">
        <v>2</v>
      </c>
      <c r="B38" s="12" t="str">
        <f>المدخلات!$F$5</f>
        <v>5:40–7:10 م</v>
      </c>
      <c r="C38" s="12">
        <v>3</v>
      </c>
      <c r="D38" s="12" t="s">
        <v>17</v>
      </c>
      <c r="E38" s="12" t="s">
        <v>21</v>
      </c>
      <c r="F38" s="5"/>
      <c r="G38" s="5"/>
    </row>
    <row r="39" spans="1:7">
      <c r="A39" s="11">
        <v>2</v>
      </c>
      <c r="B39" s="12" t="str">
        <f>المدخلات!$F$5</f>
        <v>5:40–7:10 م</v>
      </c>
      <c r="C39" s="12">
        <v>4</v>
      </c>
      <c r="D39" s="12" t="s">
        <v>17</v>
      </c>
      <c r="E39" s="12" t="s">
        <v>23</v>
      </c>
      <c r="F39" s="5"/>
      <c r="G39" s="5"/>
    </row>
    <row r="40" spans="1:7">
      <c r="A40" s="11">
        <v>2</v>
      </c>
      <c r="B40" s="12" t="str">
        <f>المدخلات!$F$5</f>
        <v>5:40–7:10 م</v>
      </c>
      <c r="C40" s="12">
        <v>5</v>
      </c>
      <c r="D40" s="12" t="s">
        <v>89</v>
      </c>
      <c r="E40" s="12" t="s">
        <v>381</v>
      </c>
      <c r="F40" s="5"/>
      <c r="G40" s="5"/>
    </row>
    <row r="41" spans="1:7">
      <c r="A41" s="11">
        <v>2</v>
      </c>
      <c r="B41" s="12" t="str">
        <f>المدخلات!$F$5</f>
        <v>5:40–7:10 م</v>
      </c>
      <c r="C41" s="12">
        <v>6</v>
      </c>
      <c r="D41" s="12" t="s">
        <v>89</v>
      </c>
      <c r="E41" s="12" t="s">
        <v>71</v>
      </c>
      <c r="F41" s="5"/>
      <c r="G41" s="5"/>
    </row>
    <row r="42" spans="1:7">
      <c r="A42" s="11">
        <v>2</v>
      </c>
      <c r="B42" s="12" t="str">
        <f>المدخلات!$F$5</f>
        <v>5:40–7:10 م</v>
      </c>
      <c r="C42" s="12">
        <v>7</v>
      </c>
      <c r="D42" s="12" t="s">
        <v>89</v>
      </c>
      <c r="E42" s="12" t="s">
        <v>56</v>
      </c>
      <c r="F42" s="5"/>
      <c r="G42" s="5"/>
    </row>
    <row r="43" spans="1:7">
      <c r="A43" s="11">
        <v>2</v>
      </c>
      <c r="B43" s="12" t="str">
        <f>المدخلات!$F$5</f>
        <v>5:40–7:10 م</v>
      </c>
      <c r="C43" s="12">
        <v>8</v>
      </c>
      <c r="D43" s="12" t="s">
        <v>321</v>
      </c>
      <c r="E43" s="12" t="s">
        <v>311</v>
      </c>
      <c r="F43" s="5"/>
      <c r="G43" s="5"/>
    </row>
    <row r="44" spans="1:7">
      <c r="A44" s="11">
        <v>2</v>
      </c>
      <c r="B44" s="12" t="str">
        <f>المدخلات!$F$6</f>
        <v>7:20–8:50 م</v>
      </c>
      <c r="C44" s="12">
        <v>1</v>
      </c>
      <c r="D44" s="12" t="s">
        <v>274</v>
      </c>
      <c r="E44" s="12" t="s">
        <v>234</v>
      </c>
      <c r="F44" s="5"/>
      <c r="G44" s="5"/>
    </row>
    <row r="45" spans="1:7">
      <c r="A45" s="11">
        <v>2</v>
      </c>
      <c r="B45" s="12" t="str">
        <f>المدخلات!$F$6</f>
        <v>7:20–8:50 م</v>
      </c>
      <c r="C45" s="12">
        <v>2</v>
      </c>
      <c r="D45" s="12" t="s">
        <v>163</v>
      </c>
      <c r="E45" s="12" t="s">
        <v>392</v>
      </c>
      <c r="F45" s="5"/>
      <c r="G45" s="5"/>
    </row>
    <row r="46" spans="1:7">
      <c r="A46" s="11">
        <v>2</v>
      </c>
      <c r="B46" s="12" t="str">
        <f>المدخلات!$F$6</f>
        <v>7:20–8:50 م</v>
      </c>
      <c r="C46" s="12">
        <v>3</v>
      </c>
      <c r="D46" s="12" t="s">
        <v>163</v>
      </c>
      <c r="E46" s="12" t="s">
        <v>108</v>
      </c>
      <c r="F46" s="5"/>
      <c r="G46" s="5"/>
    </row>
    <row r="47" spans="1:7">
      <c r="A47" s="11">
        <v>2</v>
      </c>
      <c r="B47" s="12" t="str">
        <f>المدخلات!$F$6</f>
        <v>7:20–8:50 م</v>
      </c>
      <c r="C47" s="12">
        <v>4</v>
      </c>
      <c r="D47" s="12" t="s">
        <v>291</v>
      </c>
      <c r="E47" s="12" t="s">
        <v>288</v>
      </c>
      <c r="F47" s="5"/>
      <c r="G47" s="5"/>
    </row>
    <row r="48" spans="1:7">
      <c r="A48" s="11">
        <v>2</v>
      </c>
      <c r="B48" s="12" t="str">
        <f>المدخلات!$F$6</f>
        <v>7:20–8:50 م</v>
      </c>
      <c r="C48" s="12">
        <v>5</v>
      </c>
      <c r="D48" s="12" t="s">
        <v>274</v>
      </c>
      <c r="E48" s="12" t="s">
        <v>410</v>
      </c>
      <c r="F48" s="5"/>
      <c r="G48" s="5"/>
    </row>
    <row r="49" spans="1:7">
      <c r="A49" s="11">
        <v>2</v>
      </c>
      <c r="B49" s="12" t="str">
        <f>المدخلات!$F$6</f>
        <v>7:20–8:50 م</v>
      </c>
      <c r="C49" s="12">
        <v>6</v>
      </c>
      <c r="D49" s="12" t="s">
        <v>274</v>
      </c>
      <c r="E49" s="12" t="s">
        <v>266</v>
      </c>
      <c r="F49" s="5"/>
      <c r="G49" s="5"/>
    </row>
    <row r="50" spans="1:7">
      <c r="A50" s="11">
        <v>2</v>
      </c>
      <c r="B50" s="12" t="str">
        <f>المدخلات!$F$6</f>
        <v>7:20–8:50 م</v>
      </c>
      <c r="C50" s="12">
        <v>7</v>
      </c>
      <c r="D50" s="12" t="s">
        <v>17</v>
      </c>
      <c r="E50" s="12" t="s">
        <v>370</v>
      </c>
      <c r="F50" s="5"/>
      <c r="G50" s="5"/>
    </row>
    <row r="51" spans="1:7">
      <c r="A51" s="11">
        <v>2</v>
      </c>
      <c r="B51" s="12" t="str">
        <f>المدخلات!$F$6</f>
        <v>7:20–8:50 م</v>
      </c>
      <c r="C51" s="12">
        <v>8</v>
      </c>
      <c r="D51" s="12" t="s">
        <v>291</v>
      </c>
      <c r="E51" s="12" t="s">
        <v>396</v>
      </c>
      <c r="F51" s="5"/>
      <c r="G51" s="5"/>
    </row>
    <row r="52" spans="1:7">
      <c r="A52" s="11">
        <v>3</v>
      </c>
      <c r="B52" s="12" t="str">
        <f>المدخلات!$F$4</f>
        <v>4:00–5:30 م</v>
      </c>
      <c r="C52" s="12">
        <v>1</v>
      </c>
      <c r="D52" s="12" t="s">
        <v>345</v>
      </c>
      <c r="E52" s="12" t="s">
        <v>340</v>
      </c>
      <c r="F52" s="5"/>
      <c r="G52" s="5"/>
    </row>
    <row r="53" spans="1:7">
      <c r="A53" s="11">
        <v>3</v>
      </c>
      <c r="B53" s="12" t="str">
        <f>المدخلات!$F$4</f>
        <v>4:00–5:30 م</v>
      </c>
      <c r="C53" s="12">
        <v>2</v>
      </c>
      <c r="D53" s="12" t="s">
        <v>291</v>
      </c>
      <c r="E53" s="12" t="s">
        <v>400</v>
      </c>
      <c r="F53" s="5"/>
      <c r="G53" s="5"/>
    </row>
    <row r="54" spans="1:7">
      <c r="A54" s="11">
        <v>3</v>
      </c>
      <c r="B54" s="12" t="str">
        <f>المدخلات!$F$4</f>
        <v>4:00–5:30 م</v>
      </c>
      <c r="C54" s="12">
        <v>3</v>
      </c>
      <c r="D54" s="12" t="s">
        <v>321</v>
      </c>
      <c r="E54" s="12" t="s">
        <v>369</v>
      </c>
      <c r="F54" s="5"/>
      <c r="G54" s="5"/>
    </row>
    <row r="55" spans="1:7">
      <c r="A55" s="11">
        <v>3</v>
      </c>
      <c r="B55" s="12" t="str">
        <f>المدخلات!$F$4</f>
        <v>4:00–5:30 م</v>
      </c>
      <c r="C55" s="12">
        <v>4</v>
      </c>
      <c r="D55" s="12" t="s">
        <v>274</v>
      </c>
      <c r="E55" s="12" t="s">
        <v>413</v>
      </c>
      <c r="F55" s="5"/>
      <c r="G55" s="5"/>
    </row>
    <row r="56" spans="1:7">
      <c r="A56" s="11">
        <v>3</v>
      </c>
      <c r="B56" s="12" t="str">
        <f>المدخلات!$F$4</f>
        <v>4:00–5:30 م</v>
      </c>
      <c r="C56" s="12">
        <v>5</v>
      </c>
      <c r="D56" s="12" t="s">
        <v>163</v>
      </c>
      <c r="E56" s="12" t="s">
        <v>403</v>
      </c>
      <c r="F56" s="5"/>
      <c r="G56" s="5"/>
    </row>
    <row r="57" spans="1:7">
      <c r="A57" s="11">
        <v>3</v>
      </c>
      <c r="B57" s="12" t="str">
        <f>المدخلات!$F$4</f>
        <v>4:00–5:30 م</v>
      </c>
      <c r="C57" s="12">
        <v>6</v>
      </c>
      <c r="D57" s="12" t="s">
        <v>291</v>
      </c>
      <c r="E57" s="12" t="s">
        <v>287</v>
      </c>
      <c r="F57" s="5"/>
      <c r="G57" s="5"/>
    </row>
    <row r="58" spans="1:7">
      <c r="A58" s="11">
        <v>3</v>
      </c>
      <c r="B58" s="12" t="str">
        <f>المدخلات!$F$4</f>
        <v>4:00–5:30 م</v>
      </c>
      <c r="C58" s="12">
        <v>7</v>
      </c>
      <c r="D58" s="12" t="s">
        <v>274</v>
      </c>
      <c r="E58" s="12" t="s">
        <v>255</v>
      </c>
      <c r="F58" s="5"/>
      <c r="G58" s="5"/>
    </row>
    <row r="59" spans="1:7">
      <c r="A59" s="11">
        <v>3</v>
      </c>
      <c r="B59" s="12" t="str">
        <f>المدخلات!$F$4</f>
        <v>4:00–5:30 م</v>
      </c>
      <c r="C59" s="12">
        <v>8</v>
      </c>
      <c r="D59" s="12" t="s">
        <v>274</v>
      </c>
      <c r="E59" s="12" t="s">
        <v>412</v>
      </c>
      <c r="F59" s="5"/>
      <c r="G59" s="5"/>
    </row>
    <row r="60" spans="1:7">
      <c r="A60" s="11">
        <v>3</v>
      </c>
      <c r="B60" s="12" t="str">
        <f>المدخلات!$F$5</f>
        <v>5:40–7:10 م</v>
      </c>
      <c r="C60" s="12">
        <v>1</v>
      </c>
      <c r="D60" s="12" t="s">
        <v>345</v>
      </c>
      <c r="E60" s="12" t="s">
        <v>428</v>
      </c>
      <c r="F60" s="5"/>
      <c r="G60" s="5"/>
    </row>
    <row r="61" spans="1:7">
      <c r="A61" s="11">
        <v>3</v>
      </c>
      <c r="B61" s="12" t="str">
        <f>المدخلات!$F$5</f>
        <v>5:40–7:10 م</v>
      </c>
      <c r="C61" s="12">
        <v>2</v>
      </c>
      <c r="D61" s="12" t="s">
        <v>345</v>
      </c>
      <c r="E61" s="12" t="s">
        <v>427</v>
      </c>
      <c r="F61" s="5"/>
      <c r="G61" s="5"/>
    </row>
    <row r="62" spans="1:7">
      <c r="A62" s="11">
        <v>3</v>
      </c>
      <c r="B62" s="12" t="str">
        <f>المدخلات!$F$5</f>
        <v>5:40–7:10 م</v>
      </c>
      <c r="C62" s="12">
        <v>3</v>
      </c>
      <c r="D62" s="12" t="s">
        <v>17</v>
      </c>
      <c r="E62" s="12" t="s">
        <v>385</v>
      </c>
      <c r="F62" s="5"/>
      <c r="G62" s="5"/>
    </row>
    <row r="63" spans="1:7">
      <c r="A63" s="11">
        <v>3</v>
      </c>
      <c r="B63" s="12" t="str">
        <f>المدخلات!$F$5</f>
        <v>5:40–7:10 م</v>
      </c>
      <c r="C63" s="12">
        <v>4</v>
      </c>
      <c r="D63" s="12" t="s">
        <v>321</v>
      </c>
      <c r="E63" s="12" t="s">
        <v>314</v>
      </c>
      <c r="F63" s="5"/>
      <c r="G63" s="5"/>
    </row>
    <row r="64" spans="1:7">
      <c r="A64" s="11">
        <v>3</v>
      </c>
      <c r="B64" s="12" t="str">
        <f>المدخلات!$F$5</f>
        <v>5:40–7:10 م</v>
      </c>
      <c r="C64" s="12">
        <v>5</v>
      </c>
      <c r="D64" s="12" t="s">
        <v>163</v>
      </c>
      <c r="E64" s="12" t="s">
        <v>404</v>
      </c>
      <c r="F64" s="5"/>
      <c r="G64" s="5"/>
    </row>
    <row r="65" spans="1:7">
      <c r="A65" s="11">
        <v>3</v>
      </c>
      <c r="B65" s="12" t="str">
        <f>المدخلات!$F$5</f>
        <v>5:40–7:10 م</v>
      </c>
      <c r="C65" s="12">
        <v>6</v>
      </c>
      <c r="D65" s="12" t="s">
        <v>344</v>
      </c>
      <c r="E65" s="12" t="s">
        <v>329</v>
      </c>
      <c r="F65" s="5"/>
      <c r="G65" s="5"/>
    </row>
    <row r="66" spans="1:7">
      <c r="A66" s="11">
        <v>3</v>
      </c>
      <c r="B66" s="12" t="str">
        <f>المدخلات!$F$5</f>
        <v>5:40–7:10 م</v>
      </c>
      <c r="C66" s="12">
        <v>7</v>
      </c>
      <c r="D66" s="12" t="s">
        <v>344</v>
      </c>
      <c r="E66" s="12" t="s">
        <v>425</v>
      </c>
      <c r="F66" s="5"/>
      <c r="G66" s="5"/>
    </row>
    <row r="67" spans="1:7">
      <c r="A67" s="11">
        <v>3</v>
      </c>
      <c r="B67" s="12" t="str">
        <f>المدخلات!$F$5</f>
        <v>5:40–7:10 م</v>
      </c>
      <c r="C67" s="12">
        <v>8</v>
      </c>
      <c r="D67" s="12" t="s">
        <v>344</v>
      </c>
      <c r="E67" s="12" t="s">
        <v>426</v>
      </c>
      <c r="F67" s="5"/>
      <c r="G67" s="5"/>
    </row>
    <row r="68" spans="1:7">
      <c r="A68" s="11">
        <v>3</v>
      </c>
      <c r="B68" s="12" t="str">
        <f>المدخلات!$F$6</f>
        <v>7:20–8:50 م</v>
      </c>
      <c r="C68" s="12">
        <v>1</v>
      </c>
      <c r="D68" s="12" t="s">
        <v>17</v>
      </c>
      <c r="E68" s="12" t="s">
        <v>380</v>
      </c>
      <c r="F68" s="5"/>
      <c r="G68" s="5"/>
    </row>
    <row r="69" spans="1:7">
      <c r="A69" s="11">
        <v>3</v>
      </c>
      <c r="B69" s="12" t="str">
        <f>المدخلات!$F$6</f>
        <v>7:20–8:50 م</v>
      </c>
      <c r="C69" s="12">
        <v>2</v>
      </c>
      <c r="D69" s="12" t="s">
        <v>89</v>
      </c>
      <c r="E69" s="12" t="s">
        <v>65</v>
      </c>
      <c r="F69" s="5"/>
      <c r="G69" s="5"/>
    </row>
    <row r="70" spans="1:7">
      <c r="A70" s="11">
        <v>3</v>
      </c>
      <c r="B70" s="12" t="str">
        <f>المدخلات!$F$6</f>
        <v>7:20–8:50 م</v>
      </c>
      <c r="C70" s="12">
        <v>3</v>
      </c>
      <c r="D70" s="12" t="s">
        <v>89</v>
      </c>
      <c r="E70" s="12" t="s">
        <v>420</v>
      </c>
      <c r="F70" s="5"/>
      <c r="G70" s="5"/>
    </row>
    <row r="71" spans="1:7">
      <c r="A71" s="11">
        <v>3</v>
      </c>
      <c r="B71" s="12" t="str">
        <f>المدخلات!$F$6</f>
        <v>7:20–8:50 م</v>
      </c>
      <c r="C71" s="12">
        <v>4</v>
      </c>
      <c r="D71" s="12" t="s">
        <v>89</v>
      </c>
      <c r="E71" s="12" t="s">
        <v>391</v>
      </c>
      <c r="F71" s="5"/>
      <c r="G71" s="5"/>
    </row>
    <row r="72" spans="1:7">
      <c r="A72" s="11">
        <v>3</v>
      </c>
      <c r="B72" s="12" t="str">
        <f>المدخلات!$F$6</f>
        <v>7:20–8:50 م</v>
      </c>
      <c r="C72" s="12">
        <v>5</v>
      </c>
      <c r="D72" s="12" t="s">
        <v>321</v>
      </c>
      <c r="E72" s="12" t="s">
        <v>424</v>
      </c>
      <c r="F72" s="5"/>
      <c r="G72" s="5"/>
    </row>
    <row r="73" spans="1:7">
      <c r="A73" s="11">
        <v>3</v>
      </c>
      <c r="B73" s="12" t="str">
        <f>المدخلات!$F$6</f>
        <v>7:20–8:50 م</v>
      </c>
      <c r="C73" s="12">
        <v>6</v>
      </c>
      <c r="D73" s="12" t="s">
        <v>163</v>
      </c>
      <c r="E73" s="12" t="s">
        <v>115</v>
      </c>
      <c r="F73" s="5"/>
      <c r="G73" s="5"/>
    </row>
    <row r="74" spans="1:7">
      <c r="A74" s="11">
        <v>3</v>
      </c>
      <c r="B74" s="12" t="str">
        <f>المدخلات!$F$6</f>
        <v>7:20–8:50 م</v>
      </c>
      <c r="C74" s="12">
        <v>7</v>
      </c>
      <c r="D74" s="12" t="s">
        <v>291</v>
      </c>
      <c r="E74" s="12" t="s">
        <v>401</v>
      </c>
      <c r="F74" s="5"/>
      <c r="G74" s="5"/>
    </row>
    <row r="75" spans="1:7">
      <c r="A75" s="11">
        <v>3</v>
      </c>
      <c r="B75" s="12" t="str">
        <f>المدخلات!$F$6</f>
        <v>7:20–8:50 م</v>
      </c>
      <c r="C75" s="12">
        <v>8</v>
      </c>
      <c r="D75" s="12" t="s">
        <v>17</v>
      </c>
      <c r="E75" s="12" t="s">
        <v>24</v>
      </c>
      <c r="F75" s="5"/>
      <c r="G75" s="5"/>
    </row>
    <row r="76" spans="1:7">
      <c r="A76" s="11">
        <v>4</v>
      </c>
      <c r="B76" s="12" t="str">
        <f>المدخلات!$F$4</f>
        <v>4:00–5:30 م</v>
      </c>
      <c r="C76" s="12">
        <v>1</v>
      </c>
      <c r="D76" s="12" t="s">
        <v>291</v>
      </c>
      <c r="E76" s="12" t="s">
        <v>293</v>
      </c>
      <c r="F76" s="5"/>
      <c r="G76" s="5"/>
    </row>
    <row r="77" spans="1:7">
      <c r="A77" s="11">
        <v>4</v>
      </c>
      <c r="B77" s="12" t="str">
        <f>المدخلات!$F$4</f>
        <v>4:00–5:30 م</v>
      </c>
      <c r="C77" s="12">
        <v>2</v>
      </c>
      <c r="D77" s="12" t="s">
        <v>163</v>
      </c>
      <c r="E77" s="12" t="s">
        <v>106</v>
      </c>
      <c r="F77" s="5"/>
      <c r="G77" s="5"/>
    </row>
    <row r="78" spans="1:7">
      <c r="A78" s="11">
        <v>4</v>
      </c>
      <c r="B78" s="12" t="str">
        <f>المدخلات!$F$4</f>
        <v>4:00–5:30 م</v>
      </c>
      <c r="C78" s="12">
        <v>3</v>
      </c>
      <c r="D78" s="12" t="s">
        <v>345</v>
      </c>
      <c r="E78" s="12" t="s">
        <v>430</v>
      </c>
      <c r="F78" s="5"/>
      <c r="G78" s="5"/>
    </row>
    <row r="79" spans="1:7">
      <c r="A79" s="11">
        <v>4</v>
      </c>
      <c r="B79" s="12" t="str">
        <f>المدخلات!$F$4</f>
        <v>4:00–5:30 م</v>
      </c>
      <c r="C79" s="12">
        <v>4</v>
      </c>
      <c r="D79" s="12" t="s">
        <v>345</v>
      </c>
      <c r="E79" s="12" t="s">
        <v>347</v>
      </c>
      <c r="F79" s="5"/>
      <c r="G79" s="5"/>
    </row>
    <row r="80" spans="1:7">
      <c r="A80" s="11">
        <v>4</v>
      </c>
      <c r="B80" s="12" t="str">
        <f>المدخلات!$F$4</f>
        <v>4:00–5:30 م</v>
      </c>
      <c r="C80" s="12">
        <v>5</v>
      </c>
      <c r="D80" s="12" t="s">
        <v>17</v>
      </c>
      <c r="E80" s="12" t="s">
        <v>390</v>
      </c>
      <c r="F80" s="5"/>
      <c r="G80" s="5"/>
    </row>
    <row r="81" spans="1:7">
      <c r="A81" s="11">
        <v>4</v>
      </c>
      <c r="B81" s="12" t="str">
        <f>المدخلات!$F$4</f>
        <v>4:00–5:30 م</v>
      </c>
      <c r="C81" s="12">
        <v>6</v>
      </c>
      <c r="D81" s="12" t="s">
        <v>321</v>
      </c>
      <c r="E81" s="12" t="s">
        <v>374</v>
      </c>
      <c r="F81" s="5"/>
      <c r="G81" s="5"/>
    </row>
    <row r="82" spans="1:7">
      <c r="A82" s="11">
        <v>4</v>
      </c>
      <c r="B82" s="12" t="str">
        <f>المدخلات!$F$4</f>
        <v>4:00–5:30 م</v>
      </c>
      <c r="C82" s="12">
        <v>7</v>
      </c>
      <c r="D82" s="12" t="s">
        <v>163</v>
      </c>
      <c r="E82" s="12" t="s">
        <v>407</v>
      </c>
      <c r="F82" s="5"/>
      <c r="G82" s="5"/>
    </row>
    <row r="83" spans="1:7">
      <c r="A83" s="11">
        <v>4</v>
      </c>
      <c r="B83" s="12" t="str">
        <f>المدخلات!$F$4</f>
        <v>4:00–5:30 م</v>
      </c>
      <c r="C83" s="12">
        <v>8</v>
      </c>
      <c r="D83" s="12" t="s">
        <v>17</v>
      </c>
      <c r="E83" s="12" t="s">
        <v>29</v>
      </c>
      <c r="F83" s="5"/>
      <c r="G83" s="5"/>
    </row>
    <row r="84" spans="1:7">
      <c r="A84" s="11">
        <v>4</v>
      </c>
      <c r="B84" s="12" t="str">
        <f>المدخلات!$F$5</f>
        <v>5:40–7:10 م</v>
      </c>
      <c r="C84" s="12">
        <v>1</v>
      </c>
      <c r="D84" s="12" t="s">
        <v>89</v>
      </c>
      <c r="E84" s="12" t="s">
        <v>53</v>
      </c>
      <c r="F84" s="5"/>
      <c r="G84" s="5"/>
    </row>
    <row r="85" spans="1:7">
      <c r="A85" s="11">
        <v>4</v>
      </c>
      <c r="B85" s="12" t="str">
        <f>المدخلات!$F$5</f>
        <v>5:40–7:10 م</v>
      </c>
      <c r="C85" s="12">
        <v>2</v>
      </c>
      <c r="D85" s="12" t="s">
        <v>321</v>
      </c>
      <c r="E85" s="12" t="s">
        <v>323</v>
      </c>
      <c r="F85" s="5"/>
      <c r="G85" s="5"/>
    </row>
    <row r="86" spans="1:7">
      <c r="A86" s="11">
        <v>4</v>
      </c>
      <c r="B86" s="12" t="str">
        <f>المدخلات!$F$5</f>
        <v>5:40–7:10 م</v>
      </c>
      <c r="C86" s="12">
        <v>3</v>
      </c>
      <c r="D86" s="12" t="s">
        <v>345</v>
      </c>
      <c r="E86" s="12" t="s">
        <v>337</v>
      </c>
      <c r="F86" s="5"/>
      <c r="G86" s="5"/>
    </row>
    <row r="87" spans="1:7">
      <c r="A87" s="11">
        <v>4</v>
      </c>
      <c r="B87" s="12" t="str">
        <f>المدخلات!$F$5</f>
        <v>5:40–7:10 م</v>
      </c>
      <c r="C87" s="12">
        <v>4</v>
      </c>
      <c r="D87" s="12" t="s">
        <v>291</v>
      </c>
      <c r="E87" s="12" t="s">
        <v>368</v>
      </c>
      <c r="F87" s="5"/>
      <c r="G87" s="5"/>
    </row>
    <row r="88" spans="1:7">
      <c r="A88" s="11">
        <v>4</v>
      </c>
      <c r="B88" s="12" t="str">
        <f>المدخلات!$F$5</f>
        <v>5:40–7:10 م</v>
      </c>
      <c r="C88" s="12">
        <v>5</v>
      </c>
      <c r="D88" s="12" t="s">
        <v>274</v>
      </c>
      <c r="E88" s="12" t="s">
        <v>225</v>
      </c>
      <c r="F88" s="5"/>
      <c r="G88" s="5"/>
    </row>
    <row r="89" spans="1:7">
      <c r="A89" s="11">
        <v>4</v>
      </c>
      <c r="B89" s="12" t="str">
        <f>المدخلات!$F$5</f>
        <v>5:40–7:10 م</v>
      </c>
      <c r="C89" s="12">
        <v>6</v>
      </c>
      <c r="D89" s="12" t="s">
        <v>17</v>
      </c>
      <c r="E89" s="12" t="s">
        <v>27</v>
      </c>
      <c r="F89" s="5"/>
      <c r="G89" s="5"/>
    </row>
    <row r="90" spans="1:7">
      <c r="A90" s="11">
        <v>4</v>
      </c>
      <c r="B90" s="12" t="str">
        <f>المدخلات!$F$5</f>
        <v>5:40–7:10 م</v>
      </c>
      <c r="C90" s="12">
        <v>7</v>
      </c>
      <c r="D90" s="12" t="s">
        <v>89</v>
      </c>
      <c r="E90" s="12" t="s">
        <v>84</v>
      </c>
      <c r="F90" s="5"/>
      <c r="G90" s="5"/>
    </row>
    <row r="91" spans="1:7">
      <c r="A91" s="11">
        <v>4</v>
      </c>
      <c r="B91" s="12" t="str">
        <f>المدخلات!$F$5</f>
        <v>5:40–7:10 م</v>
      </c>
      <c r="C91" s="12">
        <v>8</v>
      </c>
      <c r="D91" s="12" t="s">
        <v>344</v>
      </c>
      <c r="E91" s="12" t="s">
        <v>326</v>
      </c>
      <c r="F91" s="5"/>
      <c r="G91" s="5"/>
    </row>
    <row r="92" spans="1:7">
      <c r="A92" s="11">
        <v>4</v>
      </c>
      <c r="B92" s="12" t="str">
        <f>المدخلات!$F$6</f>
        <v>7:20–8:50 م</v>
      </c>
      <c r="C92" s="12">
        <v>1</v>
      </c>
      <c r="D92" s="12" t="s">
        <v>321</v>
      </c>
      <c r="E92" s="12" t="s">
        <v>309</v>
      </c>
      <c r="F92" s="5"/>
      <c r="G92" s="5"/>
    </row>
    <row r="93" spans="1:7">
      <c r="A93" s="11">
        <v>4</v>
      </c>
      <c r="B93" s="12" t="str">
        <f>المدخلات!$F$6</f>
        <v>7:20–8:50 م</v>
      </c>
      <c r="C93" s="12">
        <v>2</v>
      </c>
      <c r="D93" s="12" t="s">
        <v>344</v>
      </c>
      <c r="E93" s="12" t="s">
        <v>429</v>
      </c>
      <c r="F93" s="5"/>
      <c r="G93" s="5"/>
    </row>
    <row r="94" spans="1:7">
      <c r="A94" s="11">
        <v>4</v>
      </c>
      <c r="B94" s="12" t="str">
        <f>المدخلات!$F$6</f>
        <v>7:20–8:50 م</v>
      </c>
      <c r="C94" s="12">
        <v>3</v>
      </c>
      <c r="D94" s="12" t="s">
        <v>291</v>
      </c>
      <c r="E94" s="12" t="s">
        <v>280</v>
      </c>
      <c r="F94" s="5"/>
      <c r="G94" s="5"/>
    </row>
    <row r="95" spans="1:7">
      <c r="A95" s="11">
        <v>4</v>
      </c>
      <c r="B95" s="12" t="str">
        <f>المدخلات!$F$6</f>
        <v>7:20–8:50 م</v>
      </c>
      <c r="C95" s="12">
        <v>4</v>
      </c>
      <c r="D95" s="12" t="s">
        <v>163</v>
      </c>
      <c r="E95" s="12" t="s">
        <v>167</v>
      </c>
      <c r="F95" s="5"/>
      <c r="G95" s="5"/>
    </row>
    <row r="96" spans="1:7">
      <c r="A96" s="11">
        <v>4</v>
      </c>
      <c r="B96" s="12" t="str">
        <f>المدخلات!$F$6</f>
        <v>7:20–8:50 م</v>
      </c>
      <c r="C96" s="12">
        <v>5</v>
      </c>
      <c r="D96" s="12" t="s">
        <v>344</v>
      </c>
      <c r="E96" s="12" t="s">
        <v>333</v>
      </c>
      <c r="F96" s="5"/>
      <c r="G96" s="5"/>
    </row>
    <row r="97" spans="1:7">
      <c r="A97" s="11">
        <v>4</v>
      </c>
      <c r="B97" s="12" t="str">
        <f>المدخلات!$F$6</f>
        <v>7:20–8:50 م</v>
      </c>
      <c r="C97" s="12">
        <v>6</v>
      </c>
      <c r="D97" s="12" t="s">
        <v>274</v>
      </c>
      <c r="E97" s="12" t="s">
        <v>416</v>
      </c>
      <c r="F97" s="5"/>
      <c r="G97" s="5"/>
    </row>
    <row r="98" spans="1:7">
      <c r="A98" s="11">
        <v>4</v>
      </c>
      <c r="B98" s="12" t="str">
        <f>المدخلات!$F$6</f>
        <v>7:20–8:50 م</v>
      </c>
      <c r="C98" s="12">
        <v>7</v>
      </c>
      <c r="D98" s="12" t="s">
        <v>274</v>
      </c>
      <c r="E98" s="12" t="s">
        <v>271</v>
      </c>
      <c r="F98" s="5"/>
      <c r="G98" s="5"/>
    </row>
    <row r="99" spans="1:7">
      <c r="A99" s="11">
        <v>4</v>
      </c>
      <c r="B99" s="12" t="str">
        <f>المدخلات!$F$6</f>
        <v>7:20–8:50 م</v>
      </c>
      <c r="C99" s="12">
        <v>8</v>
      </c>
      <c r="D99" s="12" t="s">
        <v>89</v>
      </c>
      <c r="E99" s="12" t="s">
        <v>398</v>
      </c>
      <c r="F99" s="5"/>
      <c r="G99" s="5"/>
    </row>
    <row r="100" spans="1:7">
      <c r="A100" s="11">
        <v>5</v>
      </c>
      <c r="B100" s="12" t="str">
        <f>المدخلات!$F$4</f>
        <v>4:00–5:30 م</v>
      </c>
      <c r="C100" s="12">
        <v>1</v>
      </c>
      <c r="D100" s="12" t="s">
        <v>291</v>
      </c>
      <c r="E100" s="12" t="s">
        <v>278</v>
      </c>
      <c r="F100" s="5"/>
      <c r="G100" s="5"/>
    </row>
    <row r="101" spans="1:7">
      <c r="A101" s="11">
        <v>5</v>
      </c>
      <c r="B101" s="12" t="str">
        <f>المدخلات!$F$4</f>
        <v>4:00–5:30 م</v>
      </c>
      <c r="C101" s="12">
        <v>2</v>
      </c>
      <c r="D101" s="12" t="s">
        <v>321</v>
      </c>
      <c r="E101" s="12" t="s">
        <v>307</v>
      </c>
      <c r="F101" s="5"/>
      <c r="G101" s="5"/>
    </row>
    <row r="102" spans="1:7">
      <c r="A102" s="11">
        <v>5</v>
      </c>
      <c r="B102" s="12" t="str">
        <f>المدخلات!$F$4</f>
        <v>4:00–5:30 م</v>
      </c>
      <c r="C102" s="12">
        <v>3</v>
      </c>
      <c r="D102" s="12" t="s">
        <v>89</v>
      </c>
      <c r="E102" s="12" t="s">
        <v>74</v>
      </c>
      <c r="F102" s="5"/>
      <c r="G102" s="5"/>
    </row>
    <row r="103" spans="1:7">
      <c r="A103" s="11">
        <v>5</v>
      </c>
      <c r="B103" s="12" t="str">
        <f>المدخلات!$F$4</f>
        <v>4:00–5:30 م</v>
      </c>
      <c r="C103" s="12">
        <v>4</v>
      </c>
      <c r="D103" s="12" t="s">
        <v>321</v>
      </c>
      <c r="E103" s="12" t="s">
        <v>324</v>
      </c>
      <c r="F103" s="5"/>
      <c r="G103" s="5"/>
    </row>
    <row r="104" spans="1:7">
      <c r="A104" s="11">
        <v>5</v>
      </c>
      <c r="B104" s="12" t="str">
        <f>المدخلات!$F$4</f>
        <v>4:00–5:30 م</v>
      </c>
      <c r="C104" s="12">
        <v>5</v>
      </c>
      <c r="D104" s="12" t="s">
        <v>89</v>
      </c>
      <c r="E104" s="12" t="s">
        <v>48</v>
      </c>
      <c r="F104" s="5"/>
      <c r="G104" s="5"/>
    </row>
    <row r="105" spans="1:7">
      <c r="A105" s="11">
        <v>5</v>
      </c>
      <c r="B105" s="12" t="str">
        <f>المدخلات!$F$4</f>
        <v>4:00–5:30 م</v>
      </c>
      <c r="C105" s="12">
        <v>6</v>
      </c>
      <c r="D105" s="12" t="s">
        <v>274</v>
      </c>
      <c r="E105" s="12" t="s">
        <v>272</v>
      </c>
      <c r="F105" s="5"/>
      <c r="G105" s="5"/>
    </row>
    <row r="106" spans="1:7">
      <c r="A106" s="11">
        <v>5</v>
      </c>
      <c r="B106" s="12" t="str">
        <f>المدخلات!$F$4</f>
        <v>4:00–5:30 م</v>
      </c>
      <c r="C106" s="12">
        <v>7</v>
      </c>
      <c r="D106" s="12" t="s">
        <v>344</v>
      </c>
      <c r="E106" s="12" t="s">
        <v>325</v>
      </c>
      <c r="F106" s="5"/>
      <c r="G106" s="5"/>
    </row>
    <row r="107" spans="1:7">
      <c r="A107" s="11">
        <v>5</v>
      </c>
      <c r="B107" s="12" t="str">
        <f>المدخلات!$F$4</f>
        <v>4:00–5:30 م</v>
      </c>
      <c r="C107" s="12">
        <v>8</v>
      </c>
      <c r="D107" s="12" t="s">
        <v>274</v>
      </c>
      <c r="E107" s="12" t="s">
        <v>214</v>
      </c>
      <c r="F107" s="5"/>
      <c r="G107" s="5"/>
    </row>
    <row r="108" spans="1:7">
      <c r="A108" s="11">
        <v>5</v>
      </c>
      <c r="B108" s="12" t="str">
        <f>المدخلات!$F$5</f>
        <v>5:40–7:10 م</v>
      </c>
      <c r="C108" s="12">
        <v>1</v>
      </c>
      <c r="D108" s="12" t="s">
        <v>344</v>
      </c>
      <c r="E108" s="12" t="s">
        <v>331</v>
      </c>
      <c r="F108" s="5"/>
      <c r="G108" s="5"/>
    </row>
    <row r="109" spans="1:7">
      <c r="A109" s="11">
        <v>5</v>
      </c>
      <c r="B109" s="12" t="str">
        <f>المدخلات!$F$5</f>
        <v>5:40–7:10 م</v>
      </c>
      <c r="C109" s="12">
        <v>2</v>
      </c>
      <c r="D109" s="12" t="s">
        <v>274</v>
      </c>
      <c r="E109" s="12" t="s">
        <v>267</v>
      </c>
      <c r="F109" s="5"/>
      <c r="G109" s="5"/>
    </row>
    <row r="110" spans="1:7">
      <c r="A110" s="11">
        <v>5</v>
      </c>
      <c r="B110" s="12" t="str">
        <f>المدخلات!$F$5</f>
        <v>5:40–7:10 م</v>
      </c>
      <c r="C110" s="12">
        <v>3</v>
      </c>
      <c r="D110" s="12" t="s">
        <v>163</v>
      </c>
      <c r="E110" s="12" t="s">
        <v>151</v>
      </c>
      <c r="F110" s="5"/>
      <c r="G110" s="5"/>
    </row>
    <row r="111" spans="1:7">
      <c r="A111" s="11">
        <v>5</v>
      </c>
      <c r="B111" s="12" t="str">
        <f>المدخلات!$F$5</f>
        <v>5:40–7:10 م</v>
      </c>
      <c r="C111" s="12">
        <v>4</v>
      </c>
      <c r="D111" s="12" t="s">
        <v>291</v>
      </c>
      <c r="E111" s="12" t="s">
        <v>294</v>
      </c>
      <c r="F111" s="5"/>
      <c r="G111" s="5"/>
    </row>
    <row r="112" spans="1:7">
      <c r="A112" s="11">
        <v>5</v>
      </c>
      <c r="B112" s="12" t="str">
        <f>المدخلات!$F$5</f>
        <v>5:40–7:10 م</v>
      </c>
      <c r="C112" s="12">
        <v>5</v>
      </c>
      <c r="D112" s="12" t="s">
        <v>321</v>
      </c>
      <c r="E112" s="12" t="s">
        <v>318</v>
      </c>
      <c r="F112" s="5"/>
      <c r="G112" s="5"/>
    </row>
    <row r="113" spans="1:7">
      <c r="A113" s="11">
        <v>5</v>
      </c>
      <c r="B113" s="12" t="str">
        <f>المدخلات!$F$5</f>
        <v>5:40–7:10 م</v>
      </c>
      <c r="C113" s="12">
        <v>6</v>
      </c>
      <c r="D113" s="12" t="s">
        <v>17</v>
      </c>
      <c r="E113" s="12" t="s">
        <v>32</v>
      </c>
      <c r="F113" s="5"/>
      <c r="G113" s="5"/>
    </row>
    <row r="114" spans="1:7">
      <c r="A114" s="11">
        <v>5</v>
      </c>
      <c r="B114" s="12" t="str">
        <f>المدخلات!$F$5</f>
        <v>5:40–7:10 م</v>
      </c>
      <c r="C114" s="12">
        <v>7</v>
      </c>
      <c r="D114" s="12" t="s">
        <v>345</v>
      </c>
      <c r="E114" s="12" t="s">
        <v>336</v>
      </c>
      <c r="F114" s="5"/>
      <c r="G114" s="5"/>
    </row>
    <row r="115" spans="1:7">
      <c r="A115" s="11">
        <v>5</v>
      </c>
      <c r="B115" s="12" t="str">
        <f>المدخلات!$F$5</f>
        <v>5:40–7:10 م</v>
      </c>
      <c r="C115" s="12">
        <v>8</v>
      </c>
      <c r="D115" s="12" t="s">
        <v>163</v>
      </c>
      <c r="E115" s="12" t="s">
        <v>168</v>
      </c>
      <c r="F115" s="5"/>
      <c r="G115" s="5"/>
    </row>
    <row r="116" spans="1:7">
      <c r="A116" s="11">
        <v>5</v>
      </c>
      <c r="B116" s="12" t="str">
        <f>المدخلات!$F$6</f>
        <v>7:20–8:50 م</v>
      </c>
      <c r="C116" s="12">
        <v>1</v>
      </c>
      <c r="D116" s="12" t="s">
        <v>344</v>
      </c>
      <c r="E116" s="12" t="s">
        <v>334</v>
      </c>
      <c r="F116" s="5"/>
      <c r="G116" s="5"/>
    </row>
    <row r="117" spans="1:7">
      <c r="A117" s="11">
        <v>5</v>
      </c>
      <c r="B117" s="12" t="str">
        <f>المدخلات!$F$6</f>
        <v>7:20–8:50 م</v>
      </c>
      <c r="C117" s="12">
        <v>2</v>
      </c>
      <c r="D117" s="12" t="s">
        <v>17</v>
      </c>
      <c r="E117" s="12" t="s">
        <v>31</v>
      </c>
      <c r="F117" s="5"/>
      <c r="G117" s="5"/>
    </row>
    <row r="118" spans="1:7">
      <c r="A118" s="11">
        <v>5</v>
      </c>
      <c r="B118" s="12" t="str">
        <f>المدخلات!$F$6</f>
        <v>7:20–8:50 م</v>
      </c>
      <c r="C118" s="12">
        <v>3</v>
      </c>
      <c r="D118" s="12" t="s">
        <v>291</v>
      </c>
      <c r="E118" s="12" t="s">
        <v>289</v>
      </c>
      <c r="F118" s="5"/>
      <c r="G118" s="5"/>
    </row>
    <row r="119" spans="1:7">
      <c r="A119" s="11">
        <v>5</v>
      </c>
      <c r="B119" s="12" t="str">
        <f>المدخلات!$F$6</f>
        <v>7:20–8:50 م</v>
      </c>
      <c r="C119" s="12">
        <v>4</v>
      </c>
      <c r="D119" s="12" t="s">
        <v>163</v>
      </c>
      <c r="E119" s="12" t="s">
        <v>102</v>
      </c>
      <c r="F119" s="5"/>
      <c r="G119" s="5"/>
    </row>
    <row r="120" spans="1:7">
      <c r="A120" s="11">
        <v>5</v>
      </c>
      <c r="B120" s="12" t="str">
        <f>المدخلات!$F$6</f>
        <v>7:20–8:50 م</v>
      </c>
      <c r="C120" s="12">
        <v>5</v>
      </c>
      <c r="D120" s="12" t="s">
        <v>345</v>
      </c>
      <c r="E120" s="12" t="s">
        <v>348</v>
      </c>
      <c r="F120" s="5"/>
      <c r="G120" s="5"/>
    </row>
    <row r="121" spans="1:7">
      <c r="A121" s="11">
        <v>5</v>
      </c>
      <c r="B121" s="12" t="str">
        <f>المدخلات!$F$6</f>
        <v>7:20–8:50 م</v>
      </c>
      <c r="C121" s="12">
        <v>6</v>
      </c>
      <c r="D121" s="12" t="s">
        <v>345</v>
      </c>
      <c r="E121" s="12" t="s">
        <v>342</v>
      </c>
      <c r="F121" s="5"/>
      <c r="G121" s="5"/>
    </row>
    <row r="122" spans="1:7">
      <c r="A122" s="11">
        <v>5</v>
      </c>
      <c r="B122" s="12" t="str">
        <f>المدخلات!$F$6</f>
        <v>7:20–8:50 م</v>
      </c>
      <c r="C122" s="12">
        <v>7</v>
      </c>
      <c r="D122" s="12" t="s">
        <v>17</v>
      </c>
      <c r="E122" s="12" t="s">
        <v>30</v>
      </c>
      <c r="F122" s="5"/>
      <c r="G122" s="5"/>
    </row>
    <row r="123" spans="1:7">
      <c r="A123" s="11">
        <v>5</v>
      </c>
      <c r="B123" s="12" t="str">
        <f>المدخلات!$F$6</f>
        <v>7:20–8:50 م</v>
      </c>
      <c r="C123" s="12">
        <v>8</v>
      </c>
      <c r="D123" s="12" t="s">
        <v>89</v>
      </c>
      <c r="E123" s="12" t="s">
        <v>85</v>
      </c>
      <c r="F123" s="5"/>
      <c r="G123" s="5"/>
    </row>
    <row r="124" spans="1:7">
      <c r="A124" s="11">
        <v>6</v>
      </c>
      <c r="B124" s="12" t="str">
        <f>المدخلات!$F$4</f>
        <v>4:00–5:30 م</v>
      </c>
      <c r="C124" s="12">
        <v>1</v>
      </c>
      <c r="D124" s="12" t="s">
        <v>89</v>
      </c>
      <c r="E124" s="12" t="s">
        <v>64</v>
      </c>
      <c r="F124" s="5"/>
      <c r="G124" s="5"/>
    </row>
    <row r="125" spans="1:7">
      <c r="A125" s="11">
        <v>6</v>
      </c>
      <c r="B125" s="12" t="str">
        <f>المدخلات!$F$4</f>
        <v>4:00–5:30 م</v>
      </c>
      <c r="C125" s="12">
        <v>2</v>
      </c>
      <c r="D125" s="12" t="s">
        <v>291</v>
      </c>
      <c r="E125" s="12" t="s">
        <v>292</v>
      </c>
      <c r="F125" s="5"/>
      <c r="G125" s="5"/>
    </row>
    <row r="126" spans="1:7">
      <c r="A126" s="11">
        <v>6</v>
      </c>
      <c r="B126" s="12" t="str">
        <f>المدخلات!$F$4</f>
        <v>4:00–5:30 م</v>
      </c>
      <c r="C126" s="12">
        <v>3</v>
      </c>
      <c r="D126" s="12" t="s">
        <v>274</v>
      </c>
      <c r="E126" s="12" t="s">
        <v>254</v>
      </c>
      <c r="F126" s="5"/>
      <c r="G126" s="5"/>
    </row>
    <row r="127" spans="1:7">
      <c r="A127" s="11">
        <v>6</v>
      </c>
      <c r="B127" s="12" t="str">
        <f>المدخلات!$F$4</f>
        <v>4:00–5:30 م</v>
      </c>
      <c r="C127" s="12">
        <v>4</v>
      </c>
      <c r="D127" s="12" t="s">
        <v>163</v>
      </c>
      <c r="E127" s="12" t="s">
        <v>114</v>
      </c>
      <c r="F127" s="5"/>
      <c r="G127" s="5"/>
    </row>
    <row r="128" spans="1:7">
      <c r="A128" s="11">
        <v>6</v>
      </c>
      <c r="B128" s="12" t="str">
        <f>المدخلات!$F$4</f>
        <v>4:00–5:30 م</v>
      </c>
      <c r="C128" s="12">
        <v>5</v>
      </c>
      <c r="D128" s="12" t="s">
        <v>274</v>
      </c>
      <c r="E128" s="12" t="s">
        <v>268</v>
      </c>
      <c r="F128" s="5"/>
      <c r="G128" s="5"/>
    </row>
    <row r="129" spans="1:7">
      <c r="A129" s="11">
        <v>6</v>
      </c>
      <c r="B129" s="12" t="str">
        <f>المدخلات!$F$4</f>
        <v>4:00–5:30 م</v>
      </c>
      <c r="C129" s="12">
        <v>6</v>
      </c>
      <c r="D129" s="12" t="s">
        <v>344</v>
      </c>
      <c r="E129" s="12" t="s">
        <v>332</v>
      </c>
      <c r="F129" s="5"/>
      <c r="G129" s="5"/>
    </row>
    <row r="130" spans="1:7">
      <c r="A130" s="11">
        <v>6</v>
      </c>
      <c r="B130" s="12" t="str">
        <f>المدخلات!$F$4</f>
        <v>4:00–5:30 م</v>
      </c>
      <c r="C130" s="12">
        <v>7</v>
      </c>
      <c r="D130" s="12" t="s">
        <v>345</v>
      </c>
      <c r="E130" s="12" t="s">
        <v>339</v>
      </c>
      <c r="F130" s="5"/>
      <c r="G130" s="5"/>
    </row>
    <row r="131" spans="1:7">
      <c r="A131" s="11">
        <v>6</v>
      </c>
      <c r="B131" s="12" t="str">
        <f>المدخلات!$F$4</f>
        <v>4:00–5:30 م</v>
      </c>
      <c r="C131" s="12">
        <v>8</v>
      </c>
      <c r="D131" s="12" t="s">
        <v>344</v>
      </c>
      <c r="E131" s="12" t="s">
        <v>328</v>
      </c>
      <c r="F131" s="5"/>
      <c r="G131" s="5"/>
    </row>
    <row r="132" spans="1:7">
      <c r="A132" s="11">
        <v>6</v>
      </c>
      <c r="B132" s="12" t="str">
        <f>المدخلات!$F$5</f>
        <v>5:40–7:10 م</v>
      </c>
      <c r="C132" s="12">
        <v>1</v>
      </c>
      <c r="D132" s="12" t="s">
        <v>274</v>
      </c>
      <c r="E132" s="12" t="s">
        <v>273</v>
      </c>
      <c r="F132" s="5"/>
      <c r="G132" s="5"/>
    </row>
    <row r="133" spans="1:7">
      <c r="A133" s="11">
        <v>6</v>
      </c>
      <c r="B133" s="12" t="str">
        <f>المدخلات!$F$5</f>
        <v>5:40–7:10 م</v>
      </c>
      <c r="C133" s="12">
        <v>2</v>
      </c>
      <c r="D133" s="12" t="s">
        <v>344</v>
      </c>
      <c r="E133" s="12" t="s">
        <v>335</v>
      </c>
      <c r="F133" s="5"/>
      <c r="G133" s="5"/>
    </row>
    <row r="134" spans="1:7">
      <c r="A134" s="11">
        <v>6</v>
      </c>
      <c r="B134" s="12" t="str">
        <f>المدخلات!$F$5</f>
        <v>5:40–7:10 م</v>
      </c>
      <c r="C134" s="12">
        <v>3</v>
      </c>
      <c r="D134" s="12" t="s">
        <v>163</v>
      </c>
      <c r="E134" s="12" t="s">
        <v>164</v>
      </c>
      <c r="F134" s="5"/>
      <c r="G134" s="5"/>
    </row>
    <row r="135" spans="1:7">
      <c r="A135" s="11">
        <v>6</v>
      </c>
      <c r="B135" s="12" t="str">
        <f>المدخلات!$F$5</f>
        <v>5:40–7:10 م</v>
      </c>
      <c r="C135" s="12">
        <v>4</v>
      </c>
      <c r="D135" s="12" t="s">
        <v>17</v>
      </c>
      <c r="E135" s="12" t="s">
        <v>18</v>
      </c>
      <c r="F135" s="5"/>
      <c r="G135" s="5"/>
    </row>
    <row r="136" spans="1:7">
      <c r="A136" s="11">
        <v>6</v>
      </c>
      <c r="B136" s="12" t="str">
        <f>المدخلات!$F$5</f>
        <v>5:40–7:10 م</v>
      </c>
      <c r="C136" s="12">
        <v>5</v>
      </c>
      <c r="D136" s="12" t="s">
        <v>291</v>
      </c>
      <c r="E136" s="12" t="s">
        <v>290</v>
      </c>
      <c r="F136" s="5"/>
      <c r="G136" s="5"/>
    </row>
    <row r="137" spans="1:7">
      <c r="A137" s="11">
        <v>6</v>
      </c>
      <c r="B137" s="12" t="str">
        <f>المدخلات!$F$5</f>
        <v>5:40–7:10 م</v>
      </c>
      <c r="C137" s="12">
        <v>6</v>
      </c>
      <c r="D137" s="12" t="s">
        <v>163</v>
      </c>
      <c r="E137" s="12" t="s">
        <v>152</v>
      </c>
      <c r="F137" s="5"/>
      <c r="G137" s="5"/>
    </row>
    <row r="138" spans="1:7">
      <c r="A138" s="11">
        <v>6</v>
      </c>
      <c r="B138" s="12" t="str">
        <f>المدخلات!$F$5</f>
        <v>5:40–7:10 م</v>
      </c>
      <c r="C138" s="12">
        <v>7</v>
      </c>
      <c r="D138" s="12" t="s">
        <v>17</v>
      </c>
      <c r="E138" s="12" t="s">
        <v>20</v>
      </c>
      <c r="F138" s="5"/>
      <c r="G138" s="5"/>
    </row>
    <row r="139" spans="1:7">
      <c r="A139" s="11">
        <v>6</v>
      </c>
      <c r="B139" s="12" t="str">
        <f>المدخلات!$F$5</f>
        <v>5:40–7:10 م</v>
      </c>
      <c r="C139" s="12">
        <v>8</v>
      </c>
      <c r="D139" s="12" t="s">
        <v>345</v>
      </c>
      <c r="E139" s="12" t="s">
        <v>343</v>
      </c>
      <c r="F139" s="5"/>
      <c r="G139" s="5"/>
    </row>
    <row r="140" spans="1:7">
      <c r="A140" s="11">
        <v>6</v>
      </c>
      <c r="B140" s="12" t="str">
        <f>المدخلات!$F$6</f>
        <v>7:20–8:50 م</v>
      </c>
      <c r="C140" s="12">
        <v>1</v>
      </c>
      <c r="D140" s="12" t="s">
        <v>17</v>
      </c>
      <c r="E140" s="12" t="s">
        <v>19</v>
      </c>
      <c r="F140" s="5"/>
      <c r="G140" s="5"/>
    </row>
    <row r="141" spans="1:7">
      <c r="A141" s="11">
        <v>6</v>
      </c>
      <c r="B141" s="12" t="str">
        <f>المدخلات!$F$6</f>
        <v>7:20–8:50 م</v>
      </c>
      <c r="C141" s="12">
        <v>2</v>
      </c>
      <c r="D141" s="12" t="s">
        <v>89</v>
      </c>
      <c r="E141" s="12" t="s">
        <v>75</v>
      </c>
      <c r="F141" s="5"/>
      <c r="G141" s="5"/>
    </row>
    <row r="142" spans="1:7">
      <c r="A142" s="11">
        <v>6</v>
      </c>
      <c r="B142" s="12" t="str">
        <f>المدخلات!$F$6</f>
        <v>7:20–8:50 م</v>
      </c>
      <c r="C142" s="12">
        <v>3</v>
      </c>
      <c r="D142" s="12" t="s">
        <v>321</v>
      </c>
      <c r="E142" s="12" t="s">
        <v>322</v>
      </c>
      <c r="F142" s="5"/>
      <c r="G142" s="5"/>
    </row>
    <row r="143" spans="1:7">
      <c r="A143" s="11">
        <v>6</v>
      </c>
      <c r="B143" s="12" t="str">
        <f>المدخلات!$F$6</f>
        <v>7:20–8:50 م</v>
      </c>
      <c r="C143" s="12">
        <v>4</v>
      </c>
      <c r="D143" s="12" t="s">
        <v>321</v>
      </c>
      <c r="E143" s="12" t="s">
        <v>319</v>
      </c>
      <c r="F143" s="5"/>
      <c r="G143" s="5"/>
    </row>
    <row r="144" spans="1:7">
      <c r="A144" s="11">
        <v>6</v>
      </c>
      <c r="B144" s="12" t="str">
        <f>المدخلات!$F$6</f>
        <v>7:20–8:50 م</v>
      </c>
      <c r="C144" s="12">
        <v>5</v>
      </c>
      <c r="D144" s="12" t="s">
        <v>291</v>
      </c>
      <c r="E144" s="12" t="s">
        <v>286</v>
      </c>
      <c r="F144" s="5"/>
      <c r="G144" s="5"/>
    </row>
    <row r="145" spans="1:7">
      <c r="A145" s="11">
        <v>6</v>
      </c>
      <c r="B145" s="12" t="str">
        <f>المدخلات!$F$6</f>
        <v>7:20–8:50 م</v>
      </c>
      <c r="C145" s="12">
        <v>6</v>
      </c>
      <c r="D145" s="12" t="s">
        <v>89</v>
      </c>
      <c r="E145" s="12" t="s">
        <v>86</v>
      </c>
      <c r="F145" s="5"/>
      <c r="G145" s="5"/>
    </row>
    <row r="146" spans="1:7">
      <c r="A146" s="11">
        <v>6</v>
      </c>
      <c r="B146" s="12" t="str">
        <f>المدخلات!$F$6</f>
        <v>7:20–8:50 م</v>
      </c>
      <c r="C146" s="12">
        <v>7</v>
      </c>
      <c r="D146" s="12" t="s">
        <v>321</v>
      </c>
      <c r="E146" s="12" t="s">
        <v>313</v>
      </c>
      <c r="F146" s="5"/>
      <c r="G146" s="5"/>
    </row>
    <row r="147" spans="1:7">
      <c r="A147" s="11">
        <v>6</v>
      </c>
      <c r="B147" s="12" t="str">
        <f>المدخلات!$F$6</f>
        <v>7:20–8:50 م</v>
      </c>
      <c r="C147" s="12">
        <v>8</v>
      </c>
      <c r="D147" s="12" t="s">
        <v>345</v>
      </c>
      <c r="E147" s="12" t="s">
        <v>346</v>
      </c>
      <c r="F147" s="5"/>
      <c r="G147" s="5"/>
    </row>
    <row r="148" spans="1:7">
      <c r="A148" s="11">
        <v>7</v>
      </c>
      <c r="B148" s="12" t="str">
        <f>المدخلات!$F$4</f>
        <v>4:00–5:30 م</v>
      </c>
      <c r="C148" s="12">
        <v>1</v>
      </c>
      <c r="D148" s="12" t="s">
        <v>163</v>
      </c>
      <c r="E148" s="12" t="s">
        <v>392</v>
      </c>
      <c r="F148" s="5"/>
      <c r="G148" s="5"/>
    </row>
    <row r="149" spans="1:7">
      <c r="A149" s="11">
        <v>7</v>
      </c>
      <c r="B149" s="12" t="str">
        <f>المدخلات!$F$4</f>
        <v>4:00–5:30 م</v>
      </c>
      <c r="C149" s="12">
        <v>2</v>
      </c>
      <c r="D149" s="12" t="s">
        <v>291</v>
      </c>
      <c r="E149" s="12" t="s">
        <v>396</v>
      </c>
      <c r="F149" s="5"/>
      <c r="G149" s="5"/>
    </row>
    <row r="150" spans="1:7">
      <c r="A150" s="11">
        <v>7</v>
      </c>
      <c r="B150" s="12" t="str">
        <f>المدخلات!$F$4</f>
        <v>4:00–5:30 م</v>
      </c>
      <c r="C150" s="12">
        <v>3</v>
      </c>
      <c r="D150" s="12" t="s">
        <v>345</v>
      </c>
      <c r="E150" s="12" t="s">
        <v>341</v>
      </c>
      <c r="F150" s="5"/>
      <c r="G150" s="5"/>
    </row>
    <row r="151" spans="1:7">
      <c r="A151" s="11">
        <v>7</v>
      </c>
      <c r="B151" s="12" t="str">
        <f>المدخلات!$F$4</f>
        <v>4:00–5:30 م</v>
      </c>
      <c r="C151" s="12">
        <v>4</v>
      </c>
      <c r="D151" s="12" t="s">
        <v>17</v>
      </c>
      <c r="E151" s="12" t="s">
        <v>370</v>
      </c>
      <c r="F151" s="5"/>
      <c r="G151" s="5"/>
    </row>
    <row r="152" spans="1:7">
      <c r="A152" s="11">
        <v>7</v>
      </c>
      <c r="B152" s="12" t="str">
        <f>المدخلات!$F$4</f>
        <v>4:00–5:30 م</v>
      </c>
      <c r="C152" s="12">
        <v>5</v>
      </c>
      <c r="D152" s="12" t="s">
        <v>17</v>
      </c>
      <c r="E152" s="12" t="s">
        <v>21</v>
      </c>
      <c r="F152" s="5"/>
      <c r="G152" s="5"/>
    </row>
    <row r="153" spans="1:7">
      <c r="A153" s="11">
        <v>7</v>
      </c>
      <c r="B153" s="12" t="str">
        <f>المدخلات!$F$4</f>
        <v>4:00–5:30 م</v>
      </c>
      <c r="C153" s="12">
        <v>6</v>
      </c>
      <c r="D153" s="12" t="s">
        <v>321</v>
      </c>
      <c r="E153" s="12" t="s">
        <v>316</v>
      </c>
      <c r="F153" s="5"/>
      <c r="G153" s="5"/>
    </row>
    <row r="154" spans="1:7">
      <c r="A154" s="11">
        <v>7</v>
      </c>
      <c r="B154" s="12" t="str">
        <f>المدخلات!$F$4</f>
        <v>4:00–5:30 م</v>
      </c>
      <c r="C154" s="12">
        <v>7</v>
      </c>
      <c r="D154" s="12" t="s">
        <v>344</v>
      </c>
      <c r="E154" s="12" t="s">
        <v>422</v>
      </c>
      <c r="F154" s="5"/>
      <c r="G154" s="5"/>
    </row>
    <row r="155" spans="1:7">
      <c r="A155" s="11">
        <v>7</v>
      </c>
      <c r="B155" s="12" t="str">
        <f>المدخلات!$F$4</f>
        <v>4:00–5:30 م</v>
      </c>
      <c r="C155" s="12">
        <v>8</v>
      </c>
      <c r="D155" s="12" t="s">
        <v>17</v>
      </c>
      <c r="E155" s="12" t="s">
        <v>23</v>
      </c>
      <c r="F155" s="5"/>
      <c r="G155" s="5"/>
    </row>
    <row r="156" spans="1:7">
      <c r="A156" s="11">
        <v>7</v>
      </c>
      <c r="B156" s="12" t="str">
        <f>المدخلات!$F$5</f>
        <v>5:40–7:10 م</v>
      </c>
      <c r="C156" s="12">
        <v>1</v>
      </c>
      <c r="D156" s="12" t="s">
        <v>89</v>
      </c>
      <c r="E156" s="12" t="s">
        <v>381</v>
      </c>
      <c r="F156" s="5"/>
      <c r="G156" s="5"/>
    </row>
    <row r="157" spans="1:7">
      <c r="A157" s="11">
        <v>7</v>
      </c>
      <c r="B157" s="12" t="str">
        <f>المدخلات!$F$5</f>
        <v>5:40–7:10 م</v>
      </c>
      <c r="C157" s="12">
        <v>2</v>
      </c>
      <c r="D157" s="12" t="s">
        <v>274</v>
      </c>
      <c r="E157" s="12" t="s">
        <v>234</v>
      </c>
      <c r="F157" s="5"/>
      <c r="G157" s="5"/>
    </row>
    <row r="158" spans="1:7">
      <c r="A158" s="11">
        <v>7</v>
      </c>
      <c r="B158" s="12" t="str">
        <f>المدخلات!$F$5</f>
        <v>5:40–7:10 م</v>
      </c>
      <c r="C158" s="12">
        <v>3</v>
      </c>
      <c r="D158" s="12" t="s">
        <v>345</v>
      </c>
      <c r="E158" s="12" t="s">
        <v>423</v>
      </c>
      <c r="F158" s="5"/>
      <c r="G158" s="5"/>
    </row>
    <row r="159" spans="1:7">
      <c r="A159" s="11">
        <v>7</v>
      </c>
      <c r="B159" s="12" t="str">
        <f>المدخلات!$F$5</f>
        <v>5:40–7:10 م</v>
      </c>
      <c r="C159" s="12">
        <v>4</v>
      </c>
      <c r="D159" s="12" t="s">
        <v>89</v>
      </c>
      <c r="E159" s="12" t="s">
        <v>56</v>
      </c>
      <c r="F159" s="5"/>
      <c r="G159" s="5"/>
    </row>
    <row r="160" spans="1:7">
      <c r="A160" s="11">
        <v>7</v>
      </c>
      <c r="B160" s="12" t="str">
        <f>المدخلات!$F$5</f>
        <v>5:40–7:10 م</v>
      </c>
      <c r="C160" s="12">
        <v>5</v>
      </c>
      <c r="D160" s="12" t="s">
        <v>344</v>
      </c>
      <c r="E160" s="12" t="s">
        <v>327</v>
      </c>
      <c r="F160" s="5"/>
      <c r="G160" s="5"/>
    </row>
    <row r="161" spans="1:7">
      <c r="A161" s="11">
        <v>7</v>
      </c>
      <c r="B161" s="12" t="str">
        <f>المدخلات!$F$5</f>
        <v>5:40–7:10 م</v>
      </c>
      <c r="C161" s="12">
        <v>6</v>
      </c>
      <c r="D161" s="12" t="s">
        <v>321</v>
      </c>
      <c r="E161" s="12" t="s">
        <v>311</v>
      </c>
      <c r="F161" s="5"/>
      <c r="G161" s="5"/>
    </row>
    <row r="162" spans="1:7">
      <c r="A162" s="11">
        <v>7</v>
      </c>
      <c r="B162" s="12" t="str">
        <f>المدخلات!$F$5</f>
        <v>5:40–7:10 م</v>
      </c>
      <c r="C162" s="12">
        <v>7</v>
      </c>
      <c r="D162" s="12" t="s">
        <v>291</v>
      </c>
      <c r="E162" s="12" t="s">
        <v>288</v>
      </c>
      <c r="F162" s="5"/>
      <c r="G162" s="5"/>
    </row>
    <row r="163" spans="1:7">
      <c r="A163" s="11">
        <v>7</v>
      </c>
      <c r="B163" s="12" t="str">
        <f>المدخلات!$F$5</f>
        <v>5:40–7:10 م</v>
      </c>
      <c r="C163" s="12">
        <v>8</v>
      </c>
      <c r="D163" s="12" t="s">
        <v>89</v>
      </c>
      <c r="E163" s="12" t="s">
        <v>71</v>
      </c>
      <c r="F163" s="5"/>
      <c r="G163" s="5"/>
    </row>
    <row r="164" spans="1:7">
      <c r="A164" s="11">
        <v>7</v>
      </c>
      <c r="B164" s="12" t="str">
        <f>المدخلات!$F$6</f>
        <v>7:20–8:50 م</v>
      </c>
      <c r="C164" s="12">
        <v>1</v>
      </c>
      <c r="D164" s="12" t="s">
        <v>345</v>
      </c>
      <c r="E164" s="12" t="s">
        <v>338</v>
      </c>
      <c r="F164" s="5"/>
      <c r="G164" s="5"/>
    </row>
    <row r="165" spans="1:7">
      <c r="A165" s="11">
        <v>7</v>
      </c>
      <c r="B165" s="12" t="str">
        <f>المدخلات!$F$6</f>
        <v>7:20–8:50 م</v>
      </c>
      <c r="C165" s="12">
        <v>2</v>
      </c>
      <c r="D165" s="12" t="s">
        <v>163</v>
      </c>
      <c r="E165" s="12" t="s">
        <v>130</v>
      </c>
      <c r="F165" s="5"/>
      <c r="G165" s="5"/>
    </row>
    <row r="166" spans="1:7">
      <c r="A166" s="11">
        <v>7</v>
      </c>
      <c r="B166" s="12" t="str">
        <f>المدخلات!$F$6</f>
        <v>7:20–8:50 م</v>
      </c>
      <c r="C166" s="12">
        <v>3</v>
      </c>
      <c r="D166" s="12" t="s">
        <v>291</v>
      </c>
      <c r="E166" s="12" t="s">
        <v>281</v>
      </c>
      <c r="F166" s="5"/>
      <c r="G166" s="5"/>
    </row>
    <row r="167" spans="1:7">
      <c r="A167" s="11">
        <v>7</v>
      </c>
      <c r="B167" s="12" t="str">
        <f>المدخلات!$F$6</f>
        <v>7:20–8:50 م</v>
      </c>
      <c r="C167" s="12">
        <v>4</v>
      </c>
      <c r="D167" s="12" t="s">
        <v>274</v>
      </c>
      <c r="E167" s="12" t="s">
        <v>266</v>
      </c>
      <c r="F167" s="5"/>
      <c r="G167" s="5"/>
    </row>
    <row r="168" spans="1:7">
      <c r="A168" s="11">
        <v>7</v>
      </c>
      <c r="B168" s="12" t="str">
        <f>المدخلات!$F$6</f>
        <v>7:20–8:50 م</v>
      </c>
      <c r="C168" s="12">
        <v>5</v>
      </c>
      <c r="D168" s="12" t="s">
        <v>344</v>
      </c>
      <c r="E168" s="12" t="s">
        <v>330</v>
      </c>
      <c r="F168" s="5"/>
      <c r="G168" s="5"/>
    </row>
    <row r="169" spans="1:7">
      <c r="A169" s="11">
        <v>7</v>
      </c>
      <c r="B169" s="12" t="str">
        <f>المدخلات!$F$6</f>
        <v>7:20–8:50 م</v>
      </c>
      <c r="C169" s="12">
        <v>6</v>
      </c>
      <c r="D169" s="12" t="s">
        <v>321</v>
      </c>
      <c r="E169" s="12" t="s">
        <v>421</v>
      </c>
      <c r="F169" s="5"/>
      <c r="G169" s="5"/>
    </row>
    <row r="170" spans="1:7">
      <c r="A170" s="11">
        <v>7</v>
      </c>
      <c r="B170" s="12" t="str">
        <f>المدخلات!$F$6</f>
        <v>7:20–8:50 م</v>
      </c>
      <c r="C170" s="12">
        <v>7</v>
      </c>
      <c r="D170" s="12" t="s">
        <v>163</v>
      </c>
      <c r="E170" s="12" t="s">
        <v>108</v>
      </c>
      <c r="F170" s="5"/>
      <c r="G170" s="5"/>
    </row>
    <row r="171" spans="1:7">
      <c r="A171" s="11">
        <v>7</v>
      </c>
      <c r="B171" s="12" t="str">
        <f>المدخلات!$F$6</f>
        <v>7:20–8:50 م</v>
      </c>
      <c r="C171" s="12">
        <v>8</v>
      </c>
      <c r="D171" s="12" t="s">
        <v>274</v>
      </c>
      <c r="E171" s="12" t="s">
        <v>410</v>
      </c>
      <c r="F171" s="5"/>
      <c r="G171" s="5"/>
    </row>
    <row r="172" spans="1:7">
      <c r="A172" s="11">
        <v>8</v>
      </c>
      <c r="B172" s="12" t="str">
        <f>المدخلات!$F$4</f>
        <v>4:00–5:30 م</v>
      </c>
      <c r="C172" s="12">
        <v>1</v>
      </c>
      <c r="D172" s="12" t="s">
        <v>89</v>
      </c>
      <c r="E172" s="12" t="s">
        <v>420</v>
      </c>
      <c r="F172" s="5"/>
      <c r="G172" s="5"/>
    </row>
    <row r="173" spans="1:7">
      <c r="A173" s="11">
        <v>8</v>
      </c>
      <c r="B173" s="12" t="str">
        <f>المدخلات!$F$4</f>
        <v>4:00–5:30 م</v>
      </c>
      <c r="C173" s="12">
        <v>2</v>
      </c>
      <c r="D173" s="12" t="s">
        <v>345</v>
      </c>
      <c r="E173" s="12" t="s">
        <v>428</v>
      </c>
      <c r="F173" s="5"/>
      <c r="G173" s="5"/>
    </row>
    <row r="174" spans="1:7">
      <c r="A174" s="11">
        <v>8</v>
      </c>
      <c r="B174" s="12" t="str">
        <f>المدخلات!$F$4</f>
        <v>4:00–5:30 م</v>
      </c>
      <c r="C174" s="12">
        <v>3</v>
      </c>
      <c r="D174" s="12" t="s">
        <v>274</v>
      </c>
      <c r="E174" s="12" t="s">
        <v>255</v>
      </c>
      <c r="F174" s="5"/>
      <c r="G174" s="5"/>
    </row>
    <row r="175" spans="1:7">
      <c r="A175" s="11">
        <v>8</v>
      </c>
      <c r="B175" s="12" t="str">
        <f>المدخلات!$F$4</f>
        <v>4:00–5:30 م</v>
      </c>
      <c r="C175" s="12">
        <v>4</v>
      </c>
      <c r="D175" s="12" t="s">
        <v>344</v>
      </c>
      <c r="E175" s="12" t="s">
        <v>425</v>
      </c>
      <c r="F175" s="5"/>
      <c r="G175" s="5"/>
    </row>
    <row r="176" spans="1:7">
      <c r="A176" s="11">
        <v>8</v>
      </c>
      <c r="B176" s="12" t="str">
        <f>المدخلات!$F$4</f>
        <v>4:00–5:30 م</v>
      </c>
      <c r="C176" s="12">
        <v>5</v>
      </c>
      <c r="D176" s="12" t="s">
        <v>89</v>
      </c>
      <c r="E176" s="12" t="s">
        <v>391</v>
      </c>
      <c r="F176" s="5"/>
      <c r="G176" s="5"/>
    </row>
    <row r="177" spans="1:7">
      <c r="A177" s="11">
        <v>8</v>
      </c>
      <c r="B177" s="12" t="str">
        <f>المدخلات!$F$4</f>
        <v>4:00–5:30 م</v>
      </c>
      <c r="C177" s="12">
        <v>6</v>
      </c>
      <c r="D177" s="12" t="s">
        <v>163</v>
      </c>
      <c r="E177" s="12" t="s">
        <v>404</v>
      </c>
      <c r="F177" s="5"/>
      <c r="G177" s="5"/>
    </row>
    <row r="178" spans="1:7">
      <c r="A178" s="11">
        <v>8</v>
      </c>
      <c r="B178" s="12" t="str">
        <f>المدخلات!$F$4</f>
        <v>4:00–5:30 م</v>
      </c>
      <c r="C178" s="12">
        <v>7</v>
      </c>
      <c r="D178" s="12" t="s">
        <v>321</v>
      </c>
      <c r="E178" s="12" t="s">
        <v>424</v>
      </c>
      <c r="F178" s="5"/>
      <c r="G178" s="5"/>
    </row>
    <row r="179" spans="1:7">
      <c r="A179" s="11">
        <v>8</v>
      </c>
      <c r="B179" s="12" t="str">
        <f>المدخلات!$F$4</f>
        <v>4:00–5:30 م</v>
      </c>
      <c r="C179" s="12">
        <v>8</v>
      </c>
      <c r="D179" s="12" t="s">
        <v>291</v>
      </c>
      <c r="E179" s="12" t="s">
        <v>400</v>
      </c>
      <c r="F179" s="5"/>
      <c r="G179" s="5"/>
    </row>
    <row r="180" spans="1:7">
      <c r="A180" s="11">
        <v>8</v>
      </c>
      <c r="B180" s="12" t="str">
        <f>المدخلات!$F$5</f>
        <v>5:40–7:10 م</v>
      </c>
      <c r="C180" s="12">
        <v>1</v>
      </c>
      <c r="D180" s="12" t="s">
        <v>291</v>
      </c>
      <c r="E180" s="12" t="s">
        <v>287</v>
      </c>
      <c r="F180" s="5"/>
      <c r="G180" s="5"/>
    </row>
    <row r="181" spans="1:7">
      <c r="A181" s="11">
        <v>8</v>
      </c>
      <c r="B181" s="12" t="str">
        <f>المدخلات!$F$5</f>
        <v>5:40–7:10 م</v>
      </c>
      <c r="C181" s="12">
        <v>2</v>
      </c>
      <c r="D181" s="12" t="s">
        <v>344</v>
      </c>
      <c r="E181" s="12" t="s">
        <v>426</v>
      </c>
      <c r="F181" s="5"/>
      <c r="G181" s="5"/>
    </row>
    <row r="182" spans="1:7">
      <c r="A182" s="11">
        <v>8</v>
      </c>
      <c r="B182" s="12" t="str">
        <f>المدخلات!$F$5</f>
        <v>5:40–7:10 م</v>
      </c>
      <c r="C182" s="12">
        <v>3</v>
      </c>
      <c r="D182" s="12" t="s">
        <v>321</v>
      </c>
      <c r="E182" s="12" t="s">
        <v>314</v>
      </c>
      <c r="F182" s="5"/>
      <c r="G182" s="5"/>
    </row>
    <row r="183" spans="1:7">
      <c r="A183" s="11">
        <v>8</v>
      </c>
      <c r="B183" s="12" t="str">
        <f>المدخلات!$F$5</f>
        <v>5:40–7:10 م</v>
      </c>
      <c r="C183" s="12">
        <v>4</v>
      </c>
      <c r="D183" s="12" t="s">
        <v>345</v>
      </c>
      <c r="E183" s="12" t="s">
        <v>427</v>
      </c>
      <c r="F183" s="5"/>
      <c r="G183" s="5"/>
    </row>
    <row r="184" spans="1:7">
      <c r="A184" s="11">
        <v>8</v>
      </c>
      <c r="B184" s="12" t="str">
        <f>المدخلات!$F$5</f>
        <v>5:40–7:10 م</v>
      </c>
      <c r="C184" s="12">
        <v>5</v>
      </c>
      <c r="D184" s="12" t="s">
        <v>163</v>
      </c>
      <c r="E184" s="12" t="s">
        <v>115</v>
      </c>
      <c r="F184" s="5"/>
      <c r="G184" s="5"/>
    </row>
    <row r="185" spans="1:7">
      <c r="A185" s="11">
        <v>8</v>
      </c>
      <c r="B185" s="12" t="str">
        <f>المدخلات!$F$5</f>
        <v>5:40–7:10 م</v>
      </c>
      <c r="C185" s="12">
        <v>6</v>
      </c>
      <c r="D185" s="12" t="s">
        <v>17</v>
      </c>
      <c r="E185" s="12" t="s">
        <v>385</v>
      </c>
      <c r="F185" s="5"/>
      <c r="G185" s="5"/>
    </row>
    <row r="186" spans="1:7">
      <c r="A186" s="11">
        <v>8</v>
      </c>
      <c r="B186" s="12" t="str">
        <f>المدخلات!$F$5</f>
        <v>5:40–7:10 م</v>
      </c>
      <c r="C186" s="12">
        <v>7</v>
      </c>
      <c r="D186" s="12" t="s">
        <v>274</v>
      </c>
      <c r="E186" s="12" t="s">
        <v>413</v>
      </c>
      <c r="F186" s="5"/>
      <c r="G186" s="5"/>
    </row>
    <row r="187" spans="1:7">
      <c r="A187" s="11">
        <v>8</v>
      </c>
      <c r="B187" s="12" t="str">
        <f>المدخلات!$F$5</f>
        <v>5:40–7:10 م</v>
      </c>
      <c r="C187" s="12">
        <v>8</v>
      </c>
      <c r="D187" s="12" t="s">
        <v>321</v>
      </c>
      <c r="E187" s="12" t="s">
        <v>369</v>
      </c>
      <c r="F187" s="5"/>
      <c r="G187" s="5"/>
    </row>
    <row r="188" spans="1:7">
      <c r="A188" s="11">
        <v>8</v>
      </c>
      <c r="B188" s="12" t="str">
        <f>المدخلات!$F$6</f>
        <v>7:20–8:50 م</v>
      </c>
      <c r="C188" s="12">
        <v>1</v>
      </c>
      <c r="D188" s="12" t="s">
        <v>274</v>
      </c>
      <c r="E188" s="12" t="s">
        <v>412</v>
      </c>
      <c r="F188" s="5"/>
      <c r="G188" s="5"/>
    </row>
    <row r="189" spans="1:7">
      <c r="A189" s="11">
        <v>8</v>
      </c>
      <c r="B189" s="12" t="str">
        <f>المدخلات!$F$6</f>
        <v>7:20–8:50 م</v>
      </c>
      <c r="C189" s="12">
        <v>2</v>
      </c>
      <c r="D189" s="12" t="s">
        <v>17</v>
      </c>
      <c r="E189" s="12" t="s">
        <v>24</v>
      </c>
      <c r="F189" s="5"/>
      <c r="G189" s="5"/>
    </row>
    <row r="190" spans="1:7">
      <c r="A190" s="11">
        <v>8</v>
      </c>
      <c r="B190" s="12" t="str">
        <f>المدخلات!$F$6</f>
        <v>7:20–8:50 م</v>
      </c>
      <c r="C190" s="12">
        <v>3</v>
      </c>
      <c r="D190" s="12" t="s">
        <v>291</v>
      </c>
      <c r="E190" s="12" t="s">
        <v>401</v>
      </c>
      <c r="F190" s="5"/>
      <c r="G190" s="5"/>
    </row>
    <row r="191" spans="1:7">
      <c r="A191" s="11">
        <v>8</v>
      </c>
      <c r="B191" s="12" t="str">
        <f>المدخلات!$F$6</f>
        <v>7:20–8:50 م</v>
      </c>
      <c r="C191" s="12">
        <v>4</v>
      </c>
      <c r="D191" s="12" t="s">
        <v>345</v>
      </c>
      <c r="E191" s="12" t="s">
        <v>340</v>
      </c>
      <c r="F191" s="5"/>
      <c r="G191" s="5"/>
    </row>
    <row r="192" spans="1:7">
      <c r="A192" s="11">
        <v>8</v>
      </c>
      <c r="B192" s="12" t="str">
        <f>المدخلات!$F$6</f>
        <v>7:20–8:50 م</v>
      </c>
      <c r="C192" s="12">
        <v>5</v>
      </c>
      <c r="D192" s="12" t="s">
        <v>17</v>
      </c>
      <c r="E192" s="12" t="s">
        <v>380</v>
      </c>
      <c r="F192" s="5"/>
      <c r="G192" s="5"/>
    </row>
    <row r="193" spans="1:7">
      <c r="A193" s="11">
        <v>8</v>
      </c>
      <c r="B193" s="12" t="str">
        <f>المدخلات!$F$6</f>
        <v>7:20–8:50 م</v>
      </c>
      <c r="C193" s="12">
        <v>6</v>
      </c>
      <c r="D193" s="12" t="s">
        <v>163</v>
      </c>
      <c r="E193" s="12" t="s">
        <v>403</v>
      </c>
      <c r="F193" s="5"/>
      <c r="G193" s="5"/>
    </row>
    <row r="194" spans="1:7">
      <c r="A194" s="11">
        <v>8</v>
      </c>
      <c r="B194" s="12" t="str">
        <f>المدخلات!$F$6</f>
        <v>7:20–8:50 م</v>
      </c>
      <c r="C194" s="12">
        <v>7</v>
      </c>
      <c r="D194" s="12" t="s">
        <v>89</v>
      </c>
      <c r="E194" s="12" t="s">
        <v>65</v>
      </c>
      <c r="F194" s="5"/>
      <c r="G194" s="5"/>
    </row>
    <row r="195" spans="1:7">
      <c r="A195" s="11">
        <v>8</v>
      </c>
      <c r="B195" s="12" t="str">
        <f>المدخلات!$F$6</f>
        <v>7:20–8:50 م</v>
      </c>
      <c r="C195" s="12">
        <v>8</v>
      </c>
      <c r="D195" s="12" t="s">
        <v>344</v>
      </c>
      <c r="E195" s="12" t="s">
        <v>329</v>
      </c>
      <c r="F195" s="5"/>
      <c r="G195" s="5"/>
    </row>
    <row r="196" spans="1:7">
      <c r="A196" s="11">
        <v>9</v>
      </c>
      <c r="B196" s="12" t="str">
        <f>المدخلات!$F$4</f>
        <v>4:00–5:30 م</v>
      </c>
      <c r="C196" s="12">
        <v>1</v>
      </c>
      <c r="D196" s="12" t="s">
        <v>345</v>
      </c>
      <c r="E196" s="12" t="s">
        <v>347</v>
      </c>
      <c r="F196" s="5"/>
      <c r="G196" s="5"/>
    </row>
    <row r="197" spans="1:7">
      <c r="A197" s="11">
        <v>9</v>
      </c>
      <c r="B197" s="12" t="str">
        <f>المدخلات!$F$4</f>
        <v>4:00–5:30 م</v>
      </c>
      <c r="C197" s="12">
        <v>2</v>
      </c>
      <c r="D197" s="12" t="s">
        <v>291</v>
      </c>
      <c r="E197" s="12" t="s">
        <v>368</v>
      </c>
      <c r="F197" s="5"/>
      <c r="G197" s="5"/>
    </row>
    <row r="198" spans="1:7">
      <c r="A198" s="11">
        <v>9</v>
      </c>
      <c r="B198" s="12" t="str">
        <f>المدخلات!$F$4</f>
        <v>4:00–5:30 م</v>
      </c>
      <c r="C198" s="12">
        <v>3</v>
      </c>
      <c r="D198" s="12" t="s">
        <v>274</v>
      </c>
      <c r="E198" s="12" t="s">
        <v>271</v>
      </c>
      <c r="F198" s="5"/>
      <c r="G198" s="5"/>
    </row>
    <row r="199" spans="1:7">
      <c r="A199" s="11">
        <v>9</v>
      </c>
      <c r="B199" s="12" t="str">
        <f>المدخلات!$F$4</f>
        <v>4:00–5:30 م</v>
      </c>
      <c r="C199" s="12">
        <v>4</v>
      </c>
      <c r="D199" s="12" t="s">
        <v>344</v>
      </c>
      <c r="E199" s="12" t="s">
        <v>326</v>
      </c>
      <c r="F199" s="5"/>
      <c r="G199" s="5"/>
    </row>
    <row r="200" spans="1:7">
      <c r="A200" s="11">
        <v>9</v>
      </c>
      <c r="B200" s="12" t="str">
        <f>المدخلات!$F$4</f>
        <v>4:00–5:30 م</v>
      </c>
      <c r="C200" s="12">
        <v>5</v>
      </c>
      <c r="D200" s="12" t="s">
        <v>17</v>
      </c>
      <c r="E200" s="12" t="s">
        <v>27</v>
      </c>
      <c r="F200" s="5"/>
      <c r="G200" s="5"/>
    </row>
    <row r="201" spans="1:7">
      <c r="A201" s="11">
        <v>9</v>
      </c>
      <c r="B201" s="12" t="str">
        <f>المدخلات!$F$4</f>
        <v>4:00–5:30 م</v>
      </c>
      <c r="C201" s="12">
        <v>6</v>
      </c>
      <c r="D201" s="12" t="s">
        <v>344</v>
      </c>
      <c r="E201" s="12" t="s">
        <v>333</v>
      </c>
      <c r="F201" s="5"/>
      <c r="G201" s="5"/>
    </row>
    <row r="202" spans="1:7">
      <c r="A202" s="11">
        <v>9</v>
      </c>
      <c r="B202" s="12" t="str">
        <f>المدخلات!$F$4</f>
        <v>4:00–5:30 م</v>
      </c>
      <c r="C202" s="12">
        <v>7</v>
      </c>
      <c r="D202" s="12" t="s">
        <v>163</v>
      </c>
      <c r="E202" s="12" t="s">
        <v>167</v>
      </c>
      <c r="F202" s="5"/>
      <c r="G202" s="5"/>
    </row>
    <row r="203" spans="1:7">
      <c r="A203" s="11">
        <v>9</v>
      </c>
      <c r="B203" s="12" t="str">
        <f>المدخلات!$F$4</f>
        <v>4:00–5:30 م</v>
      </c>
      <c r="C203" s="12">
        <v>8</v>
      </c>
      <c r="D203" s="12" t="s">
        <v>163</v>
      </c>
      <c r="E203" s="12" t="s">
        <v>106</v>
      </c>
      <c r="F203" s="5"/>
      <c r="G203" s="5"/>
    </row>
    <row r="204" spans="1:7">
      <c r="A204" s="11">
        <v>9</v>
      </c>
      <c r="B204" s="12" t="str">
        <f>المدخلات!$F$5</f>
        <v>5:40–7:10 م</v>
      </c>
      <c r="C204" s="12">
        <v>1</v>
      </c>
      <c r="D204" s="12" t="s">
        <v>17</v>
      </c>
      <c r="E204" s="12" t="s">
        <v>390</v>
      </c>
      <c r="F204" s="5"/>
      <c r="G204" s="5"/>
    </row>
    <row r="205" spans="1:7">
      <c r="A205" s="11">
        <v>9</v>
      </c>
      <c r="B205" s="12" t="str">
        <f>المدخلات!$F$5</f>
        <v>5:40–7:10 م</v>
      </c>
      <c r="C205" s="12">
        <v>2</v>
      </c>
      <c r="D205" s="12" t="s">
        <v>345</v>
      </c>
      <c r="E205" s="12" t="s">
        <v>337</v>
      </c>
      <c r="F205" s="5"/>
      <c r="G205" s="5"/>
    </row>
    <row r="206" spans="1:7">
      <c r="A206" s="11">
        <v>9</v>
      </c>
      <c r="B206" s="12" t="str">
        <f>المدخلات!$F$5</f>
        <v>5:40–7:10 م</v>
      </c>
      <c r="C206" s="12">
        <v>3</v>
      </c>
      <c r="D206" s="12" t="s">
        <v>344</v>
      </c>
      <c r="E206" s="12" t="s">
        <v>429</v>
      </c>
      <c r="F206" s="5"/>
      <c r="G206" s="5"/>
    </row>
    <row r="207" spans="1:7">
      <c r="A207" s="11">
        <v>9</v>
      </c>
      <c r="B207" s="12" t="str">
        <f>المدخلات!$F$5</f>
        <v>5:40–7:10 م</v>
      </c>
      <c r="C207" s="12">
        <v>4</v>
      </c>
      <c r="D207" s="12" t="s">
        <v>89</v>
      </c>
      <c r="E207" s="12" t="s">
        <v>398</v>
      </c>
      <c r="F207" s="5"/>
      <c r="G207" s="5"/>
    </row>
    <row r="208" spans="1:7">
      <c r="A208" s="11">
        <v>9</v>
      </c>
      <c r="B208" s="12" t="str">
        <f>المدخلات!$F$5</f>
        <v>5:40–7:10 م</v>
      </c>
      <c r="C208" s="12">
        <v>5</v>
      </c>
      <c r="D208" s="12" t="s">
        <v>345</v>
      </c>
      <c r="E208" s="12" t="s">
        <v>430</v>
      </c>
      <c r="F208" s="5"/>
      <c r="G208" s="5"/>
    </row>
    <row r="209" spans="1:7">
      <c r="A209" s="11">
        <v>9</v>
      </c>
      <c r="B209" s="12" t="str">
        <f>المدخلات!$F$5</f>
        <v>5:40–7:10 م</v>
      </c>
      <c r="C209" s="12">
        <v>6</v>
      </c>
      <c r="D209" s="12" t="s">
        <v>291</v>
      </c>
      <c r="E209" s="12" t="s">
        <v>280</v>
      </c>
      <c r="F209" s="5"/>
      <c r="G209" s="5"/>
    </row>
    <row r="210" spans="1:7">
      <c r="A210" s="11">
        <v>9</v>
      </c>
      <c r="B210" s="12" t="str">
        <f>المدخلات!$F$5</f>
        <v>5:40–7:10 م</v>
      </c>
      <c r="C210" s="12">
        <v>7</v>
      </c>
      <c r="D210" s="12" t="s">
        <v>17</v>
      </c>
      <c r="E210" s="12" t="s">
        <v>29</v>
      </c>
      <c r="F210" s="5"/>
      <c r="G210" s="5"/>
    </row>
    <row r="211" spans="1:7">
      <c r="A211" s="11">
        <v>9</v>
      </c>
      <c r="B211" s="12" t="str">
        <f>المدخلات!$F$5</f>
        <v>5:40–7:10 م</v>
      </c>
      <c r="C211" s="12">
        <v>8</v>
      </c>
      <c r="D211" s="12" t="s">
        <v>321</v>
      </c>
      <c r="E211" s="12" t="s">
        <v>374</v>
      </c>
      <c r="F211" s="5"/>
      <c r="G211" s="5"/>
    </row>
    <row r="212" spans="1:7">
      <c r="A212" s="11">
        <v>9</v>
      </c>
      <c r="B212" s="12" t="str">
        <f>المدخلات!$F$6</f>
        <v>7:20–8:50 م</v>
      </c>
      <c r="C212" s="12">
        <v>1</v>
      </c>
      <c r="D212" s="12" t="s">
        <v>274</v>
      </c>
      <c r="E212" s="12" t="s">
        <v>416</v>
      </c>
      <c r="F212" s="5"/>
      <c r="G212" s="5"/>
    </row>
    <row r="213" spans="1:7">
      <c r="A213" s="11">
        <v>9</v>
      </c>
      <c r="B213" s="12" t="str">
        <f>المدخلات!$F$6</f>
        <v>7:20–8:50 م</v>
      </c>
      <c r="C213" s="12">
        <v>2</v>
      </c>
      <c r="D213" s="12" t="s">
        <v>89</v>
      </c>
      <c r="E213" s="12" t="s">
        <v>84</v>
      </c>
      <c r="F213" s="5"/>
      <c r="G213" s="5"/>
    </row>
    <row r="214" spans="1:7">
      <c r="A214" s="11">
        <v>9</v>
      </c>
      <c r="B214" s="12" t="str">
        <f>المدخلات!$F$6</f>
        <v>7:20–8:50 م</v>
      </c>
      <c r="C214" s="12">
        <v>3</v>
      </c>
      <c r="D214" s="12" t="s">
        <v>89</v>
      </c>
      <c r="E214" s="12" t="s">
        <v>53</v>
      </c>
      <c r="F214" s="5"/>
      <c r="G214" s="5"/>
    </row>
    <row r="215" spans="1:7">
      <c r="A215" s="11">
        <v>9</v>
      </c>
      <c r="B215" s="12" t="str">
        <f>المدخلات!$F$6</f>
        <v>7:20–8:50 م</v>
      </c>
      <c r="C215" s="12">
        <v>4</v>
      </c>
      <c r="D215" s="12" t="s">
        <v>321</v>
      </c>
      <c r="E215" s="12" t="s">
        <v>323</v>
      </c>
      <c r="F215" s="5"/>
      <c r="G215" s="5"/>
    </row>
    <row r="216" spans="1:7">
      <c r="A216" s="11">
        <v>9</v>
      </c>
      <c r="B216" s="12" t="str">
        <f>المدخلات!$F$6</f>
        <v>7:20–8:50 م</v>
      </c>
      <c r="C216" s="12">
        <v>5</v>
      </c>
      <c r="D216" s="12" t="s">
        <v>321</v>
      </c>
      <c r="E216" s="12" t="s">
        <v>309</v>
      </c>
      <c r="F216" s="5"/>
      <c r="G216" s="5"/>
    </row>
    <row r="217" spans="1:7">
      <c r="A217" s="11">
        <v>9</v>
      </c>
      <c r="B217" s="12" t="str">
        <f>المدخلات!$F$6</f>
        <v>7:20–8:50 م</v>
      </c>
      <c r="C217" s="12">
        <v>6</v>
      </c>
      <c r="D217" s="12" t="s">
        <v>291</v>
      </c>
      <c r="E217" s="12" t="s">
        <v>293</v>
      </c>
      <c r="F217" s="5"/>
      <c r="G217" s="5"/>
    </row>
    <row r="218" spans="1:7">
      <c r="A218" s="11">
        <v>9</v>
      </c>
      <c r="B218" s="12" t="str">
        <f>المدخلات!$F$6</f>
        <v>7:20–8:50 م</v>
      </c>
      <c r="C218" s="12">
        <v>7</v>
      </c>
      <c r="D218" s="12" t="s">
        <v>274</v>
      </c>
      <c r="E218" s="12" t="s">
        <v>225</v>
      </c>
      <c r="F218" s="5"/>
      <c r="G218" s="5"/>
    </row>
    <row r="219" spans="1:7">
      <c r="A219" s="11">
        <v>9</v>
      </c>
      <c r="B219" s="12" t="str">
        <f>المدخلات!$F$6</f>
        <v>7:20–8:50 م</v>
      </c>
      <c r="C219" s="12">
        <v>8</v>
      </c>
      <c r="D219" s="12" t="s">
        <v>163</v>
      </c>
      <c r="E219" s="12" t="s">
        <v>407</v>
      </c>
      <c r="F219" s="5"/>
      <c r="G219" s="5"/>
    </row>
    <row r="220" spans="1:7">
      <c r="A220" s="11">
        <v>10</v>
      </c>
      <c r="B220" s="12" t="str">
        <f>المدخلات!$F$4</f>
        <v>4:00–5:30 م</v>
      </c>
      <c r="C220" s="12">
        <v>1</v>
      </c>
      <c r="D220" s="12" t="s">
        <v>89</v>
      </c>
      <c r="E220" s="12" t="s">
        <v>48</v>
      </c>
      <c r="F220" s="5"/>
      <c r="G220" s="5"/>
    </row>
    <row r="221" spans="1:7">
      <c r="A221" s="11">
        <v>10</v>
      </c>
      <c r="B221" s="12" t="str">
        <f>المدخلات!$F$4</f>
        <v>4:00–5:30 م</v>
      </c>
      <c r="C221" s="12">
        <v>2</v>
      </c>
      <c r="D221" s="12" t="s">
        <v>89</v>
      </c>
      <c r="E221" s="12" t="s">
        <v>85</v>
      </c>
      <c r="F221" s="5"/>
      <c r="G221" s="5"/>
    </row>
    <row r="222" spans="1:7">
      <c r="A222" s="11">
        <v>10</v>
      </c>
      <c r="B222" s="12" t="str">
        <f>المدخلات!$F$4</f>
        <v>4:00–5:30 م</v>
      </c>
      <c r="C222" s="12">
        <v>3</v>
      </c>
      <c r="D222" s="12" t="s">
        <v>89</v>
      </c>
      <c r="E222" s="12" t="s">
        <v>74</v>
      </c>
      <c r="F222" s="5"/>
      <c r="G222" s="5"/>
    </row>
    <row r="223" spans="1:7">
      <c r="A223" s="11">
        <v>10</v>
      </c>
      <c r="B223" s="12" t="str">
        <f>المدخلات!$F$4</f>
        <v>4:00–5:30 م</v>
      </c>
      <c r="C223" s="12">
        <v>4</v>
      </c>
      <c r="D223" s="12" t="s">
        <v>17</v>
      </c>
      <c r="E223" s="12" t="s">
        <v>32</v>
      </c>
      <c r="F223" s="5"/>
      <c r="G223" s="5"/>
    </row>
    <row r="224" spans="1:7">
      <c r="A224" s="11">
        <v>10</v>
      </c>
      <c r="B224" s="12" t="str">
        <f>المدخلات!$F$4</f>
        <v>4:00–5:30 م</v>
      </c>
      <c r="C224" s="12">
        <v>5</v>
      </c>
      <c r="D224" s="12" t="s">
        <v>321</v>
      </c>
      <c r="E224" s="12" t="s">
        <v>318</v>
      </c>
      <c r="F224" s="5"/>
      <c r="G224" s="5"/>
    </row>
    <row r="225" spans="1:7">
      <c r="A225" s="11">
        <v>10</v>
      </c>
      <c r="B225" s="12" t="str">
        <f>المدخلات!$F$4</f>
        <v>4:00–5:30 م</v>
      </c>
      <c r="C225" s="12">
        <v>6</v>
      </c>
      <c r="D225" s="12" t="s">
        <v>274</v>
      </c>
      <c r="E225" s="12" t="s">
        <v>214</v>
      </c>
      <c r="F225" s="5"/>
      <c r="G225" s="5"/>
    </row>
    <row r="226" spans="1:7">
      <c r="A226" s="11">
        <v>10</v>
      </c>
      <c r="B226" s="12" t="str">
        <f>المدخلات!$F$4</f>
        <v>4:00–5:30 م</v>
      </c>
      <c r="C226" s="12">
        <v>7</v>
      </c>
      <c r="D226" s="12" t="s">
        <v>345</v>
      </c>
      <c r="E226" s="12" t="s">
        <v>348</v>
      </c>
      <c r="F226" s="5"/>
      <c r="G226" s="5"/>
    </row>
    <row r="227" spans="1:7">
      <c r="A227" s="11">
        <v>10</v>
      </c>
      <c r="B227" s="12" t="str">
        <f>المدخلات!$F$4</f>
        <v>4:00–5:30 م</v>
      </c>
      <c r="C227" s="12">
        <v>8</v>
      </c>
      <c r="D227" s="12" t="s">
        <v>291</v>
      </c>
      <c r="E227" s="12" t="s">
        <v>289</v>
      </c>
      <c r="F227" s="5"/>
      <c r="G227" s="5"/>
    </row>
    <row r="228" spans="1:7">
      <c r="A228" s="11">
        <v>10</v>
      </c>
      <c r="B228" s="12" t="str">
        <f>المدخلات!$F$5</f>
        <v>5:40–7:10 م</v>
      </c>
      <c r="C228" s="12">
        <v>1</v>
      </c>
      <c r="D228" s="12" t="s">
        <v>163</v>
      </c>
      <c r="E228" s="12" t="s">
        <v>102</v>
      </c>
      <c r="F228" s="5"/>
      <c r="G228" s="5"/>
    </row>
    <row r="229" spans="1:7">
      <c r="A229" s="11">
        <v>10</v>
      </c>
      <c r="B229" s="12" t="str">
        <f>المدخلات!$F$5</f>
        <v>5:40–7:10 م</v>
      </c>
      <c r="C229" s="12">
        <v>2</v>
      </c>
      <c r="D229" s="12" t="s">
        <v>163</v>
      </c>
      <c r="E229" s="12" t="s">
        <v>168</v>
      </c>
      <c r="F229" s="5"/>
      <c r="G229" s="5"/>
    </row>
    <row r="230" spans="1:7">
      <c r="A230" s="11">
        <v>10</v>
      </c>
      <c r="B230" s="12" t="str">
        <f>المدخلات!$F$5</f>
        <v>5:40–7:10 م</v>
      </c>
      <c r="C230" s="12">
        <v>3</v>
      </c>
      <c r="D230" s="12" t="s">
        <v>344</v>
      </c>
      <c r="E230" s="12" t="s">
        <v>331</v>
      </c>
      <c r="F230" s="5"/>
      <c r="G230" s="5"/>
    </row>
    <row r="231" spans="1:7">
      <c r="A231" s="11">
        <v>10</v>
      </c>
      <c r="B231" s="12" t="str">
        <f>المدخلات!$F$5</f>
        <v>5:40–7:10 م</v>
      </c>
      <c r="C231" s="12">
        <v>4</v>
      </c>
      <c r="D231" s="12" t="s">
        <v>291</v>
      </c>
      <c r="E231" s="12" t="s">
        <v>294</v>
      </c>
      <c r="F231" s="5"/>
      <c r="G231" s="5"/>
    </row>
    <row r="232" spans="1:7">
      <c r="A232" s="11">
        <v>10</v>
      </c>
      <c r="B232" s="12" t="str">
        <f>المدخلات!$F$5</f>
        <v>5:40–7:10 م</v>
      </c>
      <c r="C232" s="12">
        <v>5</v>
      </c>
      <c r="D232" s="12" t="s">
        <v>321</v>
      </c>
      <c r="E232" s="12" t="s">
        <v>307</v>
      </c>
      <c r="F232" s="5"/>
      <c r="G232" s="5"/>
    </row>
    <row r="233" spans="1:7">
      <c r="A233" s="11">
        <v>10</v>
      </c>
      <c r="B233" s="12" t="str">
        <f>المدخلات!$F$5</f>
        <v>5:40–7:10 م</v>
      </c>
      <c r="C233" s="12">
        <v>6</v>
      </c>
      <c r="D233" s="12" t="s">
        <v>321</v>
      </c>
      <c r="E233" s="12" t="s">
        <v>324</v>
      </c>
      <c r="F233" s="5"/>
      <c r="G233" s="5"/>
    </row>
    <row r="234" spans="1:7">
      <c r="A234" s="11">
        <v>10</v>
      </c>
      <c r="B234" s="12" t="str">
        <f>المدخلات!$F$5</f>
        <v>5:40–7:10 م</v>
      </c>
      <c r="C234" s="12">
        <v>7</v>
      </c>
      <c r="D234" s="12" t="s">
        <v>163</v>
      </c>
      <c r="E234" s="12" t="s">
        <v>151</v>
      </c>
      <c r="F234" s="5"/>
      <c r="G234" s="5"/>
    </row>
    <row r="235" spans="1:7">
      <c r="A235" s="11">
        <v>10</v>
      </c>
      <c r="B235" s="12" t="str">
        <f>المدخلات!$F$5</f>
        <v>5:40–7:10 م</v>
      </c>
      <c r="C235" s="12">
        <v>8</v>
      </c>
      <c r="D235" s="12" t="s">
        <v>274</v>
      </c>
      <c r="E235" s="12" t="s">
        <v>267</v>
      </c>
      <c r="F235" s="5"/>
      <c r="G235" s="5"/>
    </row>
    <row r="236" spans="1:7">
      <c r="A236" s="11">
        <v>10</v>
      </c>
      <c r="B236" s="12" t="str">
        <f>المدخلات!$F$6</f>
        <v>7:20–8:50 م</v>
      </c>
      <c r="C236" s="12">
        <v>1</v>
      </c>
      <c r="D236" s="12" t="s">
        <v>344</v>
      </c>
      <c r="E236" s="12" t="s">
        <v>325</v>
      </c>
      <c r="F236" s="5"/>
      <c r="G236" s="5"/>
    </row>
    <row r="237" spans="1:7">
      <c r="A237" s="11">
        <v>10</v>
      </c>
      <c r="B237" s="12" t="str">
        <f>المدخلات!$F$6</f>
        <v>7:20–8:50 م</v>
      </c>
      <c r="C237" s="12">
        <v>2</v>
      </c>
      <c r="D237" s="12" t="s">
        <v>17</v>
      </c>
      <c r="E237" s="12" t="s">
        <v>30</v>
      </c>
      <c r="F237" s="5"/>
      <c r="G237" s="5"/>
    </row>
    <row r="238" spans="1:7">
      <c r="A238" s="11">
        <v>10</v>
      </c>
      <c r="B238" s="12" t="str">
        <f>المدخلات!$F$6</f>
        <v>7:20–8:50 م</v>
      </c>
      <c r="C238" s="12">
        <v>3</v>
      </c>
      <c r="D238" s="12" t="s">
        <v>17</v>
      </c>
      <c r="E238" s="12" t="s">
        <v>31</v>
      </c>
      <c r="F238" s="5"/>
      <c r="G238" s="5"/>
    </row>
    <row r="239" spans="1:7">
      <c r="A239" s="11">
        <v>10</v>
      </c>
      <c r="B239" s="12" t="str">
        <f>المدخلات!$F$6</f>
        <v>7:20–8:50 م</v>
      </c>
      <c r="C239" s="12">
        <v>4</v>
      </c>
      <c r="D239" s="12" t="s">
        <v>345</v>
      </c>
      <c r="E239" s="12" t="s">
        <v>336</v>
      </c>
      <c r="F239" s="5"/>
      <c r="G239" s="5"/>
    </row>
    <row r="240" spans="1:7">
      <c r="A240" s="11">
        <v>10</v>
      </c>
      <c r="B240" s="12" t="str">
        <f>المدخلات!$F$6</f>
        <v>7:20–8:50 م</v>
      </c>
      <c r="C240" s="12">
        <v>5</v>
      </c>
      <c r="D240" s="12" t="s">
        <v>274</v>
      </c>
      <c r="E240" s="12" t="s">
        <v>272</v>
      </c>
      <c r="F240" s="5"/>
      <c r="G240" s="5"/>
    </row>
    <row r="241" spans="1:7">
      <c r="A241" s="11">
        <v>10</v>
      </c>
      <c r="B241" s="12" t="str">
        <f>المدخلات!$F$6</f>
        <v>7:20–8:50 م</v>
      </c>
      <c r="C241" s="12">
        <v>6</v>
      </c>
      <c r="D241" s="12" t="s">
        <v>344</v>
      </c>
      <c r="E241" s="12" t="s">
        <v>334</v>
      </c>
      <c r="F241" s="5"/>
      <c r="G241" s="5"/>
    </row>
    <row r="242" spans="1:7">
      <c r="A242" s="11">
        <v>10</v>
      </c>
      <c r="B242" s="12" t="str">
        <f>المدخلات!$F$6</f>
        <v>7:20–8:50 م</v>
      </c>
      <c r="C242" s="12">
        <v>7</v>
      </c>
      <c r="D242" s="12" t="s">
        <v>345</v>
      </c>
      <c r="E242" s="12" t="s">
        <v>342</v>
      </c>
      <c r="F242" s="5"/>
      <c r="G242" s="5"/>
    </row>
    <row r="243" spans="1:7">
      <c r="A243" s="11">
        <v>10</v>
      </c>
      <c r="B243" s="12" t="str">
        <f>المدخلات!$F$6</f>
        <v>7:20–8:50 م</v>
      </c>
      <c r="C243" s="12">
        <v>8</v>
      </c>
      <c r="D243" s="12" t="s">
        <v>291</v>
      </c>
      <c r="E243" s="12" t="s">
        <v>278</v>
      </c>
      <c r="F243" s="5"/>
      <c r="G243" s="5"/>
    </row>
    <row r="244" spans="1:7">
      <c r="A244" s="11">
        <v>11</v>
      </c>
      <c r="B244" s="12" t="str">
        <f>المدخلات!$F$4</f>
        <v>4:00–5:30 م</v>
      </c>
      <c r="C244" s="12">
        <v>1</v>
      </c>
      <c r="D244" s="12" t="s">
        <v>345</v>
      </c>
      <c r="E244" s="12" t="s">
        <v>339</v>
      </c>
      <c r="F244" s="5"/>
      <c r="G244" s="5"/>
    </row>
    <row r="245" spans="1:7">
      <c r="A245" s="11">
        <v>11</v>
      </c>
      <c r="B245" s="12" t="str">
        <f>المدخلات!$F$4</f>
        <v>4:00–5:30 م</v>
      </c>
      <c r="C245" s="12">
        <v>2</v>
      </c>
      <c r="D245" s="12" t="s">
        <v>163</v>
      </c>
      <c r="E245" s="12" t="s">
        <v>152</v>
      </c>
      <c r="F245" s="5"/>
      <c r="G245" s="5"/>
    </row>
    <row r="246" spans="1:7">
      <c r="A246" s="11">
        <v>11</v>
      </c>
      <c r="B246" s="12" t="str">
        <f>المدخلات!$F$4</f>
        <v>4:00–5:30 م</v>
      </c>
      <c r="C246" s="12">
        <v>3</v>
      </c>
      <c r="D246" s="12" t="s">
        <v>344</v>
      </c>
      <c r="E246" s="12" t="s">
        <v>335</v>
      </c>
      <c r="F246" s="5"/>
      <c r="G246" s="5"/>
    </row>
    <row r="247" spans="1:7">
      <c r="A247" s="11">
        <v>11</v>
      </c>
      <c r="B247" s="12" t="str">
        <f>المدخلات!$F$4</f>
        <v>4:00–5:30 م</v>
      </c>
      <c r="C247" s="12">
        <v>4</v>
      </c>
      <c r="D247" s="12" t="s">
        <v>274</v>
      </c>
      <c r="E247" s="12" t="s">
        <v>254</v>
      </c>
      <c r="F247" s="5"/>
      <c r="G247" s="5"/>
    </row>
    <row r="248" spans="1:7">
      <c r="A248" s="11">
        <v>11</v>
      </c>
      <c r="B248" s="12" t="str">
        <f>المدخلات!$F$4</f>
        <v>4:00–5:30 م</v>
      </c>
      <c r="C248" s="12">
        <v>5</v>
      </c>
      <c r="D248" s="12" t="s">
        <v>291</v>
      </c>
      <c r="E248" s="12" t="s">
        <v>292</v>
      </c>
      <c r="F248" s="5"/>
      <c r="G248" s="5"/>
    </row>
    <row r="249" spans="1:7">
      <c r="A249" s="11">
        <v>11</v>
      </c>
      <c r="B249" s="12" t="str">
        <f>المدخلات!$F$4</f>
        <v>4:00–5:30 م</v>
      </c>
      <c r="C249" s="12">
        <v>6</v>
      </c>
      <c r="D249" s="12" t="s">
        <v>17</v>
      </c>
      <c r="E249" s="12" t="s">
        <v>18</v>
      </c>
      <c r="F249" s="5"/>
      <c r="G249" s="5"/>
    </row>
    <row r="250" spans="1:7">
      <c r="A250" s="11">
        <v>11</v>
      </c>
      <c r="B250" s="12" t="str">
        <f>المدخلات!$F$4</f>
        <v>4:00–5:30 م</v>
      </c>
      <c r="C250" s="12">
        <v>7</v>
      </c>
      <c r="D250" s="12" t="s">
        <v>321</v>
      </c>
      <c r="E250" s="12" t="s">
        <v>313</v>
      </c>
      <c r="F250" s="5"/>
      <c r="G250" s="5"/>
    </row>
    <row r="251" spans="1:7">
      <c r="A251" s="11">
        <v>11</v>
      </c>
      <c r="B251" s="12" t="str">
        <f>المدخلات!$F$4</f>
        <v>4:00–5:30 م</v>
      </c>
      <c r="C251" s="12">
        <v>8</v>
      </c>
      <c r="D251" s="12" t="s">
        <v>321</v>
      </c>
      <c r="E251" s="12" t="s">
        <v>322</v>
      </c>
      <c r="F251" s="5"/>
      <c r="G251" s="5"/>
    </row>
    <row r="252" spans="1:7">
      <c r="A252" s="11">
        <v>11</v>
      </c>
      <c r="B252" s="12" t="str">
        <f>المدخلات!$F$5</f>
        <v>5:40–7:10 م</v>
      </c>
      <c r="C252" s="12">
        <v>1</v>
      </c>
      <c r="D252" s="12" t="s">
        <v>17</v>
      </c>
      <c r="E252" s="12" t="s">
        <v>20</v>
      </c>
      <c r="F252" s="5"/>
      <c r="G252" s="5"/>
    </row>
    <row r="253" spans="1:7">
      <c r="A253" s="11">
        <v>11</v>
      </c>
      <c r="B253" s="12" t="str">
        <f>المدخلات!$F$5</f>
        <v>5:40–7:10 م</v>
      </c>
      <c r="C253" s="12">
        <v>2</v>
      </c>
      <c r="D253" s="12" t="s">
        <v>89</v>
      </c>
      <c r="E253" s="12" t="s">
        <v>64</v>
      </c>
      <c r="F253" s="5"/>
      <c r="G253" s="5"/>
    </row>
    <row r="254" spans="1:7">
      <c r="A254" s="11">
        <v>11</v>
      </c>
      <c r="B254" s="12" t="str">
        <f>المدخلات!$F$5</f>
        <v>5:40–7:10 م</v>
      </c>
      <c r="C254" s="12">
        <v>3</v>
      </c>
      <c r="D254" s="12" t="s">
        <v>274</v>
      </c>
      <c r="E254" s="12" t="s">
        <v>273</v>
      </c>
      <c r="F254" s="5"/>
      <c r="G254" s="5"/>
    </row>
    <row r="255" spans="1:7">
      <c r="A255" s="11">
        <v>11</v>
      </c>
      <c r="B255" s="12" t="str">
        <f>المدخلات!$F$5</f>
        <v>5:40–7:10 م</v>
      </c>
      <c r="C255" s="12">
        <v>4</v>
      </c>
      <c r="D255" s="12" t="s">
        <v>274</v>
      </c>
      <c r="E255" s="12" t="s">
        <v>268</v>
      </c>
      <c r="F255" s="5"/>
      <c r="G255" s="5"/>
    </row>
    <row r="256" spans="1:7">
      <c r="A256" s="11">
        <v>11</v>
      </c>
      <c r="B256" s="12" t="str">
        <f>المدخلات!$F$5</f>
        <v>5:40–7:10 م</v>
      </c>
      <c r="C256" s="12">
        <v>5</v>
      </c>
      <c r="D256" s="12" t="s">
        <v>291</v>
      </c>
      <c r="E256" s="12" t="s">
        <v>290</v>
      </c>
      <c r="F256" s="5"/>
      <c r="G256" s="5"/>
    </row>
    <row r="257" spans="1:7">
      <c r="A257" s="11">
        <v>11</v>
      </c>
      <c r="B257" s="12" t="str">
        <f>المدخلات!$F$5</f>
        <v>5:40–7:10 م</v>
      </c>
      <c r="C257" s="12">
        <v>6</v>
      </c>
      <c r="D257" s="12" t="s">
        <v>89</v>
      </c>
      <c r="E257" s="12" t="s">
        <v>75</v>
      </c>
      <c r="F257" s="5"/>
      <c r="G257" s="5"/>
    </row>
    <row r="258" spans="1:7">
      <c r="A258" s="11">
        <v>11</v>
      </c>
      <c r="B258" s="12" t="str">
        <f>المدخلات!$F$5</f>
        <v>5:40–7:10 م</v>
      </c>
      <c r="C258" s="12">
        <v>7</v>
      </c>
      <c r="D258" s="12" t="s">
        <v>345</v>
      </c>
      <c r="E258" s="12" t="s">
        <v>346</v>
      </c>
      <c r="F258" s="5"/>
      <c r="G258" s="5"/>
    </row>
    <row r="259" spans="1:7">
      <c r="A259" s="11">
        <v>11</v>
      </c>
      <c r="B259" s="12" t="str">
        <f>المدخلات!$F$5</f>
        <v>5:40–7:10 م</v>
      </c>
      <c r="C259" s="12">
        <v>8</v>
      </c>
      <c r="D259" s="12" t="s">
        <v>89</v>
      </c>
      <c r="E259" s="12" t="s">
        <v>86</v>
      </c>
      <c r="F259" s="5"/>
      <c r="G259" s="5"/>
    </row>
    <row r="260" spans="1:7">
      <c r="A260" s="11">
        <v>11</v>
      </c>
      <c r="B260" s="12" t="str">
        <f>المدخلات!$F$6</f>
        <v>7:20–8:50 م</v>
      </c>
      <c r="C260" s="12">
        <v>1</v>
      </c>
      <c r="D260" s="12" t="s">
        <v>291</v>
      </c>
      <c r="E260" s="12" t="s">
        <v>286</v>
      </c>
      <c r="F260" s="5"/>
      <c r="G260" s="5"/>
    </row>
    <row r="261" spans="1:7">
      <c r="A261" s="11">
        <v>11</v>
      </c>
      <c r="B261" s="12" t="str">
        <f>المدخلات!$F$6</f>
        <v>7:20–8:50 م</v>
      </c>
      <c r="C261" s="12">
        <v>2</v>
      </c>
      <c r="D261" s="12" t="s">
        <v>344</v>
      </c>
      <c r="E261" s="12" t="s">
        <v>328</v>
      </c>
      <c r="F261" s="5"/>
      <c r="G261" s="5"/>
    </row>
    <row r="262" spans="1:7">
      <c r="A262" s="11">
        <v>11</v>
      </c>
      <c r="B262" s="12" t="str">
        <f>المدخلات!$F$6</f>
        <v>7:20–8:50 م</v>
      </c>
      <c r="C262" s="12">
        <v>3</v>
      </c>
      <c r="D262" s="12" t="s">
        <v>321</v>
      </c>
      <c r="E262" s="12" t="s">
        <v>319</v>
      </c>
      <c r="F262" s="5"/>
      <c r="G262" s="5"/>
    </row>
    <row r="263" spans="1:7">
      <c r="A263" s="11">
        <v>11</v>
      </c>
      <c r="B263" s="12" t="str">
        <f>المدخلات!$F$6</f>
        <v>7:20–8:50 م</v>
      </c>
      <c r="C263" s="12">
        <v>4</v>
      </c>
      <c r="D263" s="12" t="s">
        <v>163</v>
      </c>
      <c r="E263" s="12" t="s">
        <v>164</v>
      </c>
      <c r="F263" s="5"/>
      <c r="G263" s="5"/>
    </row>
    <row r="264" spans="1:7">
      <c r="A264" s="11">
        <v>11</v>
      </c>
      <c r="B264" s="12" t="str">
        <f>المدخلات!$F$6</f>
        <v>7:20–8:50 م</v>
      </c>
      <c r="C264" s="12">
        <v>5</v>
      </c>
      <c r="D264" s="12" t="s">
        <v>163</v>
      </c>
      <c r="E264" s="12" t="s">
        <v>114</v>
      </c>
      <c r="F264" s="5"/>
      <c r="G264" s="5"/>
    </row>
    <row r="265" spans="1:7">
      <c r="A265" s="11">
        <v>11</v>
      </c>
      <c r="B265" s="12" t="str">
        <f>المدخلات!$F$6</f>
        <v>7:20–8:50 م</v>
      </c>
      <c r="C265" s="12">
        <v>6</v>
      </c>
      <c r="D265" s="12" t="s">
        <v>345</v>
      </c>
      <c r="E265" s="12" t="s">
        <v>343</v>
      </c>
      <c r="F265" s="5"/>
      <c r="G265" s="5"/>
    </row>
    <row r="266" spans="1:7">
      <c r="A266" s="11">
        <v>11</v>
      </c>
      <c r="B266" s="12" t="str">
        <f>المدخلات!$F$6</f>
        <v>7:20–8:50 م</v>
      </c>
      <c r="C266" s="12">
        <v>7</v>
      </c>
      <c r="D266" s="12" t="s">
        <v>17</v>
      </c>
      <c r="E266" s="12" t="s">
        <v>19</v>
      </c>
      <c r="F266" s="5"/>
      <c r="G266" s="5"/>
    </row>
    <row r="267" spans="1:7">
      <c r="A267" s="11">
        <v>11</v>
      </c>
      <c r="B267" s="12" t="str">
        <f>المدخلات!$F$6</f>
        <v>7:20–8:50 م</v>
      </c>
      <c r="C267" s="12">
        <v>8</v>
      </c>
      <c r="D267" s="12" t="s">
        <v>344</v>
      </c>
      <c r="E267" s="12" t="s">
        <v>332</v>
      </c>
      <c r="F267" s="5"/>
      <c r="G267" s="5"/>
    </row>
    <row r="268" spans="1:7">
      <c r="A268" s="11">
        <v>12</v>
      </c>
      <c r="B268" s="12" t="str">
        <f>المدخلات!$F$4</f>
        <v>4:00–5:30 م</v>
      </c>
      <c r="C268" s="12">
        <v>1</v>
      </c>
      <c r="D268" s="12" t="s">
        <v>274</v>
      </c>
      <c r="E268" s="12" t="s">
        <v>410</v>
      </c>
      <c r="F268" s="5"/>
      <c r="G268" s="5"/>
    </row>
    <row r="269" spans="1:7">
      <c r="A269" s="11">
        <v>12</v>
      </c>
      <c r="B269" s="12" t="str">
        <f>المدخلات!$F$4</f>
        <v>4:00–5:30 م</v>
      </c>
      <c r="C269" s="12">
        <v>2</v>
      </c>
      <c r="D269" s="12" t="s">
        <v>291</v>
      </c>
      <c r="E269" s="12" t="s">
        <v>281</v>
      </c>
      <c r="F269" s="5"/>
      <c r="G269" s="5"/>
    </row>
    <row r="270" spans="1:7">
      <c r="A270" s="11">
        <v>12</v>
      </c>
      <c r="B270" s="12" t="str">
        <f>المدخلات!$F$4</f>
        <v>4:00–5:30 م</v>
      </c>
      <c r="C270" s="12">
        <v>3</v>
      </c>
      <c r="D270" s="12" t="s">
        <v>163</v>
      </c>
      <c r="E270" s="12" t="s">
        <v>130</v>
      </c>
      <c r="F270" s="5"/>
      <c r="G270" s="5"/>
    </row>
    <row r="271" spans="1:7">
      <c r="A271" s="11">
        <v>12</v>
      </c>
      <c r="B271" s="12" t="str">
        <f>المدخلات!$F$4</f>
        <v>4:00–5:30 م</v>
      </c>
      <c r="C271" s="12">
        <v>4</v>
      </c>
      <c r="D271" s="12" t="s">
        <v>321</v>
      </c>
      <c r="E271" s="12" t="s">
        <v>311</v>
      </c>
      <c r="F271" s="5"/>
      <c r="G271" s="5"/>
    </row>
    <row r="272" spans="1:7">
      <c r="A272" s="11">
        <v>12</v>
      </c>
      <c r="B272" s="12" t="str">
        <f>المدخلات!$F$4</f>
        <v>4:00–5:30 م</v>
      </c>
      <c r="C272" s="12">
        <v>5</v>
      </c>
      <c r="D272" s="12" t="s">
        <v>345</v>
      </c>
      <c r="E272" s="12" t="s">
        <v>341</v>
      </c>
      <c r="F272" s="5"/>
      <c r="G272" s="5"/>
    </row>
    <row r="273" spans="1:7">
      <c r="A273" s="11">
        <v>12</v>
      </c>
      <c r="B273" s="12" t="str">
        <f>المدخلات!$F$4</f>
        <v>4:00–5:30 م</v>
      </c>
      <c r="C273" s="12">
        <v>6</v>
      </c>
      <c r="D273" s="12" t="s">
        <v>344</v>
      </c>
      <c r="E273" s="12" t="s">
        <v>327</v>
      </c>
      <c r="F273" s="5"/>
      <c r="G273" s="5"/>
    </row>
    <row r="274" spans="1:7">
      <c r="A274" s="11">
        <v>12</v>
      </c>
      <c r="B274" s="12" t="str">
        <f>المدخلات!$F$4</f>
        <v>4:00–5:30 م</v>
      </c>
      <c r="C274" s="12">
        <v>7</v>
      </c>
      <c r="D274" s="12" t="s">
        <v>344</v>
      </c>
      <c r="E274" s="12" t="s">
        <v>422</v>
      </c>
      <c r="F274" s="5"/>
      <c r="G274" s="5"/>
    </row>
    <row r="275" spans="1:7">
      <c r="A275" s="11">
        <v>12</v>
      </c>
      <c r="B275" s="12" t="str">
        <f>المدخلات!$F$4</f>
        <v>4:00–5:30 م</v>
      </c>
      <c r="C275" s="12">
        <v>8</v>
      </c>
      <c r="D275" s="12" t="s">
        <v>17</v>
      </c>
      <c r="E275" s="12" t="s">
        <v>23</v>
      </c>
      <c r="F275" s="5"/>
      <c r="G275" s="5"/>
    </row>
    <row r="276" spans="1:7">
      <c r="A276" s="11">
        <v>12</v>
      </c>
      <c r="B276" s="12" t="str">
        <f>المدخلات!$F$5</f>
        <v>5:40–7:10 م</v>
      </c>
      <c r="C276" s="12">
        <v>1</v>
      </c>
      <c r="D276" s="12" t="s">
        <v>344</v>
      </c>
      <c r="E276" s="12" t="s">
        <v>330</v>
      </c>
      <c r="F276" s="5"/>
      <c r="G276" s="5"/>
    </row>
    <row r="277" spans="1:7">
      <c r="A277" s="11">
        <v>12</v>
      </c>
      <c r="B277" s="12" t="str">
        <f>المدخلات!$F$5</f>
        <v>5:40–7:10 م</v>
      </c>
      <c r="C277" s="12">
        <v>2</v>
      </c>
      <c r="D277" s="12" t="s">
        <v>321</v>
      </c>
      <c r="E277" s="12" t="s">
        <v>421</v>
      </c>
      <c r="F277" s="5"/>
      <c r="G277" s="5"/>
    </row>
    <row r="278" spans="1:7">
      <c r="A278" s="11">
        <v>12</v>
      </c>
      <c r="B278" s="12" t="str">
        <f>المدخلات!$F$5</f>
        <v>5:40–7:10 م</v>
      </c>
      <c r="C278" s="12">
        <v>3</v>
      </c>
      <c r="D278" s="12" t="s">
        <v>291</v>
      </c>
      <c r="E278" s="12" t="s">
        <v>396</v>
      </c>
      <c r="F278" s="5"/>
      <c r="G278" s="5"/>
    </row>
    <row r="279" spans="1:7">
      <c r="A279" s="11">
        <v>12</v>
      </c>
      <c r="B279" s="12" t="str">
        <f>المدخلات!$F$5</f>
        <v>5:40–7:10 م</v>
      </c>
      <c r="C279" s="12">
        <v>4</v>
      </c>
      <c r="D279" s="12" t="s">
        <v>163</v>
      </c>
      <c r="E279" s="12" t="s">
        <v>108</v>
      </c>
      <c r="F279" s="5"/>
      <c r="G279" s="5"/>
    </row>
    <row r="280" spans="1:7">
      <c r="A280" s="11">
        <v>12</v>
      </c>
      <c r="B280" s="12" t="str">
        <f>المدخلات!$F$5</f>
        <v>5:40–7:10 م</v>
      </c>
      <c r="C280" s="12">
        <v>5</v>
      </c>
      <c r="D280" s="12" t="s">
        <v>345</v>
      </c>
      <c r="E280" s="12" t="s">
        <v>423</v>
      </c>
      <c r="F280" s="5"/>
      <c r="G280" s="5"/>
    </row>
    <row r="281" spans="1:7">
      <c r="A281" s="11">
        <v>12</v>
      </c>
      <c r="B281" s="12" t="str">
        <f>المدخلات!$F$5</f>
        <v>5:40–7:10 م</v>
      </c>
      <c r="C281" s="12">
        <v>6</v>
      </c>
      <c r="D281" s="12" t="s">
        <v>321</v>
      </c>
      <c r="E281" s="12" t="s">
        <v>316</v>
      </c>
      <c r="F281" s="5"/>
      <c r="G281" s="5"/>
    </row>
    <row r="282" spans="1:7">
      <c r="A282" s="11">
        <v>12</v>
      </c>
      <c r="B282" s="12" t="str">
        <f>المدخلات!$F$5</f>
        <v>5:40–7:10 م</v>
      </c>
      <c r="C282" s="12">
        <v>7</v>
      </c>
      <c r="D282" s="12" t="s">
        <v>274</v>
      </c>
      <c r="E282" s="12" t="s">
        <v>234</v>
      </c>
      <c r="F282" s="5"/>
      <c r="G282" s="5"/>
    </row>
    <row r="283" spans="1:7">
      <c r="A283" s="11">
        <v>12</v>
      </c>
      <c r="B283" s="12" t="str">
        <f>المدخلات!$F$5</f>
        <v>5:40–7:10 م</v>
      </c>
      <c r="C283" s="12">
        <v>8</v>
      </c>
      <c r="D283" s="12" t="s">
        <v>17</v>
      </c>
      <c r="E283" s="12" t="s">
        <v>21</v>
      </c>
      <c r="F283" s="5"/>
      <c r="G283" s="5"/>
    </row>
    <row r="284" spans="1:7">
      <c r="A284" s="11">
        <v>12</v>
      </c>
      <c r="B284" s="12" t="str">
        <f>المدخلات!$F$6</f>
        <v>7:20–8:50 م</v>
      </c>
      <c r="C284" s="12">
        <v>1</v>
      </c>
      <c r="D284" s="12" t="s">
        <v>274</v>
      </c>
      <c r="E284" s="12" t="s">
        <v>266</v>
      </c>
      <c r="F284" s="5"/>
      <c r="G284" s="5"/>
    </row>
    <row r="285" spans="1:7">
      <c r="A285" s="11">
        <v>12</v>
      </c>
      <c r="B285" s="12" t="str">
        <f>المدخلات!$F$6</f>
        <v>7:20–8:50 م</v>
      </c>
      <c r="C285" s="12">
        <v>2</v>
      </c>
      <c r="D285" s="12" t="s">
        <v>291</v>
      </c>
      <c r="E285" s="12" t="s">
        <v>288</v>
      </c>
      <c r="F285" s="5"/>
      <c r="G285" s="5"/>
    </row>
    <row r="286" spans="1:7">
      <c r="A286" s="11">
        <v>12</v>
      </c>
      <c r="B286" s="12" t="str">
        <f>المدخلات!$F$6</f>
        <v>7:20–8:50 م</v>
      </c>
      <c r="C286" s="12">
        <v>3</v>
      </c>
      <c r="D286" s="12" t="s">
        <v>89</v>
      </c>
      <c r="E286" s="12" t="s">
        <v>56</v>
      </c>
      <c r="F286" s="5"/>
      <c r="G286" s="5"/>
    </row>
    <row r="287" spans="1:7">
      <c r="A287" s="11">
        <v>12</v>
      </c>
      <c r="B287" s="12" t="str">
        <f>المدخلات!$F$6</f>
        <v>7:20–8:50 م</v>
      </c>
      <c r="C287" s="12">
        <v>4</v>
      </c>
      <c r="D287" s="12" t="s">
        <v>89</v>
      </c>
      <c r="E287" s="12" t="s">
        <v>381</v>
      </c>
      <c r="F287" s="5"/>
      <c r="G287" s="5"/>
    </row>
    <row r="288" spans="1:7">
      <c r="A288" s="11">
        <v>12</v>
      </c>
      <c r="B288" s="12" t="str">
        <f>المدخلات!$F$6</f>
        <v>7:20–8:50 م</v>
      </c>
      <c r="C288" s="12">
        <v>5</v>
      </c>
      <c r="D288" s="12" t="s">
        <v>17</v>
      </c>
      <c r="E288" s="12" t="s">
        <v>370</v>
      </c>
      <c r="F288" s="5"/>
      <c r="G288" s="5"/>
    </row>
    <row r="289" spans="1:7">
      <c r="A289" s="11">
        <v>12</v>
      </c>
      <c r="B289" s="12" t="str">
        <f>المدخلات!$F$6</f>
        <v>7:20–8:50 م</v>
      </c>
      <c r="C289" s="12">
        <v>6</v>
      </c>
      <c r="D289" s="12" t="s">
        <v>163</v>
      </c>
      <c r="E289" s="12" t="s">
        <v>392</v>
      </c>
      <c r="F289" s="5"/>
      <c r="G289" s="5"/>
    </row>
    <row r="290" spans="1:7">
      <c r="A290" s="11">
        <v>12</v>
      </c>
      <c r="B290" s="12" t="str">
        <f>المدخلات!$F$6</f>
        <v>7:20–8:50 م</v>
      </c>
      <c r="C290" s="12">
        <v>7</v>
      </c>
      <c r="D290" s="12" t="s">
        <v>89</v>
      </c>
      <c r="E290" s="12" t="s">
        <v>71</v>
      </c>
      <c r="F290" s="5"/>
      <c r="G290" s="5"/>
    </row>
    <row r="291" spans="1:7">
      <c r="A291" s="11">
        <v>12</v>
      </c>
      <c r="B291" s="12" t="str">
        <f>المدخلات!$F$6</f>
        <v>7:20–8:50 م</v>
      </c>
      <c r="C291" s="12">
        <v>8</v>
      </c>
      <c r="D291" s="12" t="s">
        <v>345</v>
      </c>
      <c r="E291" s="12" t="s">
        <v>338</v>
      </c>
      <c r="F291" s="5"/>
      <c r="G291" s="5"/>
    </row>
    <row r="292" spans="1:7">
      <c r="A292" s="11">
        <v>13</v>
      </c>
      <c r="B292" s="12" t="str">
        <f>المدخلات!$F$4</f>
        <v>4:00–5:30 م</v>
      </c>
      <c r="C292" s="12">
        <v>1</v>
      </c>
      <c r="D292" s="12" t="s">
        <v>291</v>
      </c>
      <c r="E292" s="12" t="s">
        <v>400</v>
      </c>
      <c r="F292" s="5"/>
      <c r="G292" s="5"/>
    </row>
    <row r="293" spans="1:7">
      <c r="A293" s="11">
        <v>13</v>
      </c>
      <c r="B293" s="12" t="str">
        <f>المدخلات!$F$4</f>
        <v>4:00–5:30 م</v>
      </c>
      <c r="C293" s="12">
        <v>2</v>
      </c>
      <c r="D293" s="12" t="s">
        <v>321</v>
      </c>
      <c r="E293" s="12" t="s">
        <v>369</v>
      </c>
      <c r="F293" s="5"/>
      <c r="G293" s="5"/>
    </row>
    <row r="294" spans="1:7">
      <c r="A294" s="11">
        <v>13</v>
      </c>
      <c r="B294" s="12" t="str">
        <f>المدخلات!$F$4</f>
        <v>4:00–5:30 م</v>
      </c>
      <c r="C294" s="12">
        <v>3</v>
      </c>
      <c r="D294" s="12" t="s">
        <v>17</v>
      </c>
      <c r="E294" s="12" t="s">
        <v>24</v>
      </c>
      <c r="F294" s="5"/>
      <c r="G294" s="5"/>
    </row>
    <row r="295" spans="1:7">
      <c r="A295" s="11">
        <v>13</v>
      </c>
      <c r="B295" s="12" t="str">
        <f>المدخلات!$F$4</f>
        <v>4:00–5:30 م</v>
      </c>
      <c r="C295" s="12">
        <v>4</v>
      </c>
      <c r="D295" s="12" t="s">
        <v>345</v>
      </c>
      <c r="E295" s="12" t="s">
        <v>428</v>
      </c>
      <c r="F295" s="5"/>
      <c r="G295" s="5"/>
    </row>
    <row r="296" spans="1:7">
      <c r="A296" s="11">
        <v>13</v>
      </c>
      <c r="B296" s="12" t="str">
        <f>المدخلات!$F$4</f>
        <v>4:00–5:30 م</v>
      </c>
      <c r="C296" s="12">
        <v>5</v>
      </c>
      <c r="D296" s="12" t="s">
        <v>89</v>
      </c>
      <c r="E296" s="12" t="s">
        <v>65</v>
      </c>
      <c r="F296" s="5"/>
      <c r="G296" s="5"/>
    </row>
    <row r="297" spans="1:7">
      <c r="A297" s="11">
        <v>13</v>
      </c>
      <c r="B297" s="12" t="str">
        <f>المدخلات!$F$4</f>
        <v>4:00–5:30 م</v>
      </c>
      <c r="C297" s="12">
        <v>6</v>
      </c>
      <c r="D297" s="12" t="s">
        <v>274</v>
      </c>
      <c r="E297" s="12" t="s">
        <v>412</v>
      </c>
      <c r="F297" s="5"/>
      <c r="G297" s="5"/>
    </row>
    <row r="298" spans="1:7">
      <c r="A298" s="11">
        <v>13</v>
      </c>
      <c r="B298" s="12" t="str">
        <f>المدخلات!$F$4</f>
        <v>4:00–5:30 م</v>
      </c>
      <c r="C298" s="12">
        <v>7</v>
      </c>
      <c r="D298" s="12" t="s">
        <v>89</v>
      </c>
      <c r="E298" s="12" t="s">
        <v>420</v>
      </c>
      <c r="F298" s="5"/>
      <c r="G298" s="5"/>
    </row>
    <row r="299" spans="1:7">
      <c r="A299" s="11">
        <v>13</v>
      </c>
      <c r="B299" s="12" t="str">
        <f>المدخلات!$F$4</f>
        <v>4:00–5:30 م</v>
      </c>
      <c r="C299" s="12">
        <v>8</v>
      </c>
      <c r="D299" s="12" t="s">
        <v>163</v>
      </c>
      <c r="E299" s="12" t="s">
        <v>115</v>
      </c>
      <c r="F299" s="5"/>
      <c r="G299" s="5"/>
    </row>
    <row r="300" spans="1:7">
      <c r="A300" s="11">
        <v>13</v>
      </c>
      <c r="B300" s="12" t="str">
        <f>المدخلات!$F$5</f>
        <v>5:40–7:10 م</v>
      </c>
      <c r="C300" s="12">
        <v>1</v>
      </c>
      <c r="D300" s="12" t="s">
        <v>344</v>
      </c>
      <c r="E300" s="12" t="s">
        <v>426</v>
      </c>
      <c r="F300" s="5"/>
      <c r="G300" s="5"/>
    </row>
    <row r="301" spans="1:7">
      <c r="A301" s="11">
        <v>13</v>
      </c>
      <c r="B301" s="12" t="str">
        <f>المدخلات!$F$5</f>
        <v>5:40–7:10 م</v>
      </c>
      <c r="C301" s="12">
        <v>2</v>
      </c>
      <c r="D301" s="12" t="s">
        <v>274</v>
      </c>
      <c r="E301" s="12" t="s">
        <v>255</v>
      </c>
      <c r="F301" s="5"/>
      <c r="G301" s="5"/>
    </row>
    <row r="302" spans="1:7">
      <c r="A302" s="11">
        <v>13</v>
      </c>
      <c r="B302" s="12" t="str">
        <f>المدخلات!$F$5</f>
        <v>5:40–7:10 م</v>
      </c>
      <c r="C302" s="12">
        <v>3</v>
      </c>
      <c r="D302" s="12" t="s">
        <v>345</v>
      </c>
      <c r="E302" s="12" t="s">
        <v>427</v>
      </c>
      <c r="F302" s="5"/>
      <c r="G302" s="5"/>
    </row>
    <row r="303" spans="1:7">
      <c r="A303" s="11">
        <v>13</v>
      </c>
      <c r="B303" s="12" t="str">
        <f>المدخلات!$F$5</f>
        <v>5:40–7:10 م</v>
      </c>
      <c r="C303" s="12">
        <v>4</v>
      </c>
      <c r="D303" s="12" t="s">
        <v>291</v>
      </c>
      <c r="E303" s="12" t="s">
        <v>287</v>
      </c>
      <c r="F303" s="5"/>
      <c r="G303" s="5"/>
    </row>
    <row r="304" spans="1:7">
      <c r="A304" s="11">
        <v>13</v>
      </c>
      <c r="B304" s="12" t="str">
        <f>المدخلات!$F$5</f>
        <v>5:40–7:10 م</v>
      </c>
      <c r="C304" s="12">
        <v>5</v>
      </c>
      <c r="D304" s="12" t="s">
        <v>17</v>
      </c>
      <c r="E304" s="12" t="s">
        <v>385</v>
      </c>
      <c r="F304" s="5"/>
      <c r="G304" s="5"/>
    </row>
    <row r="305" spans="1:7">
      <c r="A305" s="11">
        <v>13</v>
      </c>
      <c r="B305" s="12" t="str">
        <f>المدخلات!$F$5</f>
        <v>5:40–7:10 م</v>
      </c>
      <c r="C305" s="12">
        <v>6</v>
      </c>
      <c r="D305" s="12" t="s">
        <v>291</v>
      </c>
      <c r="E305" s="12" t="s">
        <v>401</v>
      </c>
      <c r="F305" s="5"/>
      <c r="G305" s="5"/>
    </row>
    <row r="306" spans="1:7">
      <c r="A306" s="11">
        <v>13</v>
      </c>
      <c r="B306" s="12" t="str">
        <f>المدخلات!$F$5</f>
        <v>5:40–7:10 م</v>
      </c>
      <c r="C306" s="12">
        <v>7</v>
      </c>
      <c r="D306" s="12" t="s">
        <v>344</v>
      </c>
      <c r="E306" s="12" t="s">
        <v>425</v>
      </c>
      <c r="F306" s="5"/>
      <c r="G306" s="5"/>
    </row>
    <row r="307" spans="1:7">
      <c r="A307" s="11">
        <v>13</v>
      </c>
      <c r="B307" s="12" t="str">
        <f>المدخلات!$F$5</f>
        <v>5:40–7:10 م</v>
      </c>
      <c r="C307" s="12">
        <v>8</v>
      </c>
      <c r="D307" s="12" t="s">
        <v>89</v>
      </c>
      <c r="E307" s="12" t="s">
        <v>391</v>
      </c>
      <c r="F307" s="5"/>
      <c r="G307" s="5"/>
    </row>
    <row r="308" spans="1:7">
      <c r="A308" s="11">
        <v>13</v>
      </c>
      <c r="B308" s="12" t="str">
        <f>المدخلات!$F$6</f>
        <v>7:20–8:50 م</v>
      </c>
      <c r="C308" s="12">
        <v>1</v>
      </c>
      <c r="D308" s="12" t="s">
        <v>163</v>
      </c>
      <c r="E308" s="12" t="s">
        <v>403</v>
      </c>
      <c r="F308" s="5"/>
      <c r="G308" s="5"/>
    </row>
    <row r="309" spans="1:7">
      <c r="A309" s="11">
        <v>13</v>
      </c>
      <c r="B309" s="12" t="str">
        <f>المدخلات!$F$6</f>
        <v>7:20–8:50 م</v>
      </c>
      <c r="C309" s="12">
        <v>2</v>
      </c>
      <c r="D309" s="12" t="s">
        <v>17</v>
      </c>
      <c r="E309" s="12" t="s">
        <v>380</v>
      </c>
      <c r="F309" s="5"/>
      <c r="G309" s="5"/>
    </row>
    <row r="310" spans="1:7">
      <c r="A310" s="11">
        <v>13</v>
      </c>
      <c r="B310" s="12" t="str">
        <f>المدخلات!$F$6</f>
        <v>7:20–8:50 م</v>
      </c>
      <c r="C310" s="12">
        <v>3</v>
      </c>
      <c r="D310" s="12" t="s">
        <v>163</v>
      </c>
      <c r="E310" s="12" t="s">
        <v>404</v>
      </c>
      <c r="F310" s="5"/>
      <c r="G310" s="5"/>
    </row>
    <row r="311" spans="1:7">
      <c r="A311" s="11">
        <v>13</v>
      </c>
      <c r="B311" s="12" t="str">
        <f>المدخلات!$F$6</f>
        <v>7:20–8:50 م</v>
      </c>
      <c r="C311" s="12">
        <v>4</v>
      </c>
      <c r="D311" s="12" t="s">
        <v>321</v>
      </c>
      <c r="E311" s="12" t="s">
        <v>314</v>
      </c>
      <c r="F311" s="5"/>
      <c r="G311" s="5"/>
    </row>
    <row r="312" spans="1:7">
      <c r="A312" s="11">
        <v>13</v>
      </c>
      <c r="B312" s="12" t="str">
        <f>المدخلات!$F$6</f>
        <v>7:20–8:50 م</v>
      </c>
      <c r="C312" s="12">
        <v>5</v>
      </c>
      <c r="D312" s="12" t="s">
        <v>344</v>
      </c>
      <c r="E312" s="12" t="s">
        <v>329</v>
      </c>
      <c r="F312" s="5"/>
      <c r="G312" s="5"/>
    </row>
    <row r="313" spans="1:7">
      <c r="A313" s="11">
        <v>13</v>
      </c>
      <c r="B313" s="12" t="str">
        <f>المدخلات!$F$6</f>
        <v>7:20–8:50 م</v>
      </c>
      <c r="C313" s="12">
        <v>6</v>
      </c>
      <c r="D313" s="12" t="s">
        <v>345</v>
      </c>
      <c r="E313" s="12" t="s">
        <v>340</v>
      </c>
      <c r="F313" s="5"/>
      <c r="G313" s="5"/>
    </row>
    <row r="314" spans="1:7">
      <c r="A314" s="11">
        <v>13</v>
      </c>
      <c r="B314" s="12" t="str">
        <f>المدخلات!$F$6</f>
        <v>7:20–8:50 م</v>
      </c>
      <c r="C314" s="12">
        <v>7</v>
      </c>
      <c r="D314" s="12" t="s">
        <v>321</v>
      </c>
      <c r="E314" s="12" t="s">
        <v>424</v>
      </c>
      <c r="F314" s="5"/>
      <c r="G314" s="5"/>
    </row>
    <row r="315" spans="1:7">
      <c r="A315" s="11">
        <v>13</v>
      </c>
      <c r="B315" s="12" t="str">
        <f>المدخلات!$F$6</f>
        <v>7:20–8:50 م</v>
      </c>
      <c r="C315" s="12">
        <v>8</v>
      </c>
      <c r="D315" s="12" t="s">
        <v>274</v>
      </c>
      <c r="E315" s="12" t="s">
        <v>413</v>
      </c>
      <c r="F315" s="5"/>
      <c r="G315" s="5"/>
    </row>
    <row r="316" spans="1:7">
      <c r="A316" s="11">
        <v>14</v>
      </c>
      <c r="B316" s="12" t="str">
        <f>المدخلات!$F$4</f>
        <v>4:00–5:30 م</v>
      </c>
      <c r="C316" s="12">
        <v>1</v>
      </c>
      <c r="D316" s="12" t="s">
        <v>89</v>
      </c>
      <c r="E316" s="12" t="s">
        <v>84</v>
      </c>
      <c r="F316" s="5"/>
      <c r="G316" s="5"/>
    </row>
    <row r="317" spans="1:7">
      <c r="A317" s="11">
        <v>14</v>
      </c>
      <c r="B317" s="12" t="str">
        <f>المدخلات!$F$4</f>
        <v>4:00–5:30 م</v>
      </c>
      <c r="C317" s="12">
        <v>2</v>
      </c>
      <c r="D317" s="12" t="s">
        <v>163</v>
      </c>
      <c r="E317" s="12" t="s">
        <v>407</v>
      </c>
      <c r="F317" s="5"/>
      <c r="G317" s="5"/>
    </row>
    <row r="318" spans="1:7">
      <c r="A318" s="11">
        <v>14</v>
      </c>
      <c r="B318" s="12" t="str">
        <f>المدخلات!$F$4</f>
        <v>4:00–5:30 م</v>
      </c>
      <c r="C318" s="12">
        <v>3</v>
      </c>
      <c r="D318" s="12" t="s">
        <v>321</v>
      </c>
      <c r="E318" s="12" t="s">
        <v>374</v>
      </c>
      <c r="F318" s="5"/>
      <c r="G318" s="5"/>
    </row>
    <row r="319" spans="1:7">
      <c r="A319" s="11">
        <v>14</v>
      </c>
      <c r="B319" s="12" t="str">
        <f>المدخلات!$F$4</f>
        <v>4:00–5:30 م</v>
      </c>
      <c r="C319" s="12">
        <v>4</v>
      </c>
      <c r="D319" s="12" t="s">
        <v>344</v>
      </c>
      <c r="E319" s="12" t="s">
        <v>429</v>
      </c>
      <c r="F319" s="5"/>
      <c r="G319" s="5"/>
    </row>
    <row r="320" spans="1:7">
      <c r="A320" s="11">
        <v>14</v>
      </c>
      <c r="B320" s="12" t="str">
        <f>المدخلات!$F$4</f>
        <v>4:00–5:30 م</v>
      </c>
      <c r="C320" s="12">
        <v>5</v>
      </c>
      <c r="D320" s="12" t="s">
        <v>89</v>
      </c>
      <c r="E320" s="12" t="s">
        <v>53</v>
      </c>
      <c r="F320" s="5"/>
      <c r="G320" s="5"/>
    </row>
    <row r="321" spans="1:7">
      <c r="A321" s="11">
        <v>14</v>
      </c>
      <c r="B321" s="12" t="str">
        <f>المدخلات!$F$4</f>
        <v>4:00–5:30 م</v>
      </c>
      <c r="C321" s="12">
        <v>6</v>
      </c>
      <c r="D321" s="12" t="s">
        <v>17</v>
      </c>
      <c r="E321" s="12" t="s">
        <v>29</v>
      </c>
      <c r="F321" s="5"/>
      <c r="G321" s="5"/>
    </row>
    <row r="322" spans="1:7">
      <c r="A322" s="11">
        <v>14</v>
      </c>
      <c r="B322" s="12" t="str">
        <f>المدخلات!$F$4</f>
        <v>4:00–5:30 م</v>
      </c>
      <c r="C322" s="12">
        <v>7</v>
      </c>
      <c r="D322" s="12" t="s">
        <v>291</v>
      </c>
      <c r="E322" s="12" t="s">
        <v>368</v>
      </c>
      <c r="F322" s="5"/>
      <c r="G322" s="5"/>
    </row>
    <row r="323" spans="1:7">
      <c r="A323" s="11">
        <v>14</v>
      </c>
      <c r="B323" s="12" t="str">
        <f>المدخلات!$F$4</f>
        <v>4:00–5:30 م</v>
      </c>
      <c r="C323" s="12">
        <v>8</v>
      </c>
      <c r="D323" s="12" t="s">
        <v>345</v>
      </c>
      <c r="E323" s="12" t="s">
        <v>337</v>
      </c>
      <c r="F323" s="5"/>
      <c r="G323" s="5"/>
    </row>
    <row r="324" spans="1:7">
      <c r="A324" s="11">
        <v>14</v>
      </c>
      <c r="B324" s="12" t="str">
        <f>المدخلات!$F$5</f>
        <v>5:40–7:10 م</v>
      </c>
      <c r="C324" s="12">
        <v>1</v>
      </c>
      <c r="D324" s="12" t="s">
        <v>321</v>
      </c>
      <c r="E324" s="12" t="s">
        <v>323</v>
      </c>
      <c r="F324" s="5"/>
      <c r="G324" s="5"/>
    </row>
    <row r="325" spans="1:7">
      <c r="A325" s="11">
        <v>14</v>
      </c>
      <c r="B325" s="12" t="str">
        <f>المدخلات!$F$5</f>
        <v>5:40–7:10 م</v>
      </c>
      <c r="C325" s="12">
        <v>2</v>
      </c>
      <c r="D325" s="12" t="s">
        <v>274</v>
      </c>
      <c r="E325" s="12" t="s">
        <v>271</v>
      </c>
      <c r="F325" s="5"/>
      <c r="G325" s="5"/>
    </row>
    <row r="326" spans="1:7">
      <c r="A326" s="11">
        <v>14</v>
      </c>
      <c r="B326" s="12" t="str">
        <f>المدخلات!$F$5</f>
        <v>5:40–7:10 م</v>
      </c>
      <c r="C326" s="12">
        <v>3</v>
      </c>
      <c r="D326" s="12" t="s">
        <v>344</v>
      </c>
      <c r="E326" s="12" t="s">
        <v>326</v>
      </c>
      <c r="F326" s="5"/>
      <c r="G326" s="5"/>
    </row>
    <row r="327" spans="1:7">
      <c r="A327" s="11">
        <v>14</v>
      </c>
      <c r="B327" s="12" t="str">
        <f>المدخلات!$F$5</f>
        <v>5:40–7:10 م</v>
      </c>
      <c r="C327" s="12">
        <v>4</v>
      </c>
      <c r="D327" s="12" t="s">
        <v>17</v>
      </c>
      <c r="E327" s="12" t="s">
        <v>27</v>
      </c>
      <c r="F327" s="5"/>
      <c r="G327" s="5"/>
    </row>
    <row r="328" spans="1:7">
      <c r="A328" s="11">
        <v>14</v>
      </c>
      <c r="B328" s="12" t="str">
        <f>المدخلات!$F$5</f>
        <v>5:40–7:10 م</v>
      </c>
      <c r="C328" s="12">
        <v>5</v>
      </c>
      <c r="D328" s="12" t="s">
        <v>163</v>
      </c>
      <c r="E328" s="12" t="s">
        <v>167</v>
      </c>
      <c r="F328" s="5"/>
      <c r="G328" s="5"/>
    </row>
    <row r="329" spans="1:7">
      <c r="A329" s="11">
        <v>14</v>
      </c>
      <c r="B329" s="12" t="str">
        <f>المدخلات!$F$5</f>
        <v>5:40–7:10 م</v>
      </c>
      <c r="C329" s="12">
        <v>6</v>
      </c>
      <c r="D329" s="12" t="s">
        <v>89</v>
      </c>
      <c r="E329" s="12" t="s">
        <v>398</v>
      </c>
      <c r="F329" s="5"/>
      <c r="G329" s="5"/>
    </row>
    <row r="330" spans="1:7">
      <c r="A330" s="11">
        <v>14</v>
      </c>
      <c r="B330" s="12" t="str">
        <f>المدخلات!$F$5</f>
        <v>5:40–7:10 م</v>
      </c>
      <c r="C330" s="12">
        <v>7</v>
      </c>
      <c r="D330" s="12" t="s">
        <v>163</v>
      </c>
      <c r="E330" s="12" t="s">
        <v>106</v>
      </c>
      <c r="F330" s="5"/>
      <c r="G330" s="5"/>
    </row>
    <row r="331" spans="1:7">
      <c r="A331" s="11">
        <v>14</v>
      </c>
      <c r="B331" s="12" t="str">
        <f>المدخلات!$F$5</f>
        <v>5:40–7:10 م</v>
      </c>
      <c r="C331" s="12">
        <v>8</v>
      </c>
      <c r="D331" s="12" t="s">
        <v>345</v>
      </c>
      <c r="E331" s="12" t="s">
        <v>430</v>
      </c>
      <c r="F331" s="5"/>
      <c r="G331" s="5"/>
    </row>
    <row r="332" spans="1:7">
      <c r="A332" s="11">
        <v>14</v>
      </c>
      <c r="B332" s="12" t="str">
        <f>المدخلات!$F$6</f>
        <v>7:20–8:50 م</v>
      </c>
      <c r="C332" s="12">
        <v>1</v>
      </c>
      <c r="D332" s="12" t="s">
        <v>321</v>
      </c>
      <c r="E332" s="12" t="s">
        <v>309</v>
      </c>
      <c r="F332" s="5"/>
      <c r="G332" s="5"/>
    </row>
    <row r="333" spans="1:7">
      <c r="A333" s="11">
        <v>14</v>
      </c>
      <c r="B333" s="12" t="str">
        <f>المدخلات!$F$6</f>
        <v>7:20–8:50 م</v>
      </c>
      <c r="C333" s="12">
        <v>2</v>
      </c>
      <c r="D333" s="12" t="s">
        <v>345</v>
      </c>
      <c r="E333" s="12" t="s">
        <v>347</v>
      </c>
      <c r="F333" s="5"/>
      <c r="G333" s="5"/>
    </row>
    <row r="334" spans="1:7">
      <c r="A334" s="11">
        <v>14</v>
      </c>
      <c r="B334" s="12" t="str">
        <f>المدخلات!$F$6</f>
        <v>7:20–8:50 م</v>
      </c>
      <c r="C334" s="12">
        <v>3</v>
      </c>
      <c r="D334" s="12" t="s">
        <v>291</v>
      </c>
      <c r="E334" s="12" t="s">
        <v>293</v>
      </c>
      <c r="F334" s="5"/>
      <c r="G334" s="5"/>
    </row>
    <row r="335" spans="1:7">
      <c r="A335" s="11">
        <v>14</v>
      </c>
      <c r="B335" s="12" t="str">
        <f>المدخلات!$F$6</f>
        <v>7:20–8:50 م</v>
      </c>
      <c r="C335" s="12">
        <v>4</v>
      </c>
      <c r="D335" s="12" t="s">
        <v>344</v>
      </c>
      <c r="E335" s="12" t="s">
        <v>333</v>
      </c>
      <c r="F335" s="5"/>
      <c r="G335" s="5"/>
    </row>
    <row r="336" spans="1:7">
      <c r="A336" s="11">
        <v>14</v>
      </c>
      <c r="B336" s="12" t="str">
        <f>المدخلات!$F$6</f>
        <v>7:20–8:50 م</v>
      </c>
      <c r="C336" s="12">
        <v>5</v>
      </c>
      <c r="D336" s="12" t="s">
        <v>274</v>
      </c>
      <c r="E336" s="12" t="s">
        <v>416</v>
      </c>
      <c r="F336" s="5"/>
      <c r="G336" s="5"/>
    </row>
    <row r="337" spans="1:7">
      <c r="A337" s="11">
        <v>14</v>
      </c>
      <c r="B337" s="12" t="str">
        <f>المدخلات!$F$6</f>
        <v>7:20–8:50 م</v>
      </c>
      <c r="C337" s="12">
        <v>6</v>
      </c>
      <c r="D337" s="12" t="s">
        <v>17</v>
      </c>
      <c r="E337" s="12" t="s">
        <v>390</v>
      </c>
      <c r="F337" s="5"/>
      <c r="G337" s="5"/>
    </row>
    <row r="338" spans="1:7">
      <c r="A338" s="11">
        <v>14</v>
      </c>
      <c r="B338" s="12" t="str">
        <f>المدخلات!$F$6</f>
        <v>7:20–8:50 م</v>
      </c>
      <c r="C338" s="12">
        <v>7</v>
      </c>
      <c r="D338" s="12" t="s">
        <v>291</v>
      </c>
      <c r="E338" s="12" t="s">
        <v>280</v>
      </c>
      <c r="F338" s="5"/>
      <c r="G338" s="5"/>
    </row>
    <row r="339" spans="1:7">
      <c r="A339" s="11">
        <v>14</v>
      </c>
      <c r="B339" s="12" t="str">
        <f>المدخلات!$F$6</f>
        <v>7:20–8:50 م</v>
      </c>
      <c r="C339" s="12">
        <v>8</v>
      </c>
      <c r="D339" s="12" t="s">
        <v>274</v>
      </c>
      <c r="E339" s="12" t="s">
        <v>225</v>
      </c>
      <c r="F339" s="5"/>
      <c r="G339" s="5"/>
    </row>
    <row r="340" spans="1:7">
      <c r="A340" s="11">
        <v>15</v>
      </c>
      <c r="B340" s="12" t="str">
        <f>المدخلات!$F$4</f>
        <v>4:00–5:30 م</v>
      </c>
      <c r="C340" s="12">
        <v>1</v>
      </c>
      <c r="D340" s="12" t="s">
        <v>344</v>
      </c>
      <c r="E340" s="12" t="s">
        <v>331</v>
      </c>
      <c r="F340" s="5"/>
      <c r="G340" s="5"/>
    </row>
    <row r="341" spans="1:7">
      <c r="A341" s="11">
        <v>15</v>
      </c>
      <c r="B341" s="12" t="str">
        <f>المدخلات!$F$4</f>
        <v>4:00–5:30 م</v>
      </c>
      <c r="C341" s="12">
        <v>2</v>
      </c>
      <c r="D341" s="12" t="s">
        <v>321</v>
      </c>
      <c r="E341" s="12" t="s">
        <v>307</v>
      </c>
      <c r="F341" s="5"/>
      <c r="G341" s="5"/>
    </row>
    <row r="342" spans="1:7">
      <c r="A342" s="11">
        <v>15</v>
      </c>
      <c r="B342" s="12" t="str">
        <f>المدخلات!$F$4</f>
        <v>4:00–5:30 م</v>
      </c>
      <c r="C342" s="12">
        <v>3</v>
      </c>
      <c r="D342" s="12" t="s">
        <v>291</v>
      </c>
      <c r="E342" s="12" t="s">
        <v>278</v>
      </c>
      <c r="F342" s="5"/>
      <c r="G342" s="5"/>
    </row>
    <row r="343" spans="1:7">
      <c r="A343" s="11">
        <v>15</v>
      </c>
      <c r="B343" s="12" t="str">
        <f>المدخلات!$F$4</f>
        <v>4:00–5:30 م</v>
      </c>
      <c r="C343" s="12">
        <v>4</v>
      </c>
      <c r="D343" s="12" t="s">
        <v>274</v>
      </c>
      <c r="E343" s="12" t="s">
        <v>272</v>
      </c>
      <c r="F343" s="5"/>
      <c r="G343" s="5"/>
    </row>
    <row r="344" spans="1:7">
      <c r="A344" s="11">
        <v>15</v>
      </c>
      <c r="B344" s="12" t="str">
        <f>المدخلات!$F$4</f>
        <v>4:00–5:30 م</v>
      </c>
      <c r="C344" s="12">
        <v>5</v>
      </c>
      <c r="D344" s="12" t="s">
        <v>274</v>
      </c>
      <c r="E344" s="12" t="s">
        <v>214</v>
      </c>
      <c r="F344" s="5"/>
      <c r="G344" s="5"/>
    </row>
    <row r="345" spans="1:7">
      <c r="A345" s="11">
        <v>15</v>
      </c>
      <c r="B345" s="12" t="str">
        <f>المدخلات!$F$4</f>
        <v>4:00–5:30 م</v>
      </c>
      <c r="C345" s="12">
        <v>6</v>
      </c>
      <c r="D345" s="12" t="s">
        <v>163</v>
      </c>
      <c r="E345" s="12" t="s">
        <v>168</v>
      </c>
      <c r="F345" s="5"/>
      <c r="G345" s="5"/>
    </row>
    <row r="346" spans="1:7">
      <c r="A346" s="11">
        <v>15</v>
      </c>
      <c r="B346" s="12" t="str">
        <f>المدخلات!$F$4</f>
        <v>4:00–5:30 م</v>
      </c>
      <c r="C346" s="12">
        <v>7</v>
      </c>
      <c r="D346" s="12" t="s">
        <v>344</v>
      </c>
      <c r="E346" s="12" t="s">
        <v>325</v>
      </c>
      <c r="F346" s="5"/>
      <c r="G346" s="5"/>
    </row>
    <row r="347" spans="1:7">
      <c r="A347" s="11">
        <v>15</v>
      </c>
      <c r="B347" s="12" t="str">
        <f>المدخلات!$F$4</f>
        <v>4:00–5:30 م</v>
      </c>
      <c r="C347" s="12">
        <v>8</v>
      </c>
      <c r="D347" s="12" t="s">
        <v>345</v>
      </c>
      <c r="E347" s="12" t="s">
        <v>342</v>
      </c>
      <c r="F347" s="5"/>
      <c r="G347" s="5"/>
    </row>
    <row r="348" spans="1:7">
      <c r="A348" s="11">
        <v>15</v>
      </c>
      <c r="B348" s="12" t="str">
        <f>المدخلات!$F$5</f>
        <v>5:40–7:10 م</v>
      </c>
      <c r="C348" s="12">
        <v>1</v>
      </c>
      <c r="D348" s="12" t="s">
        <v>291</v>
      </c>
      <c r="E348" s="12" t="s">
        <v>294</v>
      </c>
      <c r="F348" s="5"/>
      <c r="G348" s="5"/>
    </row>
    <row r="349" spans="1:7">
      <c r="A349" s="11">
        <v>15</v>
      </c>
      <c r="B349" s="12" t="str">
        <f>المدخلات!$F$5</f>
        <v>5:40–7:10 م</v>
      </c>
      <c r="C349" s="12">
        <v>2</v>
      </c>
      <c r="D349" s="12" t="s">
        <v>345</v>
      </c>
      <c r="E349" s="12" t="s">
        <v>336</v>
      </c>
      <c r="F349" s="5"/>
      <c r="G349" s="5"/>
    </row>
    <row r="350" spans="1:7">
      <c r="A350" s="11">
        <v>15</v>
      </c>
      <c r="B350" s="12" t="str">
        <f>المدخلات!$F$5</f>
        <v>5:40–7:10 م</v>
      </c>
      <c r="C350" s="12">
        <v>3</v>
      </c>
      <c r="D350" s="12" t="s">
        <v>321</v>
      </c>
      <c r="E350" s="12" t="s">
        <v>324</v>
      </c>
      <c r="F350" s="5"/>
      <c r="G350" s="5"/>
    </row>
    <row r="351" spans="1:7">
      <c r="A351" s="11">
        <v>15</v>
      </c>
      <c r="B351" s="12" t="str">
        <f>المدخلات!$F$5</f>
        <v>5:40–7:10 م</v>
      </c>
      <c r="C351" s="12">
        <v>4</v>
      </c>
      <c r="D351" s="12" t="s">
        <v>163</v>
      </c>
      <c r="E351" s="12" t="s">
        <v>151</v>
      </c>
      <c r="F351" s="5"/>
      <c r="G351" s="5"/>
    </row>
    <row r="352" spans="1:7">
      <c r="A352" s="11">
        <v>15</v>
      </c>
      <c r="B352" s="12" t="str">
        <f>المدخلات!$F$5</f>
        <v>5:40–7:10 م</v>
      </c>
      <c r="C352" s="12">
        <v>5</v>
      </c>
      <c r="D352" s="12" t="s">
        <v>163</v>
      </c>
      <c r="E352" s="12" t="s">
        <v>102</v>
      </c>
      <c r="F352" s="5"/>
      <c r="G352" s="5"/>
    </row>
    <row r="353" spans="1:7">
      <c r="A353" s="11">
        <v>15</v>
      </c>
      <c r="B353" s="12" t="str">
        <f>المدخلات!$F$5</f>
        <v>5:40–7:10 م</v>
      </c>
      <c r="C353" s="12">
        <v>6</v>
      </c>
      <c r="D353" s="12" t="s">
        <v>89</v>
      </c>
      <c r="E353" s="12" t="s">
        <v>85</v>
      </c>
      <c r="F353" s="5"/>
      <c r="G353" s="5"/>
    </row>
    <row r="354" spans="1:7">
      <c r="A354" s="11">
        <v>15</v>
      </c>
      <c r="B354" s="12" t="str">
        <f>المدخلات!$F$5</f>
        <v>5:40–7:10 م</v>
      </c>
      <c r="C354" s="12">
        <v>7</v>
      </c>
      <c r="D354" s="12" t="s">
        <v>274</v>
      </c>
      <c r="E354" s="12" t="s">
        <v>267</v>
      </c>
      <c r="F354" s="5"/>
      <c r="G354" s="5"/>
    </row>
    <row r="355" spans="1:7">
      <c r="A355" s="11">
        <v>15</v>
      </c>
      <c r="B355" s="12" t="str">
        <f>المدخلات!$F$5</f>
        <v>5:40–7:10 م</v>
      </c>
      <c r="C355" s="12">
        <v>8</v>
      </c>
      <c r="D355" s="12" t="s">
        <v>17</v>
      </c>
      <c r="E355" s="12" t="s">
        <v>32</v>
      </c>
      <c r="F355" s="5"/>
      <c r="G355" s="5"/>
    </row>
    <row r="356" spans="1:7">
      <c r="A356" s="11">
        <v>15</v>
      </c>
      <c r="B356" s="12" t="str">
        <f>المدخلات!$F$6</f>
        <v>7:20–8:50 م</v>
      </c>
      <c r="C356" s="12">
        <v>1</v>
      </c>
      <c r="D356" s="12" t="s">
        <v>89</v>
      </c>
      <c r="E356" s="12" t="s">
        <v>74</v>
      </c>
      <c r="F356" s="5"/>
      <c r="G356" s="5"/>
    </row>
    <row r="357" spans="1:7">
      <c r="A357" s="11">
        <v>15</v>
      </c>
      <c r="B357" s="12" t="str">
        <f>المدخلات!$F$6</f>
        <v>7:20–8:50 م</v>
      </c>
      <c r="C357" s="12">
        <v>2</v>
      </c>
      <c r="D357" s="12" t="s">
        <v>89</v>
      </c>
      <c r="E357" s="12" t="s">
        <v>48</v>
      </c>
      <c r="F357" s="5"/>
      <c r="G357" s="5"/>
    </row>
    <row r="358" spans="1:7">
      <c r="A358" s="11">
        <v>15</v>
      </c>
      <c r="B358" s="12" t="str">
        <f>المدخلات!$F$6</f>
        <v>7:20–8:50 م</v>
      </c>
      <c r="C358" s="12">
        <v>3</v>
      </c>
      <c r="D358" s="12" t="s">
        <v>17</v>
      </c>
      <c r="E358" s="12" t="s">
        <v>30</v>
      </c>
      <c r="F358" s="5"/>
      <c r="G358" s="5"/>
    </row>
    <row r="359" spans="1:7">
      <c r="A359" s="11">
        <v>15</v>
      </c>
      <c r="B359" s="12" t="str">
        <f>المدخلات!$F$6</f>
        <v>7:20–8:50 م</v>
      </c>
      <c r="C359" s="12">
        <v>4</v>
      </c>
      <c r="D359" s="12" t="s">
        <v>291</v>
      </c>
      <c r="E359" s="12" t="s">
        <v>289</v>
      </c>
      <c r="F359" s="5"/>
      <c r="G359" s="5"/>
    </row>
    <row r="360" spans="1:7">
      <c r="A360" s="11">
        <v>15</v>
      </c>
      <c r="B360" s="12" t="str">
        <f>المدخلات!$F$6</f>
        <v>7:20–8:50 م</v>
      </c>
      <c r="C360" s="12">
        <v>5</v>
      </c>
      <c r="D360" s="12" t="s">
        <v>344</v>
      </c>
      <c r="E360" s="12" t="s">
        <v>334</v>
      </c>
      <c r="F360" s="5"/>
      <c r="G360" s="5"/>
    </row>
    <row r="361" spans="1:7">
      <c r="A361" s="11">
        <v>15</v>
      </c>
      <c r="B361" s="12" t="str">
        <f>المدخلات!$F$6</f>
        <v>7:20–8:50 م</v>
      </c>
      <c r="C361" s="12">
        <v>6</v>
      </c>
      <c r="D361" s="12" t="s">
        <v>345</v>
      </c>
      <c r="E361" s="12" t="s">
        <v>348</v>
      </c>
      <c r="F361" s="5"/>
      <c r="G361" s="5"/>
    </row>
    <row r="362" spans="1:7">
      <c r="A362" s="11">
        <v>15</v>
      </c>
      <c r="B362" s="12" t="str">
        <f>المدخلات!$F$6</f>
        <v>7:20–8:50 م</v>
      </c>
      <c r="C362" s="12">
        <v>7</v>
      </c>
      <c r="D362" s="12" t="s">
        <v>17</v>
      </c>
      <c r="E362" s="12" t="s">
        <v>31</v>
      </c>
      <c r="F362" s="5"/>
      <c r="G362" s="5"/>
    </row>
    <row r="363" spans="1:7">
      <c r="A363" s="11">
        <v>15</v>
      </c>
      <c r="B363" s="12" t="str">
        <f>المدخلات!$F$6</f>
        <v>7:20–8:50 م</v>
      </c>
      <c r="C363" s="12">
        <v>8</v>
      </c>
      <c r="D363" s="12" t="s">
        <v>321</v>
      </c>
      <c r="E363" s="12" t="s">
        <v>318</v>
      </c>
      <c r="F363" s="5"/>
      <c r="G363" s="5"/>
    </row>
    <row r="364" spans="1:7">
      <c r="A364" s="11">
        <v>16</v>
      </c>
      <c r="B364" s="12" t="str">
        <f>المدخلات!$F$4</f>
        <v>4:00–5:30 م</v>
      </c>
      <c r="C364" s="12">
        <v>1</v>
      </c>
      <c r="D364" s="12" t="s">
        <v>17</v>
      </c>
      <c r="E364" s="12" t="s">
        <v>18</v>
      </c>
      <c r="F364" s="5"/>
      <c r="G364" s="5"/>
    </row>
    <row r="365" spans="1:7">
      <c r="A365" s="11">
        <v>16</v>
      </c>
      <c r="B365" s="12" t="str">
        <f>المدخلات!$F$4</f>
        <v>4:00–5:30 م</v>
      </c>
      <c r="C365" s="12">
        <v>2</v>
      </c>
      <c r="D365" s="12" t="s">
        <v>274</v>
      </c>
      <c r="E365" s="12" t="s">
        <v>268</v>
      </c>
      <c r="F365" s="5"/>
      <c r="G365" s="5"/>
    </row>
    <row r="366" spans="1:7">
      <c r="A366" s="11">
        <v>16</v>
      </c>
      <c r="B366" s="12" t="str">
        <f>المدخلات!$F$4</f>
        <v>4:00–5:30 م</v>
      </c>
      <c r="C366" s="12">
        <v>3</v>
      </c>
      <c r="D366" s="12" t="s">
        <v>345</v>
      </c>
      <c r="E366" s="12" t="s">
        <v>346</v>
      </c>
      <c r="F366" s="5"/>
      <c r="G366" s="5"/>
    </row>
    <row r="367" spans="1:7">
      <c r="A367" s="11">
        <v>16</v>
      </c>
      <c r="B367" s="12" t="str">
        <f>المدخلات!$F$4</f>
        <v>4:00–5:30 م</v>
      </c>
      <c r="C367" s="12">
        <v>4</v>
      </c>
      <c r="D367" s="12" t="s">
        <v>17</v>
      </c>
      <c r="E367" s="12" t="s">
        <v>19</v>
      </c>
      <c r="F367" s="5"/>
      <c r="G367" s="5"/>
    </row>
    <row r="368" spans="1:7">
      <c r="A368" s="11">
        <v>16</v>
      </c>
      <c r="B368" s="12" t="str">
        <f>المدخلات!$F$4</f>
        <v>4:00–5:30 م</v>
      </c>
      <c r="C368" s="12">
        <v>5</v>
      </c>
      <c r="D368" s="12" t="s">
        <v>291</v>
      </c>
      <c r="E368" s="12" t="s">
        <v>286</v>
      </c>
      <c r="F368" s="5"/>
      <c r="G368" s="5"/>
    </row>
    <row r="369" spans="1:7">
      <c r="A369" s="11">
        <v>16</v>
      </c>
      <c r="B369" s="12" t="str">
        <f>المدخلات!$F$4</f>
        <v>4:00–5:30 م</v>
      </c>
      <c r="C369" s="12">
        <v>6</v>
      </c>
      <c r="D369" s="12" t="s">
        <v>17</v>
      </c>
      <c r="E369" s="12" t="s">
        <v>20</v>
      </c>
      <c r="F369" s="5"/>
      <c r="G369" s="5"/>
    </row>
    <row r="370" spans="1:7">
      <c r="A370" s="11">
        <v>16</v>
      </c>
      <c r="B370" s="12" t="str">
        <f>المدخلات!$F$4</f>
        <v>4:00–5:30 م</v>
      </c>
      <c r="C370" s="12">
        <v>7</v>
      </c>
      <c r="D370" s="12" t="s">
        <v>321</v>
      </c>
      <c r="E370" s="12" t="s">
        <v>322</v>
      </c>
      <c r="F370" s="5"/>
      <c r="G370" s="5"/>
    </row>
    <row r="371" spans="1:7">
      <c r="A371" s="11">
        <v>16</v>
      </c>
      <c r="B371" s="12" t="str">
        <f>المدخلات!$F$4</f>
        <v>4:00–5:30 م</v>
      </c>
      <c r="C371" s="12">
        <v>8</v>
      </c>
      <c r="D371" s="12" t="s">
        <v>291</v>
      </c>
      <c r="E371" s="12" t="s">
        <v>292</v>
      </c>
      <c r="F371" s="5"/>
      <c r="G371" s="5"/>
    </row>
    <row r="372" spans="1:7">
      <c r="A372" s="11">
        <v>16</v>
      </c>
      <c r="B372" s="12" t="str">
        <f>المدخلات!$F$5</f>
        <v>5:40–7:10 م</v>
      </c>
      <c r="C372" s="12">
        <v>1</v>
      </c>
      <c r="D372" s="12" t="s">
        <v>291</v>
      </c>
      <c r="E372" s="12" t="s">
        <v>290</v>
      </c>
      <c r="F372" s="5"/>
      <c r="G372" s="5"/>
    </row>
    <row r="373" spans="1:7">
      <c r="A373" s="11">
        <v>16</v>
      </c>
      <c r="B373" s="12" t="str">
        <f>المدخلات!$F$5</f>
        <v>5:40–7:10 م</v>
      </c>
      <c r="C373" s="12">
        <v>2</v>
      </c>
      <c r="D373" s="12" t="s">
        <v>274</v>
      </c>
      <c r="E373" s="12" t="s">
        <v>254</v>
      </c>
      <c r="F373" s="5"/>
      <c r="G373" s="5"/>
    </row>
    <row r="374" spans="1:7">
      <c r="A374" s="11">
        <v>16</v>
      </c>
      <c r="B374" s="12" t="str">
        <f>المدخلات!$F$5</f>
        <v>5:40–7:10 م</v>
      </c>
      <c r="C374" s="12">
        <v>3</v>
      </c>
      <c r="D374" s="12" t="s">
        <v>89</v>
      </c>
      <c r="E374" s="12" t="s">
        <v>86</v>
      </c>
      <c r="F374" s="5"/>
      <c r="G374" s="5"/>
    </row>
    <row r="375" spans="1:7">
      <c r="A375" s="11">
        <v>16</v>
      </c>
      <c r="B375" s="12" t="str">
        <f>المدخلات!$F$5</f>
        <v>5:40–7:10 م</v>
      </c>
      <c r="C375" s="12">
        <v>4</v>
      </c>
      <c r="D375" s="12" t="s">
        <v>89</v>
      </c>
      <c r="E375" s="12" t="s">
        <v>75</v>
      </c>
      <c r="F375" s="5"/>
      <c r="G375" s="5"/>
    </row>
    <row r="376" spans="1:7">
      <c r="A376" s="11">
        <v>16</v>
      </c>
      <c r="B376" s="12" t="str">
        <f>المدخلات!$F$5</f>
        <v>5:40–7:10 م</v>
      </c>
      <c r="C376" s="12">
        <v>5</v>
      </c>
      <c r="D376" s="12" t="s">
        <v>321</v>
      </c>
      <c r="E376" s="12" t="s">
        <v>313</v>
      </c>
      <c r="F376" s="5"/>
      <c r="G376" s="5"/>
    </row>
    <row r="377" spans="1:7">
      <c r="A377" s="11">
        <v>16</v>
      </c>
      <c r="B377" s="12" t="str">
        <f>المدخلات!$F$5</f>
        <v>5:40–7:10 م</v>
      </c>
      <c r="C377" s="12">
        <v>6</v>
      </c>
      <c r="D377" s="12" t="s">
        <v>344</v>
      </c>
      <c r="E377" s="12" t="s">
        <v>328</v>
      </c>
      <c r="F377" s="5"/>
      <c r="G377" s="5"/>
    </row>
    <row r="378" spans="1:7">
      <c r="A378" s="11">
        <v>16</v>
      </c>
      <c r="B378" s="12" t="str">
        <f>المدخلات!$F$5</f>
        <v>5:40–7:10 م</v>
      </c>
      <c r="C378" s="12">
        <v>7</v>
      </c>
      <c r="D378" s="12" t="s">
        <v>321</v>
      </c>
      <c r="E378" s="12" t="s">
        <v>319</v>
      </c>
      <c r="F378" s="5"/>
      <c r="G378" s="5"/>
    </row>
    <row r="379" spans="1:7">
      <c r="A379" s="11">
        <v>16</v>
      </c>
      <c r="B379" s="12" t="str">
        <f>المدخلات!$F$5</f>
        <v>5:40–7:10 م</v>
      </c>
      <c r="C379" s="12">
        <v>8</v>
      </c>
      <c r="D379" s="12" t="s">
        <v>344</v>
      </c>
      <c r="E379" s="12" t="s">
        <v>335</v>
      </c>
      <c r="F379" s="5"/>
      <c r="G379" s="5"/>
    </row>
    <row r="380" spans="1:7">
      <c r="A380" s="11">
        <v>16</v>
      </c>
      <c r="B380" s="12" t="str">
        <f>المدخلات!$F$6</f>
        <v>7:20–8:50 م</v>
      </c>
      <c r="C380" s="12">
        <v>1</v>
      </c>
      <c r="D380" s="12" t="s">
        <v>163</v>
      </c>
      <c r="E380" s="12" t="s">
        <v>164</v>
      </c>
      <c r="F380" s="5"/>
      <c r="G380" s="5"/>
    </row>
    <row r="381" spans="1:7">
      <c r="A381" s="11">
        <v>16</v>
      </c>
      <c r="B381" s="12" t="str">
        <f>المدخلات!$F$6</f>
        <v>7:20–8:50 م</v>
      </c>
      <c r="C381" s="12">
        <v>2</v>
      </c>
      <c r="D381" s="12" t="s">
        <v>344</v>
      </c>
      <c r="E381" s="12" t="s">
        <v>332</v>
      </c>
      <c r="F381" s="5"/>
      <c r="G381" s="5"/>
    </row>
    <row r="382" spans="1:7">
      <c r="A382" s="11">
        <v>16</v>
      </c>
      <c r="B382" s="12" t="str">
        <f>المدخلات!$F$6</f>
        <v>7:20–8:50 م</v>
      </c>
      <c r="C382" s="12">
        <v>3</v>
      </c>
      <c r="D382" s="12" t="s">
        <v>163</v>
      </c>
      <c r="E382" s="12" t="s">
        <v>114</v>
      </c>
      <c r="F382" s="5"/>
      <c r="G382" s="5"/>
    </row>
    <row r="383" spans="1:7">
      <c r="A383" s="11">
        <v>16</v>
      </c>
      <c r="B383" s="12" t="str">
        <f>المدخلات!$F$6</f>
        <v>7:20–8:50 م</v>
      </c>
      <c r="C383" s="12">
        <v>4</v>
      </c>
      <c r="D383" s="12" t="s">
        <v>345</v>
      </c>
      <c r="E383" s="12" t="s">
        <v>339</v>
      </c>
      <c r="F383" s="5"/>
      <c r="G383" s="5"/>
    </row>
    <row r="384" spans="1:7">
      <c r="A384" s="11">
        <v>16</v>
      </c>
      <c r="B384" s="12" t="str">
        <f>المدخلات!$F$6</f>
        <v>7:20–8:50 م</v>
      </c>
      <c r="C384" s="12">
        <v>5</v>
      </c>
      <c r="D384" s="12" t="s">
        <v>345</v>
      </c>
      <c r="E384" s="12" t="s">
        <v>343</v>
      </c>
      <c r="F384" s="5"/>
      <c r="G384" s="5"/>
    </row>
    <row r="385" spans="1:7">
      <c r="A385" s="11">
        <v>16</v>
      </c>
      <c r="B385" s="12" t="str">
        <f>المدخلات!$F$6</f>
        <v>7:20–8:50 م</v>
      </c>
      <c r="C385" s="12">
        <v>6</v>
      </c>
      <c r="D385" s="12" t="s">
        <v>274</v>
      </c>
      <c r="E385" s="12" t="s">
        <v>273</v>
      </c>
      <c r="F385" s="5"/>
      <c r="G385" s="5"/>
    </row>
    <row r="386" spans="1:7">
      <c r="A386" s="11">
        <v>16</v>
      </c>
      <c r="B386" s="12" t="str">
        <f>المدخلات!$F$6</f>
        <v>7:20–8:50 م</v>
      </c>
      <c r="C386" s="12">
        <v>7</v>
      </c>
      <c r="D386" s="12" t="s">
        <v>89</v>
      </c>
      <c r="E386" s="12" t="s">
        <v>64</v>
      </c>
      <c r="F386" s="5"/>
      <c r="G386" s="5"/>
    </row>
    <row r="387" spans="1:7">
      <c r="A387" s="11">
        <v>16</v>
      </c>
      <c r="B387" s="12" t="str">
        <f>المدخلات!$F$6</f>
        <v>7:20–8:50 م</v>
      </c>
      <c r="C387" s="12">
        <v>8</v>
      </c>
      <c r="D387" s="12" t="s">
        <v>163</v>
      </c>
      <c r="E387" s="12" t="s">
        <v>152</v>
      </c>
      <c r="F387" s="5"/>
      <c r="G387" s="5"/>
    </row>
    <row r="388" spans="1:7">
      <c r="A388" s="11">
        <v>17</v>
      </c>
      <c r="B388" s="12" t="str">
        <f>المدخلات!$F$4</f>
        <v>4:00–5:30 م</v>
      </c>
      <c r="C388" s="12">
        <v>1</v>
      </c>
      <c r="D388" s="12" t="s">
        <v>321</v>
      </c>
      <c r="E388" s="12" t="s">
        <v>421</v>
      </c>
      <c r="F388" s="5"/>
      <c r="G388" s="5"/>
    </row>
    <row r="389" spans="1:7">
      <c r="A389" s="11">
        <v>17</v>
      </c>
      <c r="B389" s="12" t="str">
        <f>المدخلات!$F$4</f>
        <v>4:00–5:30 م</v>
      </c>
      <c r="C389" s="12">
        <v>2</v>
      </c>
      <c r="D389" s="12" t="s">
        <v>17</v>
      </c>
      <c r="E389" s="12" t="s">
        <v>23</v>
      </c>
      <c r="F389" s="5"/>
      <c r="G389" s="5"/>
    </row>
    <row r="390" spans="1:7">
      <c r="A390" s="11">
        <v>17</v>
      </c>
      <c r="B390" s="12" t="str">
        <f>المدخلات!$F$4</f>
        <v>4:00–5:30 م</v>
      </c>
      <c r="C390" s="12">
        <v>3</v>
      </c>
      <c r="D390" s="12" t="s">
        <v>345</v>
      </c>
      <c r="E390" s="12" t="s">
        <v>338</v>
      </c>
      <c r="F390" s="5"/>
      <c r="G390" s="5"/>
    </row>
    <row r="391" spans="1:7">
      <c r="A391" s="11">
        <v>17</v>
      </c>
      <c r="B391" s="12" t="str">
        <f>المدخلات!$F$4</f>
        <v>4:00–5:30 م</v>
      </c>
      <c r="C391" s="12">
        <v>4</v>
      </c>
      <c r="D391" s="12" t="s">
        <v>89</v>
      </c>
      <c r="E391" s="12" t="s">
        <v>71</v>
      </c>
      <c r="F391" s="5"/>
      <c r="G391" s="5"/>
    </row>
    <row r="392" spans="1:7">
      <c r="A392" s="11">
        <v>17</v>
      </c>
      <c r="B392" s="12" t="str">
        <f>المدخلات!$F$4</f>
        <v>4:00–5:30 م</v>
      </c>
      <c r="C392" s="12">
        <v>5</v>
      </c>
      <c r="D392" s="12" t="s">
        <v>274</v>
      </c>
      <c r="E392" s="12" t="s">
        <v>266</v>
      </c>
      <c r="F392" s="5"/>
      <c r="G392" s="5"/>
    </row>
    <row r="393" spans="1:7">
      <c r="A393" s="11">
        <v>17</v>
      </c>
      <c r="B393" s="12" t="str">
        <f>المدخلات!$F$4</f>
        <v>4:00–5:30 م</v>
      </c>
      <c r="C393" s="12">
        <v>6</v>
      </c>
      <c r="D393" s="12" t="s">
        <v>274</v>
      </c>
      <c r="E393" s="12" t="s">
        <v>410</v>
      </c>
      <c r="F393" s="5"/>
      <c r="G393" s="5"/>
    </row>
    <row r="394" spans="1:7">
      <c r="A394" s="11">
        <v>17</v>
      </c>
      <c r="B394" s="12" t="str">
        <f>المدخلات!$F$4</f>
        <v>4:00–5:30 م</v>
      </c>
      <c r="C394" s="12">
        <v>7</v>
      </c>
      <c r="D394" s="12" t="s">
        <v>344</v>
      </c>
      <c r="E394" s="12" t="s">
        <v>330</v>
      </c>
      <c r="F394" s="5"/>
      <c r="G394" s="5"/>
    </row>
    <row r="395" spans="1:7">
      <c r="A395" s="11">
        <v>17</v>
      </c>
      <c r="B395" s="12" t="str">
        <f>المدخلات!$F$4</f>
        <v>4:00–5:30 م</v>
      </c>
      <c r="C395" s="12">
        <v>8</v>
      </c>
      <c r="D395" s="12" t="s">
        <v>89</v>
      </c>
      <c r="E395" s="12" t="s">
        <v>381</v>
      </c>
      <c r="F395" s="5"/>
      <c r="G395" s="5"/>
    </row>
    <row r="396" spans="1:7">
      <c r="A396" s="11">
        <v>17</v>
      </c>
      <c r="B396" s="12" t="str">
        <f>المدخلات!$F$5</f>
        <v>5:40–7:10 م</v>
      </c>
      <c r="C396" s="12">
        <v>1</v>
      </c>
      <c r="D396" s="12" t="s">
        <v>345</v>
      </c>
      <c r="E396" s="12" t="s">
        <v>341</v>
      </c>
      <c r="F396" s="5"/>
      <c r="G396" s="5"/>
    </row>
    <row r="397" spans="1:7">
      <c r="A397" s="11">
        <v>17</v>
      </c>
      <c r="B397" s="12" t="str">
        <f>المدخلات!$F$5</f>
        <v>5:40–7:10 م</v>
      </c>
      <c r="C397" s="12">
        <v>2</v>
      </c>
      <c r="D397" s="12" t="s">
        <v>17</v>
      </c>
      <c r="E397" s="12" t="s">
        <v>370</v>
      </c>
      <c r="F397" s="5"/>
      <c r="G397" s="5"/>
    </row>
    <row r="398" spans="1:7">
      <c r="A398" s="11">
        <v>17</v>
      </c>
      <c r="B398" s="12" t="str">
        <f>المدخلات!$F$5</f>
        <v>5:40–7:10 م</v>
      </c>
      <c r="C398" s="12">
        <v>3</v>
      </c>
      <c r="D398" s="12" t="s">
        <v>274</v>
      </c>
      <c r="E398" s="12" t="s">
        <v>234</v>
      </c>
      <c r="F398" s="5"/>
      <c r="G398" s="5"/>
    </row>
    <row r="399" spans="1:7">
      <c r="A399" s="11">
        <v>17</v>
      </c>
      <c r="B399" s="12" t="str">
        <f>المدخلات!$F$5</f>
        <v>5:40–7:10 م</v>
      </c>
      <c r="C399" s="12">
        <v>4</v>
      </c>
      <c r="D399" s="12" t="s">
        <v>344</v>
      </c>
      <c r="E399" s="12" t="s">
        <v>422</v>
      </c>
      <c r="F399" s="5"/>
      <c r="G399" s="5"/>
    </row>
    <row r="400" spans="1:7">
      <c r="A400" s="11">
        <v>17</v>
      </c>
      <c r="B400" s="12" t="str">
        <f>المدخلات!$F$5</f>
        <v>5:40–7:10 م</v>
      </c>
      <c r="C400" s="12">
        <v>5</v>
      </c>
      <c r="D400" s="12" t="s">
        <v>163</v>
      </c>
      <c r="E400" s="12" t="s">
        <v>108</v>
      </c>
      <c r="F400" s="5"/>
      <c r="G400" s="5"/>
    </row>
    <row r="401" spans="1:7">
      <c r="A401" s="11">
        <v>17</v>
      </c>
      <c r="B401" s="12" t="str">
        <f>المدخلات!$F$5</f>
        <v>5:40–7:10 م</v>
      </c>
      <c r="C401" s="12">
        <v>6</v>
      </c>
      <c r="D401" s="12" t="s">
        <v>345</v>
      </c>
      <c r="E401" s="12" t="s">
        <v>423</v>
      </c>
      <c r="F401" s="5"/>
      <c r="G401" s="5"/>
    </row>
    <row r="402" spans="1:7">
      <c r="A402" s="11">
        <v>17</v>
      </c>
      <c r="B402" s="12" t="str">
        <f>المدخلات!$F$5</f>
        <v>5:40–7:10 م</v>
      </c>
      <c r="C402" s="12">
        <v>7</v>
      </c>
      <c r="D402" s="12" t="s">
        <v>291</v>
      </c>
      <c r="E402" s="12" t="s">
        <v>288</v>
      </c>
      <c r="F402" s="5"/>
      <c r="G402" s="5"/>
    </row>
    <row r="403" spans="1:7">
      <c r="A403" s="11">
        <v>17</v>
      </c>
      <c r="B403" s="12" t="str">
        <f>المدخلات!$F$5</f>
        <v>5:40–7:10 م</v>
      </c>
      <c r="C403" s="12">
        <v>8</v>
      </c>
      <c r="D403" s="12" t="s">
        <v>163</v>
      </c>
      <c r="E403" s="12" t="s">
        <v>392</v>
      </c>
      <c r="F403" s="5"/>
      <c r="G403" s="5"/>
    </row>
    <row r="404" spans="1:7">
      <c r="A404" s="11">
        <v>17</v>
      </c>
      <c r="B404" s="12" t="str">
        <f>المدخلات!$F$6</f>
        <v>7:20–8:50 م</v>
      </c>
      <c r="C404" s="12">
        <v>1</v>
      </c>
      <c r="D404" s="12" t="s">
        <v>321</v>
      </c>
      <c r="E404" s="12" t="s">
        <v>311</v>
      </c>
      <c r="F404" s="5"/>
      <c r="G404" s="5"/>
    </row>
    <row r="405" spans="1:7">
      <c r="A405" s="11">
        <v>17</v>
      </c>
      <c r="B405" s="12" t="str">
        <f>المدخلات!$F$6</f>
        <v>7:20–8:50 م</v>
      </c>
      <c r="C405" s="12">
        <v>2</v>
      </c>
      <c r="D405" s="12" t="s">
        <v>321</v>
      </c>
      <c r="E405" s="12" t="s">
        <v>316</v>
      </c>
      <c r="F405" s="5"/>
      <c r="G405" s="5"/>
    </row>
    <row r="406" spans="1:7">
      <c r="A406" s="11">
        <v>17</v>
      </c>
      <c r="B406" s="12" t="str">
        <f>المدخلات!$F$6</f>
        <v>7:20–8:50 م</v>
      </c>
      <c r="C406" s="12">
        <v>3</v>
      </c>
      <c r="D406" s="12" t="s">
        <v>344</v>
      </c>
      <c r="E406" s="12" t="s">
        <v>327</v>
      </c>
      <c r="F406" s="5"/>
      <c r="G406" s="5"/>
    </row>
    <row r="407" spans="1:7">
      <c r="A407" s="11">
        <v>17</v>
      </c>
      <c r="B407" s="12" t="str">
        <f>المدخلات!$F$6</f>
        <v>7:20–8:50 م</v>
      </c>
      <c r="C407" s="12">
        <v>4</v>
      </c>
      <c r="D407" s="12" t="s">
        <v>291</v>
      </c>
      <c r="E407" s="12" t="s">
        <v>281</v>
      </c>
      <c r="F407" s="5"/>
      <c r="G407" s="5"/>
    </row>
    <row r="408" spans="1:7">
      <c r="A408" s="11">
        <v>17</v>
      </c>
      <c r="B408" s="12" t="str">
        <f>المدخلات!$F$6</f>
        <v>7:20–8:50 م</v>
      </c>
      <c r="C408" s="12">
        <v>5</v>
      </c>
      <c r="D408" s="12" t="s">
        <v>163</v>
      </c>
      <c r="E408" s="12" t="s">
        <v>130</v>
      </c>
      <c r="F408" s="5"/>
      <c r="G408" s="5"/>
    </row>
    <row r="409" spans="1:7">
      <c r="A409" s="11">
        <v>17</v>
      </c>
      <c r="B409" s="12" t="str">
        <f>المدخلات!$F$6</f>
        <v>7:20–8:50 م</v>
      </c>
      <c r="C409" s="12">
        <v>6</v>
      </c>
      <c r="D409" s="12" t="s">
        <v>291</v>
      </c>
      <c r="E409" s="12" t="s">
        <v>396</v>
      </c>
      <c r="F409" s="5"/>
      <c r="G409" s="5"/>
    </row>
    <row r="410" spans="1:7">
      <c r="A410" s="11">
        <v>17</v>
      </c>
      <c r="B410" s="12" t="str">
        <f>المدخلات!$F$6</f>
        <v>7:20–8:50 م</v>
      </c>
      <c r="C410" s="12">
        <v>7</v>
      </c>
      <c r="D410" s="12" t="s">
        <v>17</v>
      </c>
      <c r="E410" s="12" t="s">
        <v>21</v>
      </c>
      <c r="F410" s="5"/>
      <c r="G410" s="5"/>
    </row>
    <row r="411" spans="1:7">
      <c r="A411" s="11">
        <v>17</v>
      </c>
      <c r="B411" s="12" t="str">
        <f>المدخلات!$F$6</f>
        <v>7:20–8:50 م</v>
      </c>
      <c r="C411" s="12">
        <v>8</v>
      </c>
      <c r="D411" s="12" t="s">
        <v>89</v>
      </c>
      <c r="E411" s="12" t="s">
        <v>56</v>
      </c>
      <c r="F411" s="5"/>
      <c r="G411" s="5"/>
    </row>
    <row r="412" spans="1:7">
      <c r="A412" s="11">
        <v>18</v>
      </c>
      <c r="B412" s="12" t="str">
        <f>المدخلات!$F$4</f>
        <v>4:00–5:30 م</v>
      </c>
      <c r="C412" s="12">
        <v>1</v>
      </c>
      <c r="D412" s="12" t="s">
        <v>163</v>
      </c>
      <c r="E412" s="12" t="s">
        <v>404</v>
      </c>
      <c r="F412" s="5"/>
      <c r="G412" s="5"/>
    </row>
    <row r="413" spans="1:7">
      <c r="A413" s="11">
        <v>18</v>
      </c>
      <c r="B413" s="12" t="str">
        <f>المدخلات!$F$4</f>
        <v>4:00–5:30 م</v>
      </c>
      <c r="C413" s="12">
        <v>2</v>
      </c>
      <c r="D413" s="12" t="s">
        <v>345</v>
      </c>
      <c r="E413" s="12" t="s">
        <v>340</v>
      </c>
      <c r="F413" s="5"/>
      <c r="G413" s="5"/>
    </row>
    <row r="414" spans="1:7">
      <c r="A414" s="11">
        <v>18</v>
      </c>
      <c r="B414" s="12" t="str">
        <f>المدخلات!$F$4</f>
        <v>4:00–5:30 م</v>
      </c>
      <c r="C414" s="12">
        <v>3</v>
      </c>
      <c r="D414" s="12" t="s">
        <v>89</v>
      </c>
      <c r="E414" s="12" t="s">
        <v>391</v>
      </c>
      <c r="F414" s="5"/>
      <c r="G414" s="5"/>
    </row>
    <row r="415" spans="1:7">
      <c r="A415" s="11">
        <v>18</v>
      </c>
      <c r="B415" s="12" t="str">
        <f>المدخلات!$F$4</f>
        <v>4:00–5:30 م</v>
      </c>
      <c r="C415" s="12">
        <v>4</v>
      </c>
      <c r="D415" s="12" t="s">
        <v>321</v>
      </c>
      <c r="E415" s="12" t="s">
        <v>369</v>
      </c>
      <c r="F415" s="5"/>
      <c r="G415" s="5"/>
    </row>
    <row r="416" spans="1:7">
      <c r="A416" s="11">
        <v>18</v>
      </c>
      <c r="B416" s="12" t="str">
        <f>المدخلات!$F$4</f>
        <v>4:00–5:30 م</v>
      </c>
      <c r="C416" s="12">
        <v>5</v>
      </c>
      <c r="D416" s="12" t="s">
        <v>344</v>
      </c>
      <c r="E416" s="12" t="s">
        <v>426</v>
      </c>
      <c r="F416" s="5"/>
      <c r="G416" s="5"/>
    </row>
    <row r="417" spans="1:7">
      <c r="A417" s="11">
        <v>18</v>
      </c>
      <c r="B417" s="12" t="str">
        <f>المدخلات!$F$4</f>
        <v>4:00–5:30 م</v>
      </c>
      <c r="C417" s="12">
        <v>6</v>
      </c>
      <c r="D417" s="12" t="s">
        <v>163</v>
      </c>
      <c r="E417" s="12" t="s">
        <v>115</v>
      </c>
      <c r="F417" s="5"/>
      <c r="G417" s="5"/>
    </row>
    <row r="418" spans="1:7">
      <c r="A418" s="11">
        <v>18</v>
      </c>
      <c r="B418" s="12" t="str">
        <f>المدخلات!$F$4</f>
        <v>4:00–5:30 م</v>
      </c>
      <c r="C418" s="12">
        <v>7</v>
      </c>
      <c r="D418" s="12" t="s">
        <v>291</v>
      </c>
      <c r="E418" s="12" t="s">
        <v>401</v>
      </c>
      <c r="F418" s="5"/>
      <c r="G418" s="5"/>
    </row>
    <row r="419" spans="1:7">
      <c r="A419" s="11">
        <v>18</v>
      </c>
      <c r="B419" s="12" t="str">
        <f>المدخلات!$F$4</f>
        <v>4:00–5:30 م</v>
      </c>
      <c r="C419" s="12">
        <v>8</v>
      </c>
      <c r="D419" s="12" t="s">
        <v>163</v>
      </c>
      <c r="E419" s="12" t="s">
        <v>403</v>
      </c>
      <c r="F419" s="5"/>
      <c r="G419" s="5"/>
    </row>
    <row r="420" spans="1:7">
      <c r="A420" s="11">
        <v>18</v>
      </c>
      <c r="B420" s="12" t="str">
        <f>المدخلات!$F$5</f>
        <v>5:40–7:10 م</v>
      </c>
      <c r="C420" s="12">
        <v>1</v>
      </c>
      <c r="D420" s="12" t="s">
        <v>345</v>
      </c>
      <c r="E420" s="12" t="s">
        <v>427</v>
      </c>
      <c r="F420" s="5"/>
      <c r="G420" s="5"/>
    </row>
    <row r="421" spans="1:7">
      <c r="A421" s="11">
        <v>18</v>
      </c>
      <c r="B421" s="12" t="str">
        <f>المدخلات!$F$5</f>
        <v>5:40–7:10 م</v>
      </c>
      <c r="C421" s="12">
        <v>2</v>
      </c>
      <c r="D421" s="12" t="s">
        <v>344</v>
      </c>
      <c r="E421" s="12" t="s">
        <v>425</v>
      </c>
      <c r="F421" s="5"/>
      <c r="G421" s="5"/>
    </row>
    <row r="422" spans="1:7">
      <c r="A422" s="11">
        <v>18</v>
      </c>
      <c r="B422" s="12" t="str">
        <f>المدخلات!$F$5</f>
        <v>5:40–7:10 م</v>
      </c>
      <c r="C422" s="12">
        <v>3</v>
      </c>
      <c r="D422" s="12" t="s">
        <v>17</v>
      </c>
      <c r="E422" s="12" t="s">
        <v>380</v>
      </c>
      <c r="F422" s="5"/>
      <c r="G422" s="5"/>
    </row>
    <row r="423" spans="1:7">
      <c r="A423" s="11">
        <v>18</v>
      </c>
      <c r="B423" s="12" t="str">
        <f>المدخلات!$F$5</f>
        <v>5:40–7:10 م</v>
      </c>
      <c r="C423" s="12">
        <v>4</v>
      </c>
      <c r="D423" s="12" t="s">
        <v>89</v>
      </c>
      <c r="E423" s="12" t="s">
        <v>65</v>
      </c>
      <c r="F423" s="5"/>
      <c r="G423" s="5"/>
    </row>
    <row r="424" spans="1:7">
      <c r="A424" s="11">
        <v>18</v>
      </c>
      <c r="B424" s="12" t="str">
        <f>المدخلات!$F$5</f>
        <v>5:40–7:10 م</v>
      </c>
      <c r="C424" s="12">
        <v>5</v>
      </c>
      <c r="D424" s="12" t="s">
        <v>321</v>
      </c>
      <c r="E424" s="12" t="s">
        <v>424</v>
      </c>
      <c r="F424" s="5"/>
      <c r="G424" s="5"/>
    </row>
    <row r="425" spans="1:7">
      <c r="A425" s="11">
        <v>18</v>
      </c>
      <c r="B425" s="12" t="str">
        <f>المدخلات!$F$5</f>
        <v>5:40–7:10 م</v>
      </c>
      <c r="C425" s="12">
        <v>6</v>
      </c>
      <c r="D425" s="12" t="s">
        <v>291</v>
      </c>
      <c r="E425" s="12" t="s">
        <v>400</v>
      </c>
      <c r="F425" s="5"/>
      <c r="G425" s="5"/>
    </row>
    <row r="426" spans="1:7">
      <c r="A426" s="11">
        <v>18</v>
      </c>
      <c r="B426" s="12" t="str">
        <f>المدخلات!$F$5</f>
        <v>5:40–7:10 م</v>
      </c>
      <c r="C426" s="12">
        <v>7</v>
      </c>
      <c r="D426" s="12" t="s">
        <v>274</v>
      </c>
      <c r="E426" s="12" t="s">
        <v>413</v>
      </c>
      <c r="F426" s="5"/>
      <c r="G426" s="5"/>
    </row>
    <row r="427" spans="1:7">
      <c r="A427" s="11">
        <v>18</v>
      </c>
      <c r="B427" s="12" t="str">
        <f>المدخلات!$F$5</f>
        <v>5:40–7:10 م</v>
      </c>
      <c r="C427" s="12">
        <v>8</v>
      </c>
      <c r="D427" s="12" t="s">
        <v>17</v>
      </c>
      <c r="E427" s="12" t="s">
        <v>385</v>
      </c>
      <c r="F427" s="5"/>
      <c r="G427" s="5"/>
    </row>
    <row r="428" spans="1:7">
      <c r="A428" s="11">
        <v>18</v>
      </c>
      <c r="B428" s="12" t="str">
        <f>المدخلات!$F$6</f>
        <v>7:20–8:50 م</v>
      </c>
      <c r="C428" s="12">
        <v>1</v>
      </c>
      <c r="D428" s="12" t="s">
        <v>274</v>
      </c>
      <c r="E428" s="12" t="s">
        <v>412</v>
      </c>
      <c r="F428" s="5"/>
      <c r="G428" s="5"/>
    </row>
    <row r="429" spans="1:7">
      <c r="A429" s="11">
        <v>18</v>
      </c>
      <c r="B429" s="12" t="str">
        <f>المدخلات!$F$6</f>
        <v>7:20–8:50 م</v>
      </c>
      <c r="C429" s="12">
        <v>2</v>
      </c>
      <c r="D429" s="12" t="s">
        <v>291</v>
      </c>
      <c r="E429" s="12" t="s">
        <v>287</v>
      </c>
      <c r="F429" s="5"/>
      <c r="G429" s="5"/>
    </row>
    <row r="430" spans="1:7">
      <c r="A430" s="11">
        <v>18</v>
      </c>
      <c r="B430" s="12" t="str">
        <f>المدخلات!$F$6</f>
        <v>7:20–8:50 م</v>
      </c>
      <c r="C430" s="12">
        <v>3</v>
      </c>
      <c r="D430" s="12" t="s">
        <v>321</v>
      </c>
      <c r="E430" s="12" t="s">
        <v>314</v>
      </c>
      <c r="F430" s="5"/>
      <c r="G430" s="5"/>
    </row>
    <row r="431" spans="1:7">
      <c r="A431" s="11">
        <v>18</v>
      </c>
      <c r="B431" s="12" t="str">
        <f>المدخلات!$F$6</f>
        <v>7:20–8:50 م</v>
      </c>
      <c r="C431" s="12">
        <v>4</v>
      </c>
      <c r="D431" s="12" t="s">
        <v>274</v>
      </c>
      <c r="E431" s="12" t="s">
        <v>255</v>
      </c>
      <c r="F431" s="5"/>
      <c r="G431" s="5"/>
    </row>
    <row r="432" spans="1:7">
      <c r="A432" s="11">
        <v>18</v>
      </c>
      <c r="B432" s="12" t="str">
        <f>المدخلات!$F$6</f>
        <v>7:20–8:50 م</v>
      </c>
      <c r="C432" s="12">
        <v>5</v>
      </c>
      <c r="D432" s="12" t="s">
        <v>89</v>
      </c>
      <c r="E432" s="12" t="s">
        <v>420</v>
      </c>
      <c r="F432" s="5"/>
      <c r="G432" s="5"/>
    </row>
    <row r="433" spans="1:7">
      <c r="A433" s="11">
        <v>18</v>
      </c>
      <c r="B433" s="12" t="str">
        <f>المدخلات!$F$6</f>
        <v>7:20–8:50 م</v>
      </c>
      <c r="C433" s="12">
        <v>6</v>
      </c>
      <c r="D433" s="12" t="s">
        <v>344</v>
      </c>
      <c r="E433" s="12" t="s">
        <v>329</v>
      </c>
      <c r="F433" s="5"/>
      <c r="G433" s="5"/>
    </row>
    <row r="434" spans="1:7">
      <c r="A434" s="11">
        <v>18</v>
      </c>
      <c r="B434" s="12" t="str">
        <f>المدخلات!$F$6</f>
        <v>7:20–8:50 م</v>
      </c>
      <c r="C434" s="12">
        <v>7</v>
      </c>
      <c r="D434" s="12" t="s">
        <v>17</v>
      </c>
      <c r="E434" s="12" t="s">
        <v>24</v>
      </c>
      <c r="F434" s="5"/>
      <c r="G434" s="5"/>
    </row>
    <row r="435" spans="1:7">
      <c r="A435" s="11">
        <v>18</v>
      </c>
      <c r="B435" s="12" t="str">
        <f>المدخلات!$F$6</f>
        <v>7:20–8:50 م</v>
      </c>
      <c r="C435" s="12">
        <v>8</v>
      </c>
      <c r="D435" s="12" t="s">
        <v>345</v>
      </c>
      <c r="E435" s="12" t="s">
        <v>428</v>
      </c>
      <c r="F435" s="5"/>
      <c r="G435" s="5"/>
    </row>
    <row r="436" spans="1:7">
      <c r="A436" s="11">
        <v>19</v>
      </c>
      <c r="B436" s="12" t="str">
        <f>المدخلات!$F$4</f>
        <v>4:00–5:30 م</v>
      </c>
      <c r="C436" s="12">
        <v>1</v>
      </c>
      <c r="D436" s="12" t="s">
        <v>344</v>
      </c>
      <c r="E436" s="12" t="s">
        <v>326</v>
      </c>
      <c r="F436" s="5"/>
      <c r="G436" s="5"/>
    </row>
    <row r="437" spans="1:7">
      <c r="A437" s="11">
        <v>19</v>
      </c>
      <c r="B437" s="12" t="str">
        <f>المدخلات!$F$4</f>
        <v>4:00–5:30 م</v>
      </c>
      <c r="C437" s="12">
        <v>2</v>
      </c>
      <c r="D437" s="12" t="s">
        <v>291</v>
      </c>
      <c r="E437" s="12" t="s">
        <v>293</v>
      </c>
      <c r="F437" s="5"/>
      <c r="G437" s="5"/>
    </row>
    <row r="438" spans="1:7">
      <c r="A438" s="11">
        <v>19</v>
      </c>
      <c r="B438" s="12" t="str">
        <f>المدخلات!$F$4</f>
        <v>4:00–5:30 م</v>
      </c>
      <c r="C438" s="12">
        <v>3</v>
      </c>
      <c r="D438" s="12" t="s">
        <v>344</v>
      </c>
      <c r="E438" s="12" t="s">
        <v>333</v>
      </c>
      <c r="F438" s="5"/>
      <c r="G438" s="5"/>
    </row>
    <row r="439" spans="1:7">
      <c r="A439" s="11">
        <v>19</v>
      </c>
      <c r="B439" s="12" t="str">
        <f>المدخلات!$F$4</f>
        <v>4:00–5:30 م</v>
      </c>
      <c r="C439" s="12">
        <v>4</v>
      </c>
      <c r="D439" s="12" t="s">
        <v>274</v>
      </c>
      <c r="E439" s="12" t="s">
        <v>271</v>
      </c>
      <c r="F439" s="5"/>
      <c r="G439" s="5"/>
    </row>
    <row r="440" spans="1:7">
      <c r="A440" s="11">
        <v>19</v>
      </c>
      <c r="B440" s="12" t="str">
        <f>المدخلات!$F$4</f>
        <v>4:00–5:30 م</v>
      </c>
      <c r="C440" s="12">
        <v>5</v>
      </c>
      <c r="D440" s="12" t="s">
        <v>17</v>
      </c>
      <c r="E440" s="12" t="s">
        <v>390</v>
      </c>
      <c r="F440" s="5"/>
      <c r="G440" s="5"/>
    </row>
    <row r="441" spans="1:7">
      <c r="A441" s="11">
        <v>19</v>
      </c>
      <c r="B441" s="12" t="str">
        <f>المدخلات!$F$4</f>
        <v>4:00–5:30 م</v>
      </c>
      <c r="C441" s="12">
        <v>6</v>
      </c>
      <c r="D441" s="12" t="s">
        <v>89</v>
      </c>
      <c r="E441" s="12" t="s">
        <v>398</v>
      </c>
      <c r="F441" s="5"/>
      <c r="G441" s="5"/>
    </row>
    <row r="442" spans="1:7">
      <c r="A442" s="11">
        <v>19</v>
      </c>
      <c r="B442" s="12" t="str">
        <f>المدخلات!$F$4</f>
        <v>4:00–5:30 م</v>
      </c>
      <c r="C442" s="12">
        <v>7</v>
      </c>
      <c r="D442" s="12" t="s">
        <v>345</v>
      </c>
      <c r="E442" s="12" t="s">
        <v>430</v>
      </c>
      <c r="F442" s="5"/>
      <c r="G442" s="5"/>
    </row>
    <row r="443" spans="1:7">
      <c r="A443" s="11">
        <v>19</v>
      </c>
      <c r="B443" s="12" t="str">
        <f>المدخلات!$F$4</f>
        <v>4:00–5:30 م</v>
      </c>
      <c r="C443" s="12">
        <v>8</v>
      </c>
      <c r="D443" s="12" t="s">
        <v>291</v>
      </c>
      <c r="E443" s="12" t="s">
        <v>280</v>
      </c>
      <c r="F443" s="5"/>
      <c r="G443" s="5"/>
    </row>
    <row r="444" spans="1:7">
      <c r="A444" s="11">
        <v>19</v>
      </c>
      <c r="B444" s="12" t="str">
        <f>المدخلات!$F$5</f>
        <v>5:40–7:10 م</v>
      </c>
      <c r="C444" s="12">
        <v>1</v>
      </c>
      <c r="D444" s="12" t="s">
        <v>291</v>
      </c>
      <c r="E444" s="12" t="s">
        <v>368</v>
      </c>
      <c r="F444" s="5"/>
      <c r="G444" s="5"/>
    </row>
    <row r="445" spans="1:7">
      <c r="A445" s="11">
        <v>19</v>
      </c>
      <c r="B445" s="12" t="str">
        <f>المدخلات!$F$5</f>
        <v>5:40–7:10 م</v>
      </c>
      <c r="C445" s="12">
        <v>2</v>
      </c>
      <c r="D445" s="12" t="s">
        <v>274</v>
      </c>
      <c r="E445" s="12" t="s">
        <v>225</v>
      </c>
      <c r="F445" s="5"/>
      <c r="G445" s="5"/>
    </row>
    <row r="446" spans="1:7">
      <c r="A446" s="11">
        <v>19</v>
      </c>
      <c r="B446" s="12" t="str">
        <f>المدخلات!$F$5</f>
        <v>5:40–7:10 م</v>
      </c>
      <c r="C446" s="12">
        <v>3</v>
      </c>
      <c r="D446" s="12" t="s">
        <v>163</v>
      </c>
      <c r="E446" s="12" t="s">
        <v>167</v>
      </c>
      <c r="F446" s="5"/>
      <c r="G446" s="5"/>
    </row>
    <row r="447" spans="1:7">
      <c r="A447" s="11">
        <v>19</v>
      </c>
      <c r="B447" s="12" t="str">
        <f>المدخلات!$F$5</f>
        <v>5:40–7:10 م</v>
      </c>
      <c r="C447" s="12">
        <v>4</v>
      </c>
      <c r="D447" s="12" t="s">
        <v>17</v>
      </c>
      <c r="E447" s="12" t="s">
        <v>27</v>
      </c>
      <c r="F447" s="5"/>
      <c r="G447" s="5"/>
    </row>
    <row r="448" spans="1:7">
      <c r="A448" s="11">
        <v>19</v>
      </c>
      <c r="B448" s="12" t="str">
        <f>المدخلات!$F$5</f>
        <v>5:40–7:10 م</v>
      </c>
      <c r="C448" s="12">
        <v>5</v>
      </c>
      <c r="D448" s="12" t="s">
        <v>321</v>
      </c>
      <c r="E448" s="12" t="s">
        <v>309</v>
      </c>
      <c r="F448" s="5"/>
      <c r="G448" s="5"/>
    </row>
    <row r="449" spans="1:7">
      <c r="A449" s="11">
        <v>19</v>
      </c>
      <c r="B449" s="12" t="str">
        <f>المدخلات!$F$5</f>
        <v>5:40–7:10 م</v>
      </c>
      <c r="C449" s="12">
        <v>6</v>
      </c>
      <c r="D449" s="12" t="s">
        <v>321</v>
      </c>
      <c r="E449" s="12" t="s">
        <v>374</v>
      </c>
      <c r="F449" s="5"/>
      <c r="G449" s="5"/>
    </row>
    <row r="450" spans="1:7">
      <c r="A450" s="11">
        <v>19</v>
      </c>
      <c r="B450" s="12" t="str">
        <f>المدخلات!$F$5</f>
        <v>5:40–7:10 م</v>
      </c>
      <c r="C450" s="12">
        <v>7</v>
      </c>
      <c r="D450" s="12" t="s">
        <v>163</v>
      </c>
      <c r="E450" s="12" t="s">
        <v>407</v>
      </c>
      <c r="F450" s="5"/>
      <c r="G450" s="5"/>
    </row>
    <row r="451" spans="1:7">
      <c r="A451" s="11">
        <v>19</v>
      </c>
      <c r="B451" s="12" t="str">
        <f>المدخلات!$F$5</f>
        <v>5:40–7:10 م</v>
      </c>
      <c r="C451" s="12">
        <v>8</v>
      </c>
      <c r="D451" s="12" t="s">
        <v>344</v>
      </c>
      <c r="E451" s="12" t="s">
        <v>429</v>
      </c>
      <c r="F451" s="5"/>
      <c r="G451" s="5"/>
    </row>
    <row r="452" spans="1:7">
      <c r="A452" s="11">
        <v>19</v>
      </c>
      <c r="B452" s="12" t="str">
        <f>المدخلات!$F$6</f>
        <v>7:20–8:50 م</v>
      </c>
      <c r="C452" s="12">
        <v>1</v>
      </c>
      <c r="D452" s="12" t="s">
        <v>274</v>
      </c>
      <c r="E452" s="12" t="s">
        <v>416</v>
      </c>
      <c r="F452" s="5"/>
      <c r="G452" s="5"/>
    </row>
    <row r="453" spans="1:7">
      <c r="A453" s="11">
        <v>19</v>
      </c>
      <c r="B453" s="12" t="str">
        <f>المدخلات!$F$6</f>
        <v>7:20–8:50 م</v>
      </c>
      <c r="C453" s="12">
        <v>2</v>
      </c>
      <c r="D453" s="12" t="s">
        <v>89</v>
      </c>
      <c r="E453" s="12" t="s">
        <v>84</v>
      </c>
      <c r="F453" s="5"/>
      <c r="G453" s="5"/>
    </row>
    <row r="454" spans="1:7">
      <c r="A454" s="11">
        <v>19</v>
      </c>
      <c r="B454" s="12" t="str">
        <f>المدخلات!$F$6</f>
        <v>7:20–8:50 م</v>
      </c>
      <c r="C454" s="12">
        <v>3</v>
      </c>
      <c r="D454" s="12" t="s">
        <v>321</v>
      </c>
      <c r="E454" s="12" t="s">
        <v>323</v>
      </c>
      <c r="F454" s="5"/>
      <c r="G454" s="5"/>
    </row>
    <row r="455" spans="1:7">
      <c r="A455" s="11">
        <v>19</v>
      </c>
      <c r="B455" s="12" t="str">
        <f>المدخلات!$F$6</f>
        <v>7:20–8:50 م</v>
      </c>
      <c r="C455" s="12">
        <v>4</v>
      </c>
      <c r="D455" s="12" t="s">
        <v>17</v>
      </c>
      <c r="E455" s="12" t="s">
        <v>29</v>
      </c>
      <c r="F455" s="5"/>
      <c r="G455" s="5"/>
    </row>
    <row r="456" spans="1:7">
      <c r="A456" s="11">
        <v>19</v>
      </c>
      <c r="B456" s="12" t="str">
        <f>المدخلات!$F$6</f>
        <v>7:20–8:50 م</v>
      </c>
      <c r="C456" s="12">
        <v>5</v>
      </c>
      <c r="D456" s="12" t="s">
        <v>345</v>
      </c>
      <c r="E456" s="12" t="s">
        <v>337</v>
      </c>
      <c r="F456" s="5"/>
      <c r="G456" s="5"/>
    </row>
    <row r="457" spans="1:7">
      <c r="A457" s="11">
        <v>19</v>
      </c>
      <c r="B457" s="12" t="str">
        <f>المدخلات!$F$6</f>
        <v>7:20–8:50 م</v>
      </c>
      <c r="C457" s="12">
        <v>6</v>
      </c>
      <c r="D457" s="12" t="s">
        <v>163</v>
      </c>
      <c r="E457" s="12" t="s">
        <v>106</v>
      </c>
      <c r="F457" s="5"/>
      <c r="G457" s="5"/>
    </row>
    <row r="458" spans="1:7">
      <c r="A458" s="11">
        <v>19</v>
      </c>
      <c r="B458" s="12" t="str">
        <f>المدخلات!$F$6</f>
        <v>7:20–8:50 م</v>
      </c>
      <c r="C458" s="12">
        <v>7</v>
      </c>
      <c r="D458" s="12" t="s">
        <v>89</v>
      </c>
      <c r="E458" s="12" t="s">
        <v>53</v>
      </c>
      <c r="F458" s="5"/>
      <c r="G458" s="5"/>
    </row>
    <row r="459" spans="1:7">
      <c r="A459" s="11">
        <v>19</v>
      </c>
      <c r="B459" s="12" t="str">
        <f>المدخلات!$F$6</f>
        <v>7:20–8:50 م</v>
      </c>
      <c r="C459" s="12">
        <v>8</v>
      </c>
      <c r="D459" s="12" t="s">
        <v>345</v>
      </c>
      <c r="E459" s="12" t="s">
        <v>347</v>
      </c>
      <c r="F459" s="5"/>
      <c r="G459" s="5"/>
    </row>
    <row r="460" spans="1:7">
      <c r="A460" s="11">
        <v>20</v>
      </c>
      <c r="B460" s="12" t="str">
        <f>المدخلات!$F$4</f>
        <v>4:00–5:30 م</v>
      </c>
      <c r="C460" s="12">
        <v>1</v>
      </c>
      <c r="D460" s="12" t="s">
        <v>321</v>
      </c>
      <c r="E460" s="12" t="s">
        <v>318</v>
      </c>
      <c r="F460" s="5"/>
      <c r="G460" s="5"/>
    </row>
    <row r="461" spans="1:7">
      <c r="A461" s="11">
        <v>20</v>
      </c>
      <c r="B461" s="12" t="str">
        <f>المدخلات!$F$4</f>
        <v>4:00–5:30 م</v>
      </c>
      <c r="C461" s="12">
        <v>2</v>
      </c>
      <c r="D461" s="12" t="s">
        <v>163</v>
      </c>
      <c r="E461" s="12" t="s">
        <v>102</v>
      </c>
      <c r="F461" s="5"/>
      <c r="G461" s="5"/>
    </row>
    <row r="462" spans="1:7">
      <c r="A462" s="11">
        <v>20</v>
      </c>
      <c r="B462" s="12" t="str">
        <f>المدخلات!$F$4</f>
        <v>4:00–5:30 م</v>
      </c>
      <c r="C462" s="12">
        <v>3</v>
      </c>
      <c r="D462" s="12" t="s">
        <v>274</v>
      </c>
      <c r="E462" s="12" t="s">
        <v>214</v>
      </c>
      <c r="F462" s="5"/>
      <c r="G462" s="5"/>
    </row>
    <row r="463" spans="1:7">
      <c r="A463" s="11">
        <v>20</v>
      </c>
      <c r="B463" s="12" t="str">
        <f>المدخلات!$F$4</f>
        <v>4:00–5:30 م</v>
      </c>
      <c r="C463" s="12">
        <v>4</v>
      </c>
      <c r="D463" s="12" t="s">
        <v>321</v>
      </c>
      <c r="E463" s="12" t="s">
        <v>307</v>
      </c>
      <c r="F463" s="5"/>
      <c r="G463" s="5"/>
    </row>
    <row r="464" spans="1:7">
      <c r="A464" s="11">
        <v>20</v>
      </c>
      <c r="B464" s="12" t="str">
        <f>المدخلات!$F$4</f>
        <v>4:00–5:30 م</v>
      </c>
      <c r="C464" s="12">
        <v>5</v>
      </c>
      <c r="D464" s="12" t="s">
        <v>291</v>
      </c>
      <c r="E464" s="12" t="s">
        <v>289</v>
      </c>
      <c r="F464" s="5"/>
      <c r="G464" s="5"/>
    </row>
    <row r="465" spans="1:7">
      <c r="A465" s="11">
        <v>20</v>
      </c>
      <c r="B465" s="12" t="str">
        <f>المدخلات!$F$4</f>
        <v>4:00–5:30 م</v>
      </c>
      <c r="C465" s="12">
        <v>6</v>
      </c>
      <c r="D465" s="12" t="s">
        <v>89</v>
      </c>
      <c r="E465" s="12" t="s">
        <v>85</v>
      </c>
      <c r="F465" s="5"/>
      <c r="G465" s="5"/>
    </row>
    <row r="466" spans="1:7">
      <c r="A466" s="11">
        <v>20</v>
      </c>
      <c r="B466" s="12" t="str">
        <f>المدخلات!$F$4</f>
        <v>4:00–5:30 م</v>
      </c>
      <c r="C466" s="12">
        <v>7</v>
      </c>
      <c r="D466" s="12" t="s">
        <v>163</v>
      </c>
      <c r="E466" s="12" t="s">
        <v>168</v>
      </c>
      <c r="F466" s="5"/>
      <c r="G466" s="5"/>
    </row>
    <row r="467" spans="1:7">
      <c r="A467" s="11">
        <v>20</v>
      </c>
      <c r="B467" s="12" t="str">
        <f>المدخلات!$F$4</f>
        <v>4:00–5:30 م</v>
      </c>
      <c r="C467" s="12">
        <v>8</v>
      </c>
      <c r="D467" s="12" t="s">
        <v>89</v>
      </c>
      <c r="E467" s="12" t="s">
        <v>48</v>
      </c>
      <c r="F467" s="5"/>
      <c r="G467" s="5"/>
    </row>
    <row r="468" spans="1:7">
      <c r="A468" s="11">
        <v>20</v>
      </c>
      <c r="B468" s="12" t="str">
        <f>المدخلات!$F$5</f>
        <v>5:40–7:10 م</v>
      </c>
      <c r="C468" s="12">
        <v>1</v>
      </c>
      <c r="D468" s="12" t="s">
        <v>345</v>
      </c>
      <c r="E468" s="12" t="s">
        <v>336</v>
      </c>
      <c r="F468" s="5"/>
      <c r="G468" s="5"/>
    </row>
    <row r="469" spans="1:7">
      <c r="A469" s="11">
        <v>20</v>
      </c>
      <c r="B469" s="12" t="str">
        <f>المدخلات!$F$5</f>
        <v>5:40–7:10 م</v>
      </c>
      <c r="C469" s="12">
        <v>2</v>
      </c>
      <c r="D469" s="12" t="s">
        <v>17</v>
      </c>
      <c r="E469" s="12" t="s">
        <v>32</v>
      </c>
      <c r="F469" s="5"/>
      <c r="G469" s="5"/>
    </row>
    <row r="470" spans="1:7">
      <c r="A470" s="11">
        <v>20</v>
      </c>
      <c r="B470" s="12" t="str">
        <f>المدخلات!$F$5</f>
        <v>5:40–7:10 م</v>
      </c>
      <c r="C470" s="12">
        <v>3</v>
      </c>
      <c r="D470" s="12" t="s">
        <v>345</v>
      </c>
      <c r="E470" s="12" t="s">
        <v>342</v>
      </c>
      <c r="F470" s="5"/>
      <c r="G470" s="5"/>
    </row>
    <row r="471" spans="1:7">
      <c r="A471" s="11">
        <v>20</v>
      </c>
      <c r="B471" s="12" t="str">
        <f>المدخلات!$F$5</f>
        <v>5:40–7:10 م</v>
      </c>
      <c r="C471" s="12">
        <v>4</v>
      </c>
      <c r="D471" s="12" t="s">
        <v>344</v>
      </c>
      <c r="E471" s="12" t="s">
        <v>325</v>
      </c>
      <c r="F471" s="5"/>
      <c r="G471" s="5"/>
    </row>
    <row r="472" spans="1:7">
      <c r="A472" s="11">
        <v>20</v>
      </c>
      <c r="B472" s="12" t="str">
        <f>المدخلات!$F$5</f>
        <v>5:40–7:10 م</v>
      </c>
      <c r="C472" s="12">
        <v>5</v>
      </c>
      <c r="D472" s="12" t="s">
        <v>274</v>
      </c>
      <c r="E472" s="12" t="s">
        <v>267</v>
      </c>
      <c r="F472" s="5"/>
      <c r="G472" s="5"/>
    </row>
    <row r="473" spans="1:7">
      <c r="A473" s="11">
        <v>20</v>
      </c>
      <c r="B473" s="12" t="str">
        <f>المدخلات!$F$5</f>
        <v>5:40–7:10 م</v>
      </c>
      <c r="C473" s="12">
        <v>6</v>
      </c>
      <c r="D473" s="12" t="s">
        <v>17</v>
      </c>
      <c r="E473" s="12" t="s">
        <v>30</v>
      </c>
      <c r="F473" s="5"/>
      <c r="G473" s="5"/>
    </row>
    <row r="474" spans="1:7">
      <c r="A474" s="11">
        <v>20</v>
      </c>
      <c r="B474" s="12" t="str">
        <f>المدخلات!$F$5</f>
        <v>5:40–7:10 م</v>
      </c>
      <c r="C474" s="12">
        <v>7</v>
      </c>
      <c r="D474" s="12" t="s">
        <v>345</v>
      </c>
      <c r="E474" s="12" t="s">
        <v>348</v>
      </c>
      <c r="F474" s="5"/>
      <c r="G474" s="5"/>
    </row>
    <row r="475" spans="1:7">
      <c r="A475" s="11">
        <v>20</v>
      </c>
      <c r="B475" s="12" t="str">
        <f>المدخلات!$F$5</f>
        <v>5:40–7:10 م</v>
      </c>
      <c r="C475" s="12">
        <v>8</v>
      </c>
      <c r="D475" s="12" t="s">
        <v>89</v>
      </c>
      <c r="E475" s="12" t="s">
        <v>74</v>
      </c>
      <c r="F475" s="5"/>
      <c r="G475" s="5"/>
    </row>
    <row r="476" spans="1:7">
      <c r="A476" s="11">
        <v>20</v>
      </c>
      <c r="B476" s="12" t="str">
        <f>المدخلات!$F$6</f>
        <v>7:20–8:50 م</v>
      </c>
      <c r="C476" s="12">
        <v>1</v>
      </c>
      <c r="D476" s="12" t="s">
        <v>163</v>
      </c>
      <c r="E476" s="12" t="s">
        <v>151</v>
      </c>
      <c r="F476" s="5"/>
      <c r="G476" s="5"/>
    </row>
    <row r="477" spans="1:7">
      <c r="A477" s="11">
        <v>20</v>
      </c>
      <c r="B477" s="12" t="str">
        <f>المدخلات!$F$6</f>
        <v>7:20–8:50 م</v>
      </c>
      <c r="C477" s="12">
        <v>2</v>
      </c>
      <c r="D477" s="12" t="s">
        <v>344</v>
      </c>
      <c r="E477" s="12" t="s">
        <v>334</v>
      </c>
      <c r="F477" s="5"/>
      <c r="G477" s="5"/>
    </row>
    <row r="478" spans="1:7">
      <c r="A478" s="11">
        <v>20</v>
      </c>
      <c r="B478" s="12" t="str">
        <f>المدخلات!$F$6</f>
        <v>7:20–8:50 م</v>
      </c>
      <c r="C478" s="12">
        <v>3</v>
      </c>
      <c r="D478" s="12" t="s">
        <v>274</v>
      </c>
      <c r="E478" s="12" t="s">
        <v>272</v>
      </c>
      <c r="F478" s="5"/>
      <c r="G478" s="5"/>
    </row>
    <row r="479" spans="1:7">
      <c r="A479" s="11">
        <v>20</v>
      </c>
      <c r="B479" s="12" t="str">
        <f>المدخلات!$F$6</f>
        <v>7:20–8:50 م</v>
      </c>
      <c r="C479" s="12">
        <v>4</v>
      </c>
      <c r="D479" s="12" t="s">
        <v>291</v>
      </c>
      <c r="E479" s="12" t="s">
        <v>278</v>
      </c>
      <c r="F479" s="5"/>
      <c r="G479" s="5"/>
    </row>
    <row r="480" spans="1:7">
      <c r="A480" s="11">
        <v>20</v>
      </c>
      <c r="B480" s="12" t="str">
        <f>المدخلات!$F$6</f>
        <v>7:20–8:50 م</v>
      </c>
      <c r="C480" s="12">
        <v>5</v>
      </c>
      <c r="D480" s="12" t="s">
        <v>344</v>
      </c>
      <c r="E480" s="12" t="s">
        <v>331</v>
      </c>
      <c r="F480" s="5"/>
      <c r="G480" s="5"/>
    </row>
    <row r="481" spans="1:49">
      <c r="A481" s="11">
        <v>20</v>
      </c>
      <c r="B481" s="12" t="str">
        <f>المدخلات!$F$6</f>
        <v>7:20–8:50 م</v>
      </c>
      <c r="C481" s="12">
        <v>6</v>
      </c>
      <c r="D481" s="12" t="s">
        <v>321</v>
      </c>
      <c r="E481" s="12" t="s">
        <v>324</v>
      </c>
      <c r="F481" s="5"/>
      <c r="G481" s="5"/>
    </row>
    <row r="482" spans="1:49">
      <c r="A482" s="11">
        <v>20</v>
      </c>
      <c r="B482" s="12" t="str">
        <f>المدخلات!$F$6</f>
        <v>7:20–8:50 م</v>
      </c>
      <c r="C482" s="12">
        <v>7</v>
      </c>
      <c r="D482" s="12" t="s">
        <v>291</v>
      </c>
      <c r="E482" s="12" t="s">
        <v>294</v>
      </c>
      <c r="F482" s="5"/>
      <c r="G482" s="5"/>
    </row>
    <row r="483" spans="1:49">
      <c r="A483" s="11">
        <v>20</v>
      </c>
      <c r="B483" s="12" t="str">
        <f>المدخلات!$F$6</f>
        <v>7:20–8:50 م</v>
      </c>
      <c r="C483" s="12">
        <v>8</v>
      </c>
      <c r="D483" s="12" t="s">
        <v>17</v>
      </c>
      <c r="E483" s="12" t="s">
        <v>31</v>
      </c>
      <c r="F483" s="5"/>
      <c r="G483" s="5"/>
    </row>
    <row r="484" spans="1:49">
      <c r="A484" s="11">
        <v>21</v>
      </c>
      <c r="B484" s="12" t="str">
        <f>المدخلات!$F$4</f>
        <v>4:00–5:30 م</v>
      </c>
      <c r="C484" s="12">
        <v>1</v>
      </c>
      <c r="D484" s="12" t="s">
        <v>295</v>
      </c>
      <c r="E484" s="12" t="s">
        <v>296</v>
      </c>
      <c r="F484" s="5"/>
      <c r="G484" s="5"/>
    </row>
    <row r="485" spans="1:49">
      <c r="A485" s="11">
        <v>21</v>
      </c>
      <c r="B485" s="12" t="str">
        <f>المدخلات!$F$4</f>
        <v>4:00–5:30 م</v>
      </c>
      <c r="C485" s="12">
        <v>2</v>
      </c>
      <c r="D485" s="12" t="s">
        <v>295</v>
      </c>
      <c r="E485" s="12" t="s">
        <v>297</v>
      </c>
      <c r="F485" s="5"/>
      <c r="G485" s="5"/>
    </row>
    <row r="486" spans="1:49">
      <c r="A486" s="11">
        <v>21</v>
      </c>
      <c r="B486" s="12" t="str">
        <f>المدخلات!$F$4</f>
        <v>4:00–5:30 م</v>
      </c>
      <c r="C486" s="12">
        <v>3</v>
      </c>
      <c r="D486" s="12" t="s">
        <v>295</v>
      </c>
      <c r="E486" s="12" t="s">
        <v>298</v>
      </c>
      <c r="F486" s="5"/>
      <c r="G486" s="5"/>
    </row>
    <row r="487" spans="1:49">
      <c r="A487" s="11">
        <v>21</v>
      </c>
      <c r="B487" s="12" t="str">
        <f>المدخلات!$F$4</f>
        <v>4:00–5:30 م</v>
      </c>
      <c r="C487" s="12">
        <v>4</v>
      </c>
      <c r="D487" s="12" t="s">
        <v>295</v>
      </c>
      <c r="E487" s="12" t="s">
        <v>299</v>
      </c>
      <c r="F487" s="5"/>
      <c r="G487" s="5"/>
    </row>
    <row r="488" spans="1:49">
      <c r="A488" s="11">
        <v>22</v>
      </c>
      <c r="B488" s="12" t="str">
        <f>المدخلات!$F$4</f>
        <v>4:00–5:30 م</v>
      </c>
      <c r="C488" s="12">
        <v>1</v>
      </c>
      <c r="D488" s="12" t="s">
        <v>169</v>
      </c>
      <c r="E488" s="12" t="s">
        <v>300</v>
      </c>
      <c r="F488" s="5"/>
      <c r="G488" s="5"/>
    </row>
    <row r="489" spans="1:49">
      <c r="A489" s="11">
        <v>22</v>
      </c>
      <c r="B489" s="12" t="str">
        <f>المدخلات!$F$4</f>
        <v>4:00–5:30 م</v>
      </c>
      <c r="C489" s="12">
        <v>2</v>
      </c>
      <c r="D489" s="12" t="s">
        <v>169</v>
      </c>
      <c r="E489" s="12" t="s">
        <v>301</v>
      </c>
      <c r="F489" s="5"/>
      <c r="G489" s="5"/>
    </row>
    <row r="490" spans="1:49">
      <c r="A490" s="11">
        <v>23</v>
      </c>
      <c r="B490" s="12" t="str">
        <f>المدخلات!$F$4</f>
        <v>4:00–5:30 م</v>
      </c>
      <c r="C490" s="12">
        <v>1</v>
      </c>
      <c r="D490" s="12" t="s">
        <v>95</v>
      </c>
      <c r="E490" s="12" t="s">
        <v>172</v>
      </c>
      <c r="F490" s="5"/>
      <c r="G490" s="5"/>
    </row>
    <row r="491" spans="1:49">
      <c r="A491" s="5"/>
      <c r="B491" s="5"/>
      <c r="C491" s="5"/>
      <c r="D491" s="5"/>
      <c r="E491" s="5"/>
      <c r="F491" s="5"/>
      <c r="G491" s="5"/>
    </row>
    <row r="492" spans="1:49">
      <c r="A492" s="5"/>
      <c r="B492" s="5"/>
      <c r="C492" s="5"/>
      <c r="D492" s="5"/>
      <c r="E492" s="5"/>
      <c r="F492" s="5"/>
      <c r="G492" s="5"/>
    </row>
    <row r="493" spans="1:49" ht="15.5">
      <c r="A493" s="52" t="s">
        <v>363</v>
      </c>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c r="AB493" s="52"/>
      <c r="AC493" s="52"/>
      <c r="AD493" s="52"/>
      <c r="AE493" s="52"/>
      <c r="AF493" s="52"/>
      <c r="AG493" s="52"/>
      <c r="AH493" s="52"/>
      <c r="AI493" s="52"/>
      <c r="AJ493" s="52"/>
      <c r="AK493" s="52"/>
      <c r="AL493" s="52"/>
      <c r="AM493" s="52"/>
      <c r="AN493" s="52"/>
      <c r="AO493" s="52"/>
      <c r="AP493" s="52"/>
      <c r="AQ493" s="52"/>
      <c r="AR493" s="52"/>
      <c r="AS493" s="52"/>
      <c r="AT493" s="52"/>
      <c r="AU493" s="52"/>
      <c r="AV493" s="52"/>
      <c r="AW493" s="52"/>
    </row>
    <row r="494" spans="1:49">
      <c r="A494" s="9" t="s">
        <v>362</v>
      </c>
      <c r="B494" s="9">
        <v>1</v>
      </c>
      <c r="C494" s="9">
        <v>2</v>
      </c>
      <c r="D494" s="9">
        <v>3</v>
      </c>
      <c r="E494" s="9">
        <v>4</v>
      </c>
      <c r="F494" s="9">
        <v>5</v>
      </c>
      <c r="G494" s="9">
        <v>6</v>
      </c>
      <c r="H494" s="9">
        <v>7</v>
      </c>
      <c r="I494" s="9">
        <v>8</v>
      </c>
      <c r="J494" s="9">
        <v>9</v>
      </c>
      <c r="K494" s="9">
        <v>10</v>
      </c>
      <c r="L494" s="9">
        <v>11</v>
      </c>
      <c r="M494" s="9">
        <v>12</v>
      </c>
      <c r="N494" s="9">
        <v>13</v>
      </c>
      <c r="O494" s="9">
        <v>14</v>
      </c>
      <c r="P494" s="9">
        <v>15</v>
      </c>
      <c r="Q494" s="9">
        <v>16</v>
      </c>
      <c r="R494" s="9">
        <v>17</v>
      </c>
      <c r="S494" s="9">
        <v>18</v>
      </c>
      <c r="T494" s="9">
        <v>19</v>
      </c>
      <c r="U494" s="9">
        <v>20</v>
      </c>
      <c r="V494" s="9">
        <v>21</v>
      </c>
      <c r="W494" s="9">
        <v>22</v>
      </c>
      <c r="X494" s="9">
        <v>23</v>
      </c>
      <c r="Y494" s="9">
        <v>24</v>
      </c>
      <c r="Z494" s="9">
        <v>25</v>
      </c>
      <c r="AA494" s="9">
        <v>26</v>
      </c>
      <c r="AB494" s="9">
        <v>27</v>
      </c>
      <c r="AC494" s="9">
        <v>28</v>
      </c>
      <c r="AD494" s="9">
        <v>29</v>
      </c>
      <c r="AE494" s="9">
        <v>30</v>
      </c>
      <c r="AF494" s="9">
        <v>31</v>
      </c>
      <c r="AG494" s="9">
        <v>32</v>
      </c>
      <c r="AH494" s="9">
        <v>33</v>
      </c>
      <c r="AI494" s="9">
        <v>34</v>
      </c>
      <c r="AJ494" s="9">
        <v>35</v>
      </c>
      <c r="AK494" s="9">
        <v>36</v>
      </c>
      <c r="AL494" s="9">
        <v>37</v>
      </c>
      <c r="AM494" s="9">
        <v>38</v>
      </c>
      <c r="AN494" s="9">
        <v>39</v>
      </c>
      <c r="AO494" s="9">
        <v>40</v>
      </c>
      <c r="AP494" s="9">
        <v>41</v>
      </c>
      <c r="AQ494" s="9">
        <v>42</v>
      </c>
      <c r="AR494" s="9">
        <v>43</v>
      </c>
      <c r="AS494" s="9">
        <v>44</v>
      </c>
      <c r="AT494" s="9">
        <v>45</v>
      </c>
      <c r="AU494" s="9">
        <v>46</v>
      </c>
      <c r="AV494" s="9">
        <v>47</v>
      </c>
      <c r="AW494" s="9">
        <v>48</v>
      </c>
    </row>
    <row r="495" spans="1:49">
      <c r="A495" s="9">
        <v>1</v>
      </c>
      <c r="B495" s="12" t="str">
        <f t="shared" ref="B495:K504" si="0">IF($A495=B$494,"",COUNTIF($E$4:$E$490,$A495&amp;" ضد "&amp;B$494)+COUNTIF($E$4:$E$490,B$494&amp;" ضد "&amp;$A495))</f>
        <v/>
      </c>
      <c r="C495" s="12">
        <f t="shared" si="0"/>
        <v>4</v>
      </c>
      <c r="D495" s="12">
        <f t="shared" si="0"/>
        <v>4</v>
      </c>
      <c r="E495" s="12">
        <f t="shared" si="0"/>
        <v>4</v>
      </c>
      <c r="F495" s="12">
        <f t="shared" si="0"/>
        <v>4</v>
      </c>
      <c r="G495" s="12">
        <f t="shared" si="0"/>
        <v>4</v>
      </c>
      <c r="H495" s="12">
        <f t="shared" si="0"/>
        <v>0</v>
      </c>
      <c r="I495" s="12">
        <f t="shared" si="0"/>
        <v>0</v>
      </c>
      <c r="J495" s="12">
        <f t="shared" si="0"/>
        <v>0</v>
      </c>
      <c r="K495" s="12">
        <f t="shared" si="0"/>
        <v>0</v>
      </c>
      <c r="L495" s="12">
        <f t="shared" ref="L495:U504" si="1">IF($A495=L$494,"",COUNTIF($E$4:$E$490,$A495&amp;" ضد "&amp;L$494)+COUNTIF($E$4:$E$490,L$494&amp;" ضد "&amp;$A495))</f>
        <v>0</v>
      </c>
      <c r="M495" s="12">
        <f t="shared" si="1"/>
        <v>0</v>
      </c>
      <c r="N495" s="12">
        <f t="shared" si="1"/>
        <v>0</v>
      </c>
      <c r="O495" s="12">
        <f t="shared" si="1"/>
        <v>0</v>
      </c>
      <c r="P495" s="12">
        <f t="shared" si="1"/>
        <v>0</v>
      </c>
      <c r="Q495" s="12">
        <f t="shared" si="1"/>
        <v>0</v>
      </c>
      <c r="R495" s="12">
        <f t="shared" si="1"/>
        <v>0</v>
      </c>
      <c r="S495" s="12">
        <f t="shared" si="1"/>
        <v>0</v>
      </c>
      <c r="T495" s="12">
        <f t="shared" si="1"/>
        <v>0</v>
      </c>
      <c r="U495" s="12">
        <f t="shared" si="1"/>
        <v>0</v>
      </c>
      <c r="V495" s="12">
        <f t="shared" ref="V495:AE504" si="2">IF($A495=V$494,"",COUNTIF($E$4:$E$490,$A495&amp;" ضد "&amp;V$494)+COUNTIF($E$4:$E$490,V$494&amp;" ضد "&amp;$A495))</f>
        <v>0</v>
      </c>
      <c r="W495" s="12">
        <f t="shared" si="2"/>
        <v>0</v>
      </c>
      <c r="X495" s="12">
        <f t="shared" si="2"/>
        <v>0</v>
      </c>
      <c r="Y495" s="12">
        <f t="shared" si="2"/>
        <v>0</v>
      </c>
      <c r="Z495" s="12">
        <f t="shared" si="2"/>
        <v>0</v>
      </c>
      <c r="AA495" s="12">
        <f t="shared" si="2"/>
        <v>0</v>
      </c>
      <c r="AB495" s="12">
        <f t="shared" si="2"/>
        <v>0</v>
      </c>
      <c r="AC495" s="12">
        <f t="shared" si="2"/>
        <v>0</v>
      </c>
      <c r="AD495" s="12">
        <f t="shared" si="2"/>
        <v>0</v>
      </c>
      <c r="AE495" s="12">
        <f t="shared" si="2"/>
        <v>0</v>
      </c>
      <c r="AF495" s="12">
        <f t="shared" ref="AF495:AO504" si="3">IF($A495=AF$494,"",COUNTIF($E$4:$E$490,$A495&amp;" ضد "&amp;AF$494)+COUNTIF($E$4:$E$490,AF$494&amp;" ضد "&amp;$A495))</f>
        <v>0</v>
      </c>
      <c r="AG495" s="12">
        <f t="shared" si="3"/>
        <v>0</v>
      </c>
      <c r="AH495" s="12">
        <f t="shared" si="3"/>
        <v>0</v>
      </c>
      <c r="AI495" s="12">
        <f t="shared" si="3"/>
        <v>0</v>
      </c>
      <c r="AJ495" s="12">
        <f t="shared" si="3"/>
        <v>0</v>
      </c>
      <c r="AK495" s="12">
        <f t="shared" si="3"/>
        <v>0</v>
      </c>
      <c r="AL495" s="12">
        <f t="shared" si="3"/>
        <v>0</v>
      </c>
      <c r="AM495" s="12">
        <f t="shared" si="3"/>
        <v>0</v>
      </c>
      <c r="AN495" s="12">
        <f t="shared" si="3"/>
        <v>0</v>
      </c>
      <c r="AO495" s="12">
        <f t="shared" si="3"/>
        <v>0</v>
      </c>
      <c r="AP495" s="12">
        <f t="shared" ref="AP495:AW504" si="4">IF($A495=AP$494,"",COUNTIF($E$4:$E$490,$A495&amp;" ضد "&amp;AP$494)+COUNTIF($E$4:$E$490,AP$494&amp;" ضد "&amp;$A495))</f>
        <v>0</v>
      </c>
      <c r="AQ495" s="12">
        <f t="shared" si="4"/>
        <v>0</v>
      </c>
      <c r="AR495" s="12">
        <f t="shared" si="4"/>
        <v>0</v>
      </c>
      <c r="AS495" s="12">
        <f t="shared" si="4"/>
        <v>0</v>
      </c>
      <c r="AT495" s="12">
        <f t="shared" si="4"/>
        <v>0</v>
      </c>
      <c r="AU495" s="12">
        <f t="shared" si="4"/>
        <v>0</v>
      </c>
      <c r="AV495" s="12">
        <f t="shared" si="4"/>
        <v>0</v>
      </c>
      <c r="AW495" s="12">
        <f t="shared" si="4"/>
        <v>0</v>
      </c>
    </row>
    <row r="496" spans="1:49">
      <c r="A496" s="9">
        <v>2</v>
      </c>
      <c r="B496" s="12">
        <f t="shared" si="0"/>
        <v>4</v>
      </c>
      <c r="C496" s="12" t="str">
        <f t="shared" si="0"/>
        <v/>
      </c>
      <c r="D496" s="12">
        <f t="shared" si="0"/>
        <v>4</v>
      </c>
      <c r="E496" s="12">
        <f t="shared" si="0"/>
        <v>4</v>
      </c>
      <c r="F496" s="12">
        <f t="shared" si="0"/>
        <v>4</v>
      </c>
      <c r="G496" s="12">
        <f t="shared" si="0"/>
        <v>4</v>
      </c>
      <c r="H496" s="12">
        <f t="shared" si="0"/>
        <v>0</v>
      </c>
      <c r="I496" s="12">
        <f t="shared" si="0"/>
        <v>0</v>
      </c>
      <c r="J496" s="12">
        <f t="shared" si="0"/>
        <v>0</v>
      </c>
      <c r="K496" s="12">
        <f t="shared" si="0"/>
        <v>0</v>
      </c>
      <c r="L496" s="12">
        <f t="shared" si="1"/>
        <v>0</v>
      </c>
      <c r="M496" s="12">
        <f t="shared" si="1"/>
        <v>0</v>
      </c>
      <c r="N496" s="12">
        <f t="shared" si="1"/>
        <v>0</v>
      </c>
      <c r="O496" s="12">
        <f t="shared" si="1"/>
        <v>0</v>
      </c>
      <c r="P496" s="12">
        <f t="shared" si="1"/>
        <v>0</v>
      </c>
      <c r="Q496" s="12">
        <f t="shared" si="1"/>
        <v>0</v>
      </c>
      <c r="R496" s="12">
        <f t="shared" si="1"/>
        <v>0</v>
      </c>
      <c r="S496" s="12">
        <f t="shared" si="1"/>
        <v>0</v>
      </c>
      <c r="T496" s="12">
        <f t="shared" si="1"/>
        <v>0</v>
      </c>
      <c r="U496" s="12">
        <f t="shared" si="1"/>
        <v>0</v>
      </c>
      <c r="V496" s="12">
        <f t="shared" si="2"/>
        <v>0</v>
      </c>
      <c r="W496" s="12">
        <f t="shared" si="2"/>
        <v>0</v>
      </c>
      <c r="X496" s="12">
        <f t="shared" si="2"/>
        <v>0</v>
      </c>
      <c r="Y496" s="12">
        <f t="shared" si="2"/>
        <v>0</v>
      </c>
      <c r="Z496" s="12">
        <f t="shared" si="2"/>
        <v>0</v>
      </c>
      <c r="AA496" s="12">
        <f t="shared" si="2"/>
        <v>0</v>
      </c>
      <c r="AB496" s="12">
        <f t="shared" si="2"/>
        <v>0</v>
      </c>
      <c r="AC496" s="12">
        <f t="shared" si="2"/>
        <v>0</v>
      </c>
      <c r="AD496" s="12">
        <f t="shared" si="2"/>
        <v>0</v>
      </c>
      <c r="AE496" s="12">
        <f t="shared" si="2"/>
        <v>0</v>
      </c>
      <c r="AF496" s="12">
        <f t="shared" si="3"/>
        <v>0</v>
      </c>
      <c r="AG496" s="12">
        <f t="shared" si="3"/>
        <v>0</v>
      </c>
      <c r="AH496" s="12">
        <f t="shared" si="3"/>
        <v>0</v>
      </c>
      <c r="AI496" s="12">
        <f t="shared" si="3"/>
        <v>0</v>
      </c>
      <c r="AJ496" s="12">
        <f t="shared" si="3"/>
        <v>0</v>
      </c>
      <c r="AK496" s="12">
        <f t="shared" si="3"/>
        <v>0</v>
      </c>
      <c r="AL496" s="12">
        <f t="shared" si="3"/>
        <v>0</v>
      </c>
      <c r="AM496" s="12">
        <f t="shared" si="3"/>
        <v>0</v>
      </c>
      <c r="AN496" s="12">
        <f t="shared" si="3"/>
        <v>0</v>
      </c>
      <c r="AO496" s="12">
        <f t="shared" si="3"/>
        <v>0</v>
      </c>
      <c r="AP496" s="12">
        <f t="shared" si="4"/>
        <v>0</v>
      </c>
      <c r="AQ496" s="12">
        <f t="shared" si="4"/>
        <v>0</v>
      </c>
      <c r="AR496" s="12">
        <f t="shared" si="4"/>
        <v>0</v>
      </c>
      <c r="AS496" s="12">
        <f t="shared" si="4"/>
        <v>0</v>
      </c>
      <c r="AT496" s="12">
        <f t="shared" si="4"/>
        <v>0</v>
      </c>
      <c r="AU496" s="12">
        <f t="shared" si="4"/>
        <v>0</v>
      </c>
      <c r="AV496" s="12">
        <f t="shared" si="4"/>
        <v>0</v>
      </c>
      <c r="AW496" s="12">
        <f t="shared" si="4"/>
        <v>0</v>
      </c>
    </row>
    <row r="497" spans="1:49">
      <c r="A497" s="9">
        <v>3</v>
      </c>
      <c r="B497" s="12">
        <f t="shared" si="0"/>
        <v>4</v>
      </c>
      <c r="C497" s="12">
        <f t="shared" si="0"/>
        <v>4</v>
      </c>
      <c r="D497" s="12" t="str">
        <f t="shared" si="0"/>
        <v/>
      </c>
      <c r="E497" s="12">
        <f t="shared" si="0"/>
        <v>4</v>
      </c>
      <c r="F497" s="12">
        <f t="shared" si="0"/>
        <v>4</v>
      </c>
      <c r="G497" s="12">
        <f t="shared" si="0"/>
        <v>4</v>
      </c>
      <c r="H497" s="12">
        <f t="shared" si="0"/>
        <v>0</v>
      </c>
      <c r="I497" s="12">
        <f t="shared" si="0"/>
        <v>0</v>
      </c>
      <c r="J497" s="12">
        <f t="shared" si="0"/>
        <v>0</v>
      </c>
      <c r="K497" s="12">
        <f t="shared" si="0"/>
        <v>0</v>
      </c>
      <c r="L497" s="12">
        <f t="shared" si="1"/>
        <v>0</v>
      </c>
      <c r="M497" s="12">
        <f t="shared" si="1"/>
        <v>0</v>
      </c>
      <c r="N497" s="12">
        <f t="shared" si="1"/>
        <v>0</v>
      </c>
      <c r="O497" s="12">
        <f t="shared" si="1"/>
        <v>0</v>
      </c>
      <c r="P497" s="12">
        <f t="shared" si="1"/>
        <v>0</v>
      </c>
      <c r="Q497" s="12">
        <f t="shared" si="1"/>
        <v>0</v>
      </c>
      <c r="R497" s="12">
        <f t="shared" si="1"/>
        <v>0</v>
      </c>
      <c r="S497" s="12">
        <f t="shared" si="1"/>
        <v>0</v>
      </c>
      <c r="T497" s="12">
        <f t="shared" si="1"/>
        <v>0</v>
      </c>
      <c r="U497" s="12">
        <f t="shared" si="1"/>
        <v>0</v>
      </c>
      <c r="V497" s="12">
        <f t="shared" si="2"/>
        <v>0</v>
      </c>
      <c r="W497" s="12">
        <f t="shared" si="2"/>
        <v>0</v>
      </c>
      <c r="X497" s="12">
        <f t="shared" si="2"/>
        <v>0</v>
      </c>
      <c r="Y497" s="12">
        <f t="shared" si="2"/>
        <v>0</v>
      </c>
      <c r="Z497" s="12">
        <f t="shared" si="2"/>
        <v>0</v>
      </c>
      <c r="AA497" s="12">
        <f t="shared" si="2"/>
        <v>0</v>
      </c>
      <c r="AB497" s="12">
        <f t="shared" si="2"/>
        <v>0</v>
      </c>
      <c r="AC497" s="12">
        <f t="shared" si="2"/>
        <v>0</v>
      </c>
      <c r="AD497" s="12">
        <f t="shared" si="2"/>
        <v>0</v>
      </c>
      <c r="AE497" s="12">
        <f t="shared" si="2"/>
        <v>0</v>
      </c>
      <c r="AF497" s="12">
        <f t="shared" si="3"/>
        <v>0</v>
      </c>
      <c r="AG497" s="12">
        <f t="shared" si="3"/>
        <v>0</v>
      </c>
      <c r="AH497" s="12">
        <f t="shared" si="3"/>
        <v>0</v>
      </c>
      <c r="AI497" s="12">
        <f t="shared" si="3"/>
        <v>0</v>
      </c>
      <c r="AJ497" s="12">
        <f t="shared" si="3"/>
        <v>0</v>
      </c>
      <c r="AK497" s="12">
        <f t="shared" si="3"/>
        <v>0</v>
      </c>
      <c r="AL497" s="12">
        <f t="shared" si="3"/>
        <v>0</v>
      </c>
      <c r="AM497" s="12">
        <f t="shared" si="3"/>
        <v>0</v>
      </c>
      <c r="AN497" s="12">
        <f t="shared" si="3"/>
        <v>0</v>
      </c>
      <c r="AO497" s="12">
        <f t="shared" si="3"/>
        <v>0</v>
      </c>
      <c r="AP497" s="12">
        <f t="shared" si="4"/>
        <v>0</v>
      </c>
      <c r="AQ497" s="12">
        <f t="shared" si="4"/>
        <v>0</v>
      </c>
      <c r="AR497" s="12">
        <f t="shared" si="4"/>
        <v>0</v>
      </c>
      <c r="AS497" s="12">
        <f t="shared" si="4"/>
        <v>0</v>
      </c>
      <c r="AT497" s="12">
        <f t="shared" si="4"/>
        <v>0</v>
      </c>
      <c r="AU497" s="12">
        <f t="shared" si="4"/>
        <v>0</v>
      </c>
      <c r="AV497" s="12">
        <f t="shared" si="4"/>
        <v>0</v>
      </c>
      <c r="AW497" s="12">
        <f t="shared" si="4"/>
        <v>0</v>
      </c>
    </row>
    <row r="498" spans="1:49">
      <c r="A498" s="9">
        <v>4</v>
      </c>
      <c r="B498" s="12">
        <f t="shared" si="0"/>
        <v>4</v>
      </c>
      <c r="C498" s="12">
        <f t="shared" si="0"/>
        <v>4</v>
      </c>
      <c r="D498" s="12">
        <f t="shared" si="0"/>
        <v>4</v>
      </c>
      <c r="E498" s="12" t="str">
        <f t="shared" si="0"/>
        <v/>
      </c>
      <c r="F498" s="12">
        <f t="shared" si="0"/>
        <v>4</v>
      </c>
      <c r="G498" s="12">
        <f t="shared" si="0"/>
        <v>4</v>
      </c>
      <c r="H498" s="12">
        <f t="shared" si="0"/>
        <v>0</v>
      </c>
      <c r="I498" s="12">
        <f t="shared" si="0"/>
        <v>0</v>
      </c>
      <c r="J498" s="12">
        <f t="shared" si="0"/>
        <v>0</v>
      </c>
      <c r="K498" s="12">
        <f t="shared" si="0"/>
        <v>0</v>
      </c>
      <c r="L498" s="12">
        <f t="shared" si="1"/>
        <v>0</v>
      </c>
      <c r="M498" s="12">
        <f t="shared" si="1"/>
        <v>0</v>
      </c>
      <c r="N498" s="12">
        <f t="shared" si="1"/>
        <v>0</v>
      </c>
      <c r="O498" s="12">
        <f t="shared" si="1"/>
        <v>0</v>
      </c>
      <c r="P498" s="12">
        <f t="shared" si="1"/>
        <v>0</v>
      </c>
      <c r="Q498" s="12">
        <f t="shared" si="1"/>
        <v>0</v>
      </c>
      <c r="R498" s="12">
        <f t="shared" si="1"/>
        <v>0</v>
      </c>
      <c r="S498" s="12">
        <f t="shared" si="1"/>
        <v>0</v>
      </c>
      <c r="T498" s="12">
        <f t="shared" si="1"/>
        <v>0</v>
      </c>
      <c r="U498" s="12">
        <f t="shared" si="1"/>
        <v>0</v>
      </c>
      <c r="V498" s="12">
        <f t="shared" si="2"/>
        <v>0</v>
      </c>
      <c r="W498" s="12">
        <f t="shared" si="2"/>
        <v>0</v>
      </c>
      <c r="X498" s="12">
        <f t="shared" si="2"/>
        <v>0</v>
      </c>
      <c r="Y498" s="12">
        <f t="shared" si="2"/>
        <v>0</v>
      </c>
      <c r="Z498" s="12">
        <f t="shared" si="2"/>
        <v>0</v>
      </c>
      <c r="AA498" s="12">
        <f t="shared" si="2"/>
        <v>0</v>
      </c>
      <c r="AB498" s="12">
        <f t="shared" si="2"/>
        <v>0</v>
      </c>
      <c r="AC498" s="12">
        <f t="shared" si="2"/>
        <v>0</v>
      </c>
      <c r="AD498" s="12">
        <f t="shared" si="2"/>
        <v>0</v>
      </c>
      <c r="AE498" s="12">
        <f t="shared" si="2"/>
        <v>0</v>
      </c>
      <c r="AF498" s="12">
        <f t="shared" si="3"/>
        <v>0</v>
      </c>
      <c r="AG498" s="12">
        <f t="shared" si="3"/>
        <v>0</v>
      </c>
      <c r="AH498" s="12">
        <f t="shared" si="3"/>
        <v>0</v>
      </c>
      <c r="AI498" s="12">
        <f t="shared" si="3"/>
        <v>0</v>
      </c>
      <c r="AJ498" s="12">
        <f t="shared" si="3"/>
        <v>0</v>
      </c>
      <c r="AK498" s="12">
        <f t="shared" si="3"/>
        <v>0</v>
      </c>
      <c r="AL498" s="12">
        <f t="shared" si="3"/>
        <v>0</v>
      </c>
      <c r="AM498" s="12">
        <f t="shared" si="3"/>
        <v>0</v>
      </c>
      <c r="AN498" s="12">
        <f t="shared" si="3"/>
        <v>0</v>
      </c>
      <c r="AO498" s="12">
        <f t="shared" si="3"/>
        <v>0</v>
      </c>
      <c r="AP498" s="12">
        <f t="shared" si="4"/>
        <v>0</v>
      </c>
      <c r="AQ498" s="12">
        <f t="shared" si="4"/>
        <v>0</v>
      </c>
      <c r="AR498" s="12">
        <f t="shared" si="4"/>
        <v>0</v>
      </c>
      <c r="AS498" s="12">
        <f t="shared" si="4"/>
        <v>0</v>
      </c>
      <c r="AT498" s="12">
        <f t="shared" si="4"/>
        <v>0</v>
      </c>
      <c r="AU498" s="12">
        <f t="shared" si="4"/>
        <v>0</v>
      </c>
      <c r="AV498" s="12">
        <f t="shared" si="4"/>
        <v>0</v>
      </c>
      <c r="AW498" s="12">
        <f t="shared" si="4"/>
        <v>0</v>
      </c>
    </row>
    <row r="499" spans="1:49">
      <c r="A499" s="9">
        <v>5</v>
      </c>
      <c r="B499" s="12">
        <f t="shared" si="0"/>
        <v>4</v>
      </c>
      <c r="C499" s="12">
        <f t="shared" si="0"/>
        <v>4</v>
      </c>
      <c r="D499" s="12">
        <f t="shared" si="0"/>
        <v>4</v>
      </c>
      <c r="E499" s="12">
        <f t="shared" si="0"/>
        <v>4</v>
      </c>
      <c r="F499" s="12" t="str">
        <f t="shared" si="0"/>
        <v/>
      </c>
      <c r="G499" s="12">
        <f t="shared" si="0"/>
        <v>4</v>
      </c>
      <c r="H499" s="12">
        <f t="shared" si="0"/>
        <v>0</v>
      </c>
      <c r="I499" s="12">
        <f t="shared" si="0"/>
        <v>0</v>
      </c>
      <c r="J499" s="12">
        <f t="shared" si="0"/>
        <v>0</v>
      </c>
      <c r="K499" s="12">
        <f t="shared" si="0"/>
        <v>0</v>
      </c>
      <c r="L499" s="12">
        <f t="shared" si="1"/>
        <v>0</v>
      </c>
      <c r="M499" s="12">
        <f t="shared" si="1"/>
        <v>0</v>
      </c>
      <c r="N499" s="12">
        <f t="shared" si="1"/>
        <v>0</v>
      </c>
      <c r="O499" s="12">
        <f t="shared" si="1"/>
        <v>0</v>
      </c>
      <c r="P499" s="12">
        <f t="shared" si="1"/>
        <v>0</v>
      </c>
      <c r="Q499" s="12">
        <f t="shared" si="1"/>
        <v>0</v>
      </c>
      <c r="R499" s="12">
        <f t="shared" si="1"/>
        <v>0</v>
      </c>
      <c r="S499" s="12">
        <f t="shared" si="1"/>
        <v>0</v>
      </c>
      <c r="T499" s="12">
        <f t="shared" si="1"/>
        <v>0</v>
      </c>
      <c r="U499" s="12">
        <f t="shared" si="1"/>
        <v>0</v>
      </c>
      <c r="V499" s="12">
        <f t="shared" si="2"/>
        <v>0</v>
      </c>
      <c r="W499" s="12">
        <f t="shared" si="2"/>
        <v>0</v>
      </c>
      <c r="X499" s="12">
        <f t="shared" si="2"/>
        <v>0</v>
      </c>
      <c r="Y499" s="12">
        <f t="shared" si="2"/>
        <v>0</v>
      </c>
      <c r="Z499" s="12">
        <f t="shared" si="2"/>
        <v>0</v>
      </c>
      <c r="AA499" s="12">
        <f t="shared" si="2"/>
        <v>0</v>
      </c>
      <c r="AB499" s="12">
        <f t="shared" si="2"/>
        <v>0</v>
      </c>
      <c r="AC499" s="12">
        <f t="shared" si="2"/>
        <v>0</v>
      </c>
      <c r="AD499" s="12">
        <f t="shared" si="2"/>
        <v>0</v>
      </c>
      <c r="AE499" s="12">
        <f t="shared" si="2"/>
        <v>0</v>
      </c>
      <c r="AF499" s="12">
        <f t="shared" si="3"/>
        <v>0</v>
      </c>
      <c r="AG499" s="12">
        <f t="shared" si="3"/>
        <v>0</v>
      </c>
      <c r="AH499" s="12">
        <f t="shared" si="3"/>
        <v>0</v>
      </c>
      <c r="AI499" s="12">
        <f t="shared" si="3"/>
        <v>0</v>
      </c>
      <c r="AJ499" s="12">
        <f t="shared" si="3"/>
        <v>0</v>
      </c>
      <c r="AK499" s="12">
        <f t="shared" si="3"/>
        <v>0</v>
      </c>
      <c r="AL499" s="12">
        <f t="shared" si="3"/>
        <v>0</v>
      </c>
      <c r="AM499" s="12">
        <f t="shared" si="3"/>
        <v>0</v>
      </c>
      <c r="AN499" s="12">
        <f t="shared" si="3"/>
        <v>0</v>
      </c>
      <c r="AO499" s="12">
        <f t="shared" si="3"/>
        <v>0</v>
      </c>
      <c r="AP499" s="12">
        <f t="shared" si="4"/>
        <v>0</v>
      </c>
      <c r="AQ499" s="12">
        <f t="shared" si="4"/>
        <v>0</v>
      </c>
      <c r="AR499" s="12">
        <f t="shared" si="4"/>
        <v>0</v>
      </c>
      <c r="AS499" s="12">
        <f t="shared" si="4"/>
        <v>0</v>
      </c>
      <c r="AT499" s="12">
        <f t="shared" si="4"/>
        <v>0</v>
      </c>
      <c r="AU499" s="12">
        <f t="shared" si="4"/>
        <v>0</v>
      </c>
      <c r="AV499" s="12">
        <f t="shared" si="4"/>
        <v>0</v>
      </c>
      <c r="AW499" s="12">
        <f t="shared" si="4"/>
        <v>0</v>
      </c>
    </row>
    <row r="500" spans="1:49">
      <c r="A500" s="9">
        <v>6</v>
      </c>
      <c r="B500" s="12">
        <f t="shared" si="0"/>
        <v>4</v>
      </c>
      <c r="C500" s="12">
        <f t="shared" si="0"/>
        <v>4</v>
      </c>
      <c r="D500" s="12">
        <f t="shared" si="0"/>
        <v>4</v>
      </c>
      <c r="E500" s="12">
        <f t="shared" si="0"/>
        <v>4</v>
      </c>
      <c r="F500" s="12">
        <f t="shared" si="0"/>
        <v>4</v>
      </c>
      <c r="G500" s="12" t="str">
        <f t="shared" si="0"/>
        <v/>
      </c>
      <c r="H500" s="12">
        <f t="shared" si="0"/>
        <v>0</v>
      </c>
      <c r="I500" s="12">
        <f t="shared" si="0"/>
        <v>0</v>
      </c>
      <c r="J500" s="12">
        <f t="shared" si="0"/>
        <v>0</v>
      </c>
      <c r="K500" s="12">
        <f t="shared" si="0"/>
        <v>0</v>
      </c>
      <c r="L500" s="12">
        <f t="shared" si="1"/>
        <v>0</v>
      </c>
      <c r="M500" s="12">
        <f t="shared" si="1"/>
        <v>0</v>
      </c>
      <c r="N500" s="12">
        <f t="shared" si="1"/>
        <v>0</v>
      </c>
      <c r="O500" s="12">
        <f t="shared" si="1"/>
        <v>0</v>
      </c>
      <c r="P500" s="12">
        <f t="shared" si="1"/>
        <v>0</v>
      </c>
      <c r="Q500" s="12">
        <f t="shared" si="1"/>
        <v>0</v>
      </c>
      <c r="R500" s="12">
        <f t="shared" si="1"/>
        <v>0</v>
      </c>
      <c r="S500" s="12">
        <f t="shared" si="1"/>
        <v>0</v>
      </c>
      <c r="T500" s="12">
        <f t="shared" si="1"/>
        <v>0</v>
      </c>
      <c r="U500" s="12">
        <f t="shared" si="1"/>
        <v>0</v>
      </c>
      <c r="V500" s="12">
        <f t="shared" si="2"/>
        <v>0</v>
      </c>
      <c r="W500" s="12">
        <f t="shared" si="2"/>
        <v>0</v>
      </c>
      <c r="X500" s="12">
        <f t="shared" si="2"/>
        <v>0</v>
      </c>
      <c r="Y500" s="12">
        <f t="shared" si="2"/>
        <v>0</v>
      </c>
      <c r="Z500" s="12">
        <f t="shared" si="2"/>
        <v>0</v>
      </c>
      <c r="AA500" s="12">
        <f t="shared" si="2"/>
        <v>0</v>
      </c>
      <c r="AB500" s="12">
        <f t="shared" si="2"/>
        <v>0</v>
      </c>
      <c r="AC500" s="12">
        <f t="shared" si="2"/>
        <v>0</v>
      </c>
      <c r="AD500" s="12">
        <f t="shared" si="2"/>
        <v>0</v>
      </c>
      <c r="AE500" s="12">
        <f t="shared" si="2"/>
        <v>0</v>
      </c>
      <c r="AF500" s="12">
        <f t="shared" si="3"/>
        <v>0</v>
      </c>
      <c r="AG500" s="12">
        <f t="shared" si="3"/>
        <v>0</v>
      </c>
      <c r="AH500" s="12">
        <f t="shared" si="3"/>
        <v>0</v>
      </c>
      <c r="AI500" s="12">
        <f t="shared" si="3"/>
        <v>0</v>
      </c>
      <c r="AJ500" s="12">
        <f t="shared" si="3"/>
        <v>0</v>
      </c>
      <c r="AK500" s="12">
        <f t="shared" si="3"/>
        <v>0</v>
      </c>
      <c r="AL500" s="12">
        <f t="shared" si="3"/>
        <v>0</v>
      </c>
      <c r="AM500" s="12">
        <f t="shared" si="3"/>
        <v>0</v>
      </c>
      <c r="AN500" s="12">
        <f t="shared" si="3"/>
        <v>0</v>
      </c>
      <c r="AO500" s="12">
        <f t="shared" si="3"/>
        <v>0</v>
      </c>
      <c r="AP500" s="12">
        <f t="shared" si="4"/>
        <v>0</v>
      </c>
      <c r="AQ500" s="12">
        <f t="shared" si="4"/>
        <v>0</v>
      </c>
      <c r="AR500" s="12">
        <f t="shared" si="4"/>
        <v>0</v>
      </c>
      <c r="AS500" s="12">
        <f t="shared" si="4"/>
        <v>0</v>
      </c>
      <c r="AT500" s="12">
        <f t="shared" si="4"/>
        <v>0</v>
      </c>
      <c r="AU500" s="12">
        <f t="shared" si="4"/>
        <v>0</v>
      </c>
      <c r="AV500" s="12">
        <f t="shared" si="4"/>
        <v>0</v>
      </c>
      <c r="AW500" s="12">
        <f t="shared" si="4"/>
        <v>0</v>
      </c>
    </row>
    <row r="501" spans="1:49">
      <c r="A501" s="9">
        <v>7</v>
      </c>
      <c r="B501" s="12">
        <f t="shared" si="0"/>
        <v>0</v>
      </c>
      <c r="C501" s="12">
        <f t="shared" si="0"/>
        <v>0</v>
      </c>
      <c r="D501" s="12">
        <f t="shared" si="0"/>
        <v>0</v>
      </c>
      <c r="E501" s="12">
        <f t="shared" si="0"/>
        <v>0</v>
      </c>
      <c r="F501" s="12">
        <f t="shared" si="0"/>
        <v>0</v>
      </c>
      <c r="G501" s="12">
        <f t="shared" si="0"/>
        <v>0</v>
      </c>
      <c r="H501" s="12" t="str">
        <f t="shared" si="0"/>
        <v/>
      </c>
      <c r="I501" s="12">
        <f t="shared" si="0"/>
        <v>4</v>
      </c>
      <c r="J501" s="12">
        <f t="shared" si="0"/>
        <v>4</v>
      </c>
      <c r="K501" s="12">
        <f t="shared" si="0"/>
        <v>4</v>
      </c>
      <c r="L501" s="12">
        <f t="shared" si="1"/>
        <v>4</v>
      </c>
      <c r="M501" s="12">
        <f t="shared" si="1"/>
        <v>4</v>
      </c>
      <c r="N501" s="12">
        <f t="shared" si="1"/>
        <v>0</v>
      </c>
      <c r="O501" s="12">
        <f t="shared" si="1"/>
        <v>0</v>
      </c>
      <c r="P501" s="12">
        <f t="shared" si="1"/>
        <v>0</v>
      </c>
      <c r="Q501" s="12">
        <f t="shared" si="1"/>
        <v>0</v>
      </c>
      <c r="R501" s="12">
        <f t="shared" si="1"/>
        <v>0</v>
      </c>
      <c r="S501" s="12">
        <f t="shared" si="1"/>
        <v>0</v>
      </c>
      <c r="T501" s="12">
        <f t="shared" si="1"/>
        <v>0</v>
      </c>
      <c r="U501" s="12">
        <f t="shared" si="1"/>
        <v>0</v>
      </c>
      <c r="V501" s="12">
        <f t="shared" si="2"/>
        <v>0</v>
      </c>
      <c r="W501" s="12">
        <f t="shared" si="2"/>
        <v>0</v>
      </c>
      <c r="X501" s="12">
        <f t="shared" si="2"/>
        <v>0</v>
      </c>
      <c r="Y501" s="12">
        <f t="shared" si="2"/>
        <v>0</v>
      </c>
      <c r="Z501" s="12">
        <f t="shared" si="2"/>
        <v>0</v>
      </c>
      <c r="AA501" s="12">
        <f t="shared" si="2"/>
        <v>0</v>
      </c>
      <c r="AB501" s="12">
        <f t="shared" si="2"/>
        <v>0</v>
      </c>
      <c r="AC501" s="12">
        <f t="shared" si="2"/>
        <v>0</v>
      </c>
      <c r="AD501" s="12">
        <f t="shared" si="2"/>
        <v>0</v>
      </c>
      <c r="AE501" s="12">
        <f t="shared" si="2"/>
        <v>0</v>
      </c>
      <c r="AF501" s="12">
        <f t="shared" si="3"/>
        <v>0</v>
      </c>
      <c r="AG501" s="12">
        <f t="shared" si="3"/>
        <v>0</v>
      </c>
      <c r="AH501" s="12">
        <f t="shared" si="3"/>
        <v>0</v>
      </c>
      <c r="AI501" s="12">
        <f t="shared" si="3"/>
        <v>0</v>
      </c>
      <c r="AJ501" s="12">
        <f t="shared" si="3"/>
        <v>0</v>
      </c>
      <c r="AK501" s="12">
        <f t="shared" si="3"/>
        <v>0</v>
      </c>
      <c r="AL501" s="12">
        <f t="shared" si="3"/>
        <v>0</v>
      </c>
      <c r="AM501" s="12">
        <f t="shared" si="3"/>
        <v>0</v>
      </c>
      <c r="AN501" s="12">
        <f t="shared" si="3"/>
        <v>0</v>
      </c>
      <c r="AO501" s="12">
        <f t="shared" si="3"/>
        <v>0</v>
      </c>
      <c r="AP501" s="12">
        <f t="shared" si="4"/>
        <v>0</v>
      </c>
      <c r="AQ501" s="12">
        <f t="shared" si="4"/>
        <v>0</v>
      </c>
      <c r="AR501" s="12">
        <f t="shared" si="4"/>
        <v>0</v>
      </c>
      <c r="AS501" s="12">
        <f t="shared" si="4"/>
        <v>0</v>
      </c>
      <c r="AT501" s="12">
        <f t="shared" si="4"/>
        <v>0</v>
      </c>
      <c r="AU501" s="12">
        <f t="shared" si="4"/>
        <v>0</v>
      </c>
      <c r="AV501" s="12">
        <f t="shared" si="4"/>
        <v>0</v>
      </c>
      <c r="AW501" s="12">
        <f t="shared" si="4"/>
        <v>0</v>
      </c>
    </row>
    <row r="502" spans="1:49">
      <c r="A502" s="9">
        <v>8</v>
      </c>
      <c r="B502" s="12">
        <f t="shared" si="0"/>
        <v>0</v>
      </c>
      <c r="C502" s="12">
        <f t="shared" si="0"/>
        <v>0</v>
      </c>
      <c r="D502" s="12">
        <f t="shared" si="0"/>
        <v>0</v>
      </c>
      <c r="E502" s="12">
        <f t="shared" si="0"/>
        <v>0</v>
      </c>
      <c r="F502" s="12">
        <f t="shared" si="0"/>
        <v>0</v>
      </c>
      <c r="G502" s="12">
        <f t="shared" si="0"/>
        <v>0</v>
      </c>
      <c r="H502" s="12">
        <f t="shared" si="0"/>
        <v>4</v>
      </c>
      <c r="I502" s="12" t="str">
        <f t="shared" si="0"/>
        <v/>
      </c>
      <c r="J502" s="12">
        <f t="shared" si="0"/>
        <v>4</v>
      </c>
      <c r="K502" s="12">
        <f t="shared" si="0"/>
        <v>4</v>
      </c>
      <c r="L502" s="12">
        <f t="shared" si="1"/>
        <v>4</v>
      </c>
      <c r="M502" s="12">
        <f t="shared" si="1"/>
        <v>4</v>
      </c>
      <c r="N502" s="12">
        <f t="shared" si="1"/>
        <v>0</v>
      </c>
      <c r="O502" s="12">
        <f t="shared" si="1"/>
        <v>0</v>
      </c>
      <c r="P502" s="12">
        <f t="shared" si="1"/>
        <v>0</v>
      </c>
      <c r="Q502" s="12">
        <f t="shared" si="1"/>
        <v>0</v>
      </c>
      <c r="R502" s="12">
        <f t="shared" si="1"/>
        <v>0</v>
      </c>
      <c r="S502" s="12">
        <f t="shared" si="1"/>
        <v>0</v>
      </c>
      <c r="T502" s="12">
        <f t="shared" si="1"/>
        <v>0</v>
      </c>
      <c r="U502" s="12">
        <f t="shared" si="1"/>
        <v>0</v>
      </c>
      <c r="V502" s="12">
        <f t="shared" si="2"/>
        <v>0</v>
      </c>
      <c r="W502" s="12">
        <f t="shared" si="2"/>
        <v>0</v>
      </c>
      <c r="X502" s="12">
        <f t="shared" si="2"/>
        <v>0</v>
      </c>
      <c r="Y502" s="12">
        <f t="shared" si="2"/>
        <v>0</v>
      </c>
      <c r="Z502" s="12">
        <f t="shared" si="2"/>
        <v>0</v>
      </c>
      <c r="AA502" s="12">
        <f t="shared" si="2"/>
        <v>0</v>
      </c>
      <c r="AB502" s="12">
        <f t="shared" si="2"/>
        <v>0</v>
      </c>
      <c r="AC502" s="12">
        <f t="shared" si="2"/>
        <v>0</v>
      </c>
      <c r="AD502" s="12">
        <f t="shared" si="2"/>
        <v>0</v>
      </c>
      <c r="AE502" s="12">
        <f t="shared" si="2"/>
        <v>0</v>
      </c>
      <c r="AF502" s="12">
        <f t="shared" si="3"/>
        <v>0</v>
      </c>
      <c r="AG502" s="12">
        <f t="shared" si="3"/>
        <v>0</v>
      </c>
      <c r="AH502" s="12">
        <f t="shared" si="3"/>
        <v>0</v>
      </c>
      <c r="AI502" s="12">
        <f t="shared" si="3"/>
        <v>0</v>
      </c>
      <c r="AJ502" s="12">
        <f t="shared" si="3"/>
        <v>0</v>
      </c>
      <c r="AK502" s="12">
        <f t="shared" si="3"/>
        <v>0</v>
      </c>
      <c r="AL502" s="12">
        <f t="shared" si="3"/>
        <v>0</v>
      </c>
      <c r="AM502" s="12">
        <f t="shared" si="3"/>
        <v>0</v>
      </c>
      <c r="AN502" s="12">
        <f t="shared" si="3"/>
        <v>0</v>
      </c>
      <c r="AO502" s="12">
        <f t="shared" si="3"/>
        <v>0</v>
      </c>
      <c r="AP502" s="12">
        <f t="shared" si="4"/>
        <v>0</v>
      </c>
      <c r="AQ502" s="12">
        <f t="shared" si="4"/>
        <v>0</v>
      </c>
      <c r="AR502" s="12">
        <f t="shared" si="4"/>
        <v>0</v>
      </c>
      <c r="AS502" s="12">
        <f t="shared" si="4"/>
        <v>0</v>
      </c>
      <c r="AT502" s="12">
        <f t="shared" si="4"/>
        <v>0</v>
      </c>
      <c r="AU502" s="12">
        <f t="shared" si="4"/>
        <v>0</v>
      </c>
      <c r="AV502" s="12">
        <f t="shared" si="4"/>
        <v>0</v>
      </c>
      <c r="AW502" s="12">
        <f t="shared" si="4"/>
        <v>0</v>
      </c>
    </row>
    <row r="503" spans="1:49">
      <c r="A503" s="9">
        <v>9</v>
      </c>
      <c r="B503" s="12">
        <f t="shared" si="0"/>
        <v>0</v>
      </c>
      <c r="C503" s="12">
        <f t="shared" si="0"/>
        <v>0</v>
      </c>
      <c r="D503" s="12">
        <f t="shared" si="0"/>
        <v>0</v>
      </c>
      <c r="E503" s="12">
        <f t="shared" si="0"/>
        <v>0</v>
      </c>
      <c r="F503" s="12">
        <f t="shared" si="0"/>
        <v>0</v>
      </c>
      <c r="G503" s="12">
        <f t="shared" si="0"/>
        <v>0</v>
      </c>
      <c r="H503" s="12">
        <f t="shared" si="0"/>
        <v>4</v>
      </c>
      <c r="I503" s="12">
        <f t="shared" si="0"/>
        <v>4</v>
      </c>
      <c r="J503" s="12" t="str">
        <f t="shared" si="0"/>
        <v/>
      </c>
      <c r="K503" s="12">
        <f t="shared" si="0"/>
        <v>4</v>
      </c>
      <c r="L503" s="12">
        <f t="shared" si="1"/>
        <v>4</v>
      </c>
      <c r="M503" s="12">
        <f t="shared" si="1"/>
        <v>4</v>
      </c>
      <c r="N503" s="12">
        <f t="shared" si="1"/>
        <v>0</v>
      </c>
      <c r="O503" s="12">
        <f t="shared" si="1"/>
        <v>0</v>
      </c>
      <c r="P503" s="12">
        <f t="shared" si="1"/>
        <v>0</v>
      </c>
      <c r="Q503" s="12">
        <f t="shared" si="1"/>
        <v>0</v>
      </c>
      <c r="R503" s="12">
        <f t="shared" si="1"/>
        <v>0</v>
      </c>
      <c r="S503" s="12">
        <f t="shared" si="1"/>
        <v>0</v>
      </c>
      <c r="T503" s="12">
        <f t="shared" si="1"/>
        <v>0</v>
      </c>
      <c r="U503" s="12">
        <f t="shared" si="1"/>
        <v>0</v>
      </c>
      <c r="V503" s="12">
        <f t="shared" si="2"/>
        <v>0</v>
      </c>
      <c r="W503" s="12">
        <f t="shared" si="2"/>
        <v>0</v>
      </c>
      <c r="X503" s="12">
        <f t="shared" si="2"/>
        <v>0</v>
      </c>
      <c r="Y503" s="12">
        <f t="shared" si="2"/>
        <v>0</v>
      </c>
      <c r="Z503" s="12">
        <f t="shared" si="2"/>
        <v>0</v>
      </c>
      <c r="AA503" s="12">
        <f t="shared" si="2"/>
        <v>0</v>
      </c>
      <c r="AB503" s="12">
        <f t="shared" si="2"/>
        <v>0</v>
      </c>
      <c r="AC503" s="12">
        <f t="shared" si="2"/>
        <v>0</v>
      </c>
      <c r="AD503" s="12">
        <f t="shared" si="2"/>
        <v>0</v>
      </c>
      <c r="AE503" s="12">
        <f t="shared" si="2"/>
        <v>0</v>
      </c>
      <c r="AF503" s="12">
        <f t="shared" si="3"/>
        <v>0</v>
      </c>
      <c r="AG503" s="12">
        <f t="shared" si="3"/>
        <v>0</v>
      </c>
      <c r="AH503" s="12">
        <f t="shared" si="3"/>
        <v>0</v>
      </c>
      <c r="AI503" s="12">
        <f t="shared" si="3"/>
        <v>0</v>
      </c>
      <c r="AJ503" s="12">
        <f t="shared" si="3"/>
        <v>0</v>
      </c>
      <c r="AK503" s="12">
        <f t="shared" si="3"/>
        <v>0</v>
      </c>
      <c r="AL503" s="12">
        <f t="shared" si="3"/>
        <v>0</v>
      </c>
      <c r="AM503" s="12">
        <f t="shared" si="3"/>
        <v>0</v>
      </c>
      <c r="AN503" s="12">
        <f t="shared" si="3"/>
        <v>0</v>
      </c>
      <c r="AO503" s="12">
        <f t="shared" si="3"/>
        <v>0</v>
      </c>
      <c r="AP503" s="12">
        <f t="shared" si="4"/>
        <v>0</v>
      </c>
      <c r="AQ503" s="12">
        <f t="shared" si="4"/>
        <v>0</v>
      </c>
      <c r="AR503" s="12">
        <f t="shared" si="4"/>
        <v>0</v>
      </c>
      <c r="AS503" s="12">
        <f t="shared" si="4"/>
        <v>0</v>
      </c>
      <c r="AT503" s="12">
        <f t="shared" si="4"/>
        <v>0</v>
      </c>
      <c r="AU503" s="12">
        <f t="shared" si="4"/>
        <v>0</v>
      </c>
      <c r="AV503" s="12">
        <f t="shared" si="4"/>
        <v>0</v>
      </c>
      <c r="AW503" s="12">
        <f t="shared" si="4"/>
        <v>0</v>
      </c>
    </row>
    <row r="504" spans="1:49">
      <c r="A504" s="9">
        <v>10</v>
      </c>
      <c r="B504" s="12">
        <f t="shared" si="0"/>
        <v>0</v>
      </c>
      <c r="C504" s="12">
        <f t="shared" si="0"/>
        <v>0</v>
      </c>
      <c r="D504" s="12">
        <f t="shared" si="0"/>
        <v>0</v>
      </c>
      <c r="E504" s="12">
        <f t="shared" si="0"/>
        <v>0</v>
      </c>
      <c r="F504" s="12">
        <f t="shared" si="0"/>
        <v>0</v>
      </c>
      <c r="G504" s="12">
        <f t="shared" si="0"/>
        <v>0</v>
      </c>
      <c r="H504" s="12">
        <f t="shared" si="0"/>
        <v>4</v>
      </c>
      <c r="I504" s="12">
        <f t="shared" si="0"/>
        <v>4</v>
      </c>
      <c r="J504" s="12">
        <f t="shared" si="0"/>
        <v>4</v>
      </c>
      <c r="K504" s="12" t="str">
        <f t="shared" si="0"/>
        <v/>
      </c>
      <c r="L504" s="12">
        <f t="shared" si="1"/>
        <v>4</v>
      </c>
      <c r="M504" s="12">
        <f t="shared" si="1"/>
        <v>4</v>
      </c>
      <c r="N504" s="12">
        <f t="shared" si="1"/>
        <v>0</v>
      </c>
      <c r="O504" s="12">
        <f t="shared" si="1"/>
        <v>0</v>
      </c>
      <c r="P504" s="12">
        <f t="shared" si="1"/>
        <v>0</v>
      </c>
      <c r="Q504" s="12">
        <f t="shared" si="1"/>
        <v>0</v>
      </c>
      <c r="R504" s="12">
        <f t="shared" si="1"/>
        <v>0</v>
      </c>
      <c r="S504" s="12">
        <f t="shared" si="1"/>
        <v>0</v>
      </c>
      <c r="T504" s="12">
        <f t="shared" si="1"/>
        <v>0</v>
      </c>
      <c r="U504" s="12">
        <f t="shared" si="1"/>
        <v>0</v>
      </c>
      <c r="V504" s="12">
        <f t="shared" si="2"/>
        <v>0</v>
      </c>
      <c r="W504" s="12">
        <f t="shared" si="2"/>
        <v>0</v>
      </c>
      <c r="X504" s="12">
        <f t="shared" si="2"/>
        <v>0</v>
      </c>
      <c r="Y504" s="12">
        <f t="shared" si="2"/>
        <v>0</v>
      </c>
      <c r="Z504" s="12">
        <f t="shared" si="2"/>
        <v>0</v>
      </c>
      <c r="AA504" s="12">
        <f t="shared" si="2"/>
        <v>0</v>
      </c>
      <c r="AB504" s="12">
        <f t="shared" si="2"/>
        <v>0</v>
      </c>
      <c r="AC504" s="12">
        <f t="shared" si="2"/>
        <v>0</v>
      </c>
      <c r="AD504" s="12">
        <f t="shared" si="2"/>
        <v>0</v>
      </c>
      <c r="AE504" s="12">
        <f t="shared" si="2"/>
        <v>0</v>
      </c>
      <c r="AF504" s="12">
        <f t="shared" si="3"/>
        <v>0</v>
      </c>
      <c r="AG504" s="12">
        <f t="shared" si="3"/>
        <v>0</v>
      </c>
      <c r="AH504" s="12">
        <f t="shared" si="3"/>
        <v>0</v>
      </c>
      <c r="AI504" s="12">
        <f t="shared" si="3"/>
        <v>0</v>
      </c>
      <c r="AJ504" s="12">
        <f t="shared" si="3"/>
        <v>0</v>
      </c>
      <c r="AK504" s="12">
        <f t="shared" si="3"/>
        <v>0</v>
      </c>
      <c r="AL504" s="12">
        <f t="shared" si="3"/>
        <v>0</v>
      </c>
      <c r="AM504" s="12">
        <f t="shared" si="3"/>
        <v>0</v>
      </c>
      <c r="AN504" s="12">
        <f t="shared" si="3"/>
        <v>0</v>
      </c>
      <c r="AO504" s="12">
        <f t="shared" si="3"/>
        <v>0</v>
      </c>
      <c r="AP504" s="12">
        <f t="shared" si="4"/>
        <v>0</v>
      </c>
      <c r="AQ504" s="12">
        <f t="shared" si="4"/>
        <v>0</v>
      </c>
      <c r="AR504" s="12">
        <f t="shared" si="4"/>
        <v>0</v>
      </c>
      <c r="AS504" s="12">
        <f t="shared" si="4"/>
        <v>0</v>
      </c>
      <c r="AT504" s="12">
        <f t="shared" si="4"/>
        <v>0</v>
      </c>
      <c r="AU504" s="12">
        <f t="shared" si="4"/>
        <v>0</v>
      </c>
      <c r="AV504" s="12">
        <f t="shared" si="4"/>
        <v>0</v>
      </c>
      <c r="AW504" s="12">
        <f t="shared" si="4"/>
        <v>0</v>
      </c>
    </row>
    <row r="505" spans="1:49">
      <c r="A505" s="9">
        <v>11</v>
      </c>
      <c r="B505" s="12">
        <f t="shared" ref="B505:K514" si="5">IF($A505=B$494,"",COUNTIF($E$4:$E$490,$A505&amp;" ضد "&amp;B$494)+COUNTIF($E$4:$E$490,B$494&amp;" ضد "&amp;$A505))</f>
        <v>0</v>
      </c>
      <c r="C505" s="12">
        <f t="shared" si="5"/>
        <v>0</v>
      </c>
      <c r="D505" s="12">
        <f t="shared" si="5"/>
        <v>0</v>
      </c>
      <c r="E505" s="12">
        <f t="shared" si="5"/>
        <v>0</v>
      </c>
      <c r="F505" s="12">
        <f t="shared" si="5"/>
        <v>0</v>
      </c>
      <c r="G505" s="12">
        <f t="shared" si="5"/>
        <v>0</v>
      </c>
      <c r="H505" s="12">
        <f t="shared" si="5"/>
        <v>4</v>
      </c>
      <c r="I505" s="12">
        <f t="shared" si="5"/>
        <v>4</v>
      </c>
      <c r="J505" s="12">
        <f t="shared" si="5"/>
        <v>4</v>
      </c>
      <c r="K505" s="12">
        <f t="shared" si="5"/>
        <v>4</v>
      </c>
      <c r="L505" s="12" t="str">
        <f t="shared" ref="L505:U514" si="6">IF($A505=L$494,"",COUNTIF($E$4:$E$490,$A505&amp;" ضد "&amp;L$494)+COUNTIF($E$4:$E$490,L$494&amp;" ضد "&amp;$A505))</f>
        <v/>
      </c>
      <c r="M505" s="12">
        <f t="shared" si="6"/>
        <v>4</v>
      </c>
      <c r="N505" s="12">
        <f t="shared" si="6"/>
        <v>0</v>
      </c>
      <c r="O505" s="12">
        <f t="shared" si="6"/>
        <v>0</v>
      </c>
      <c r="P505" s="12">
        <f t="shared" si="6"/>
        <v>0</v>
      </c>
      <c r="Q505" s="12">
        <f t="shared" si="6"/>
        <v>0</v>
      </c>
      <c r="R505" s="12">
        <f t="shared" si="6"/>
        <v>0</v>
      </c>
      <c r="S505" s="12">
        <f t="shared" si="6"/>
        <v>0</v>
      </c>
      <c r="T505" s="12">
        <f t="shared" si="6"/>
        <v>0</v>
      </c>
      <c r="U505" s="12">
        <f t="shared" si="6"/>
        <v>0</v>
      </c>
      <c r="V505" s="12">
        <f t="shared" ref="V505:AE514" si="7">IF($A505=V$494,"",COUNTIF($E$4:$E$490,$A505&amp;" ضد "&amp;V$494)+COUNTIF($E$4:$E$490,V$494&amp;" ضد "&amp;$A505))</f>
        <v>0</v>
      </c>
      <c r="W505" s="12">
        <f t="shared" si="7"/>
        <v>0</v>
      </c>
      <c r="X505" s="12">
        <f t="shared" si="7"/>
        <v>0</v>
      </c>
      <c r="Y505" s="12">
        <f t="shared" si="7"/>
        <v>0</v>
      </c>
      <c r="Z505" s="12">
        <f t="shared" si="7"/>
        <v>0</v>
      </c>
      <c r="AA505" s="12">
        <f t="shared" si="7"/>
        <v>0</v>
      </c>
      <c r="AB505" s="12">
        <f t="shared" si="7"/>
        <v>0</v>
      </c>
      <c r="AC505" s="12">
        <f t="shared" si="7"/>
        <v>0</v>
      </c>
      <c r="AD505" s="12">
        <f t="shared" si="7"/>
        <v>0</v>
      </c>
      <c r="AE505" s="12">
        <f t="shared" si="7"/>
        <v>0</v>
      </c>
      <c r="AF505" s="12">
        <f t="shared" ref="AF505:AO514" si="8">IF($A505=AF$494,"",COUNTIF($E$4:$E$490,$A505&amp;" ضد "&amp;AF$494)+COUNTIF($E$4:$E$490,AF$494&amp;" ضد "&amp;$A505))</f>
        <v>0</v>
      </c>
      <c r="AG505" s="12">
        <f t="shared" si="8"/>
        <v>0</v>
      </c>
      <c r="AH505" s="12">
        <f t="shared" si="8"/>
        <v>0</v>
      </c>
      <c r="AI505" s="12">
        <f t="shared" si="8"/>
        <v>0</v>
      </c>
      <c r="AJ505" s="12">
        <f t="shared" si="8"/>
        <v>0</v>
      </c>
      <c r="AK505" s="12">
        <f t="shared" si="8"/>
        <v>0</v>
      </c>
      <c r="AL505" s="12">
        <f t="shared" si="8"/>
        <v>0</v>
      </c>
      <c r="AM505" s="12">
        <f t="shared" si="8"/>
        <v>0</v>
      </c>
      <c r="AN505" s="12">
        <f t="shared" si="8"/>
        <v>0</v>
      </c>
      <c r="AO505" s="12">
        <f t="shared" si="8"/>
        <v>0</v>
      </c>
      <c r="AP505" s="12">
        <f t="shared" ref="AP505:AW514" si="9">IF($A505=AP$494,"",COUNTIF($E$4:$E$490,$A505&amp;" ضد "&amp;AP$494)+COUNTIF($E$4:$E$490,AP$494&amp;" ضد "&amp;$A505))</f>
        <v>0</v>
      </c>
      <c r="AQ505" s="12">
        <f t="shared" si="9"/>
        <v>0</v>
      </c>
      <c r="AR505" s="12">
        <f t="shared" si="9"/>
        <v>0</v>
      </c>
      <c r="AS505" s="12">
        <f t="shared" si="9"/>
        <v>0</v>
      </c>
      <c r="AT505" s="12">
        <f t="shared" si="9"/>
        <v>0</v>
      </c>
      <c r="AU505" s="12">
        <f t="shared" si="9"/>
        <v>0</v>
      </c>
      <c r="AV505" s="12">
        <f t="shared" si="9"/>
        <v>0</v>
      </c>
      <c r="AW505" s="12">
        <f t="shared" si="9"/>
        <v>0</v>
      </c>
    </row>
    <row r="506" spans="1:49">
      <c r="A506" s="9">
        <v>12</v>
      </c>
      <c r="B506" s="12">
        <f t="shared" si="5"/>
        <v>0</v>
      </c>
      <c r="C506" s="12">
        <f t="shared" si="5"/>
        <v>0</v>
      </c>
      <c r="D506" s="12">
        <f t="shared" si="5"/>
        <v>0</v>
      </c>
      <c r="E506" s="12">
        <f t="shared" si="5"/>
        <v>0</v>
      </c>
      <c r="F506" s="12">
        <f t="shared" si="5"/>
        <v>0</v>
      </c>
      <c r="G506" s="12">
        <f t="shared" si="5"/>
        <v>0</v>
      </c>
      <c r="H506" s="12">
        <f t="shared" si="5"/>
        <v>4</v>
      </c>
      <c r="I506" s="12">
        <f t="shared" si="5"/>
        <v>4</v>
      </c>
      <c r="J506" s="12">
        <f t="shared" si="5"/>
        <v>4</v>
      </c>
      <c r="K506" s="12">
        <f t="shared" si="5"/>
        <v>4</v>
      </c>
      <c r="L506" s="12">
        <f t="shared" si="6"/>
        <v>4</v>
      </c>
      <c r="M506" s="12" t="str">
        <f t="shared" si="6"/>
        <v/>
      </c>
      <c r="N506" s="12">
        <f t="shared" si="6"/>
        <v>0</v>
      </c>
      <c r="O506" s="12">
        <f t="shared" si="6"/>
        <v>0</v>
      </c>
      <c r="P506" s="12">
        <f t="shared" si="6"/>
        <v>0</v>
      </c>
      <c r="Q506" s="12">
        <f t="shared" si="6"/>
        <v>0</v>
      </c>
      <c r="R506" s="12">
        <f t="shared" si="6"/>
        <v>0</v>
      </c>
      <c r="S506" s="12">
        <f t="shared" si="6"/>
        <v>0</v>
      </c>
      <c r="T506" s="12">
        <f t="shared" si="6"/>
        <v>0</v>
      </c>
      <c r="U506" s="12">
        <f t="shared" si="6"/>
        <v>0</v>
      </c>
      <c r="V506" s="12">
        <f t="shared" si="7"/>
        <v>0</v>
      </c>
      <c r="W506" s="12">
        <f t="shared" si="7"/>
        <v>0</v>
      </c>
      <c r="X506" s="12">
        <f t="shared" si="7"/>
        <v>0</v>
      </c>
      <c r="Y506" s="12">
        <f t="shared" si="7"/>
        <v>0</v>
      </c>
      <c r="Z506" s="12">
        <f t="shared" si="7"/>
        <v>0</v>
      </c>
      <c r="AA506" s="12">
        <f t="shared" si="7"/>
        <v>0</v>
      </c>
      <c r="AB506" s="12">
        <f t="shared" si="7"/>
        <v>0</v>
      </c>
      <c r="AC506" s="12">
        <f t="shared" si="7"/>
        <v>0</v>
      </c>
      <c r="AD506" s="12">
        <f t="shared" si="7"/>
        <v>0</v>
      </c>
      <c r="AE506" s="12">
        <f t="shared" si="7"/>
        <v>0</v>
      </c>
      <c r="AF506" s="12">
        <f t="shared" si="8"/>
        <v>0</v>
      </c>
      <c r="AG506" s="12">
        <f t="shared" si="8"/>
        <v>0</v>
      </c>
      <c r="AH506" s="12">
        <f t="shared" si="8"/>
        <v>0</v>
      </c>
      <c r="AI506" s="12">
        <f t="shared" si="8"/>
        <v>0</v>
      </c>
      <c r="AJ506" s="12">
        <f t="shared" si="8"/>
        <v>0</v>
      </c>
      <c r="AK506" s="12">
        <f t="shared" si="8"/>
        <v>0</v>
      </c>
      <c r="AL506" s="12">
        <f t="shared" si="8"/>
        <v>0</v>
      </c>
      <c r="AM506" s="12">
        <f t="shared" si="8"/>
        <v>0</v>
      </c>
      <c r="AN506" s="12">
        <f t="shared" si="8"/>
        <v>0</v>
      </c>
      <c r="AO506" s="12">
        <f t="shared" si="8"/>
        <v>0</v>
      </c>
      <c r="AP506" s="12">
        <f t="shared" si="9"/>
        <v>0</v>
      </c>
      <c r="AQ506" s="12">
        <f t="shared" si="9"/>
        <v>0</v>
      </c>
      <c r="AR506" s="12">
        <f t="shared" si="9"/>
        <v>0</v>
      </c>
      <c r="AS506" s="12">
        <f t="shared" si="9"/>
        <v>0</v>
      </c>
      <c r="AT506" s="12">
        <f t="shared" si="9"/>
        <v>0</v>
      </c>
      <c r="AU506" s="12">
        <f t="shared" si="9"/>
        <v>0</v>
      </c>
      <c r="AV506" s="12">
        <f t="shared" si="9"/>
        <v>0</v>
      </c>
      <c r="AW506" s="12">
        <f t="shared" si="9"/>
        <v>0</v>
      </c>
    </row>
    <row r="507" spans="1:49">
      <c r="A507" s="9">
        <v>13</v>
      </c>
      <c r="B507" s="12">
        <f t="shared" si="5"/>
        <v>0</v>
      </c>
      <c r="C507" s="12">
        <f t="shared" si="5"/>
        <v>0</v>
      </c>
      <c r="D507" s="12">
        <f t="shared" si="5"/>
        <v>0</v>
      </c>
      <c r="E507" s="12">
        <f t="shared" si="5"/>
        <v>0</v>
      </c>
      <c r="F507" s="12">
        <f t="shared" si="5"/>
        <v>0</v>
      </c>
      <c r="G507" s="12">
        <f t="shared" si="5"/>
        <v>0</v>
      </c>
      <c r="H507" s="12">
        <f t="shared" si="5"/>
        <v>0</v>
      </c>
      <c r="I507" s="12">
        <f t="shared" si="5"/>
        <v>0</v>
      </c>
      <c r="J507" s="12">
        <f t="shared" si="5"/>
        <v>0</v>
      </c>
      <c r="K507" s="12">
        <f t="shared" si="5"/>
        <v>0</v>
      </c>
      <c r="L507" s="12">
        <f t="shared" si="6"/>
        <v>0</v>
      </c>
      <c r="M507" s="12">
        <f t="shared" si="6"/>
        <v>0</v>
      </c>
      <c r="N507" s="12" t="str">
        <f t="shared" si="6"/>
        <v/>
      </c>
      <c r="O507" s="12">
        <f t="shared" si="6"/>
        <v>4</v>
      </c>
      <c r="P507" s="12">
        <f t="shared" si="6"/>
        <v>4</v>
      </c>
      <c r="Q507" s="12">
        <f t="shared" si="6"/>
        <v>4</v>
      </c>
      <c r="R507" s="12">
        <f t="shared" si="6"/>
        <v>4</v>
      </c>
      <c r="S507" s="12">
        <f t="shared" si="6"/>
        <v>4</v>
      </c>
      <c r="T507" s="12">
        <f t="shared" si="6"/>
        <v>0</v>
      </c>
      <c r="U507" s="12">
        <f t="shared" si="6"/>
        <v>0</v>
      </c>
      <c r="V507" s="12">
        <f t="shared" si="7"/>
        <v>0</v>
      </c>
      <c r="W507" s="12">
        <f t="shared" si="7"/>
        <v>0</v>
      </c>
      <c r="X507" s="12">
        <f t="shared" si="7"/>
        <v>0</v>
      </c>
      <c r="Y507" s="12">
        <f t="shared" si="7"/>
        <v>0</v>
      </c>
      <c r="Z507" s="12">
        <f t="shared" si="7"/>
        <v>0</v>
      </c>
      <c r="AA507" s="12">
        <f t="shared" si="7"/>
        <v>0</v>
      </c>
      <c r="AB507" s="12">
        <f t="shared" si="7"/>
        <v>0</v>
      </c>
      <c r="AC507" s="12">
        <f t="shared" si="7"/>
        <v>0</v>
      </c>
      <c r="AD507" s="12">
        <f t="shared" si="7"/>
        <v>0</v>
      </c>
      <c r="AE507" s="12">
        <f t="shared" si="7"/>
        <v>0</v>
      </c>
      <c r="AF507" s="12">
        <f t="shared" si="8"/>
        <v>0</v>
      </c>
      <c r="AG507" s="12">
        <f t="shared" si="8"/>
        <v>0</v>
      </c>
      <c r="AH507" s="12">
        <f t="shared" si="8"/>
        <v>0</v>
      </c>
      <c r="AI507" s="12">
        <f t="shared" si="8"/>
        <v>0</v>
      </c>
      <c r="AJ507" s="12">
        <f t="shared" si="8"/>
        <v>0</v>
      </c>
      <c r="AK507" s="12">
        <f t="shared" si="8"/>
        <v>0</v>
      </c>
      <c r="AL507" s="12">
        <f t="shared" si="8"/>
        <v>0</v>
      </c>
      <c r="AM507" s="12">
        <f t="shared" si="8"/>
        <v>0</v>
      </c>
      <c r="AN507" s="12">
        <f t="shared" si="8"/>
        <v>0</v>
      </c>
      <c r="AO507" s="12">
        <f t="shared" si="8"/>
        <v>0</v>
      </c>
      <c r="AP507" s="12">
        <f t="shared" si="9"/>
        <v>0</v>
      </c>
      <c r="AQ507" s="12">
        <f t="shared" si="9"/>
        <v>0</v>
      </c>
      <c r="AR507" s="12">
        <f t="shared" si="9"/>
        <v>0</v>
      </c>
      <c r="AS507" s="12">
        <f t="shared" si="9"/>
        <v>0</v>
      </c>
      <c r="AT507" s="12">
        <f t="shared" si="9"/>
        <v>0</v>
      </c>
      <c r="AU507" s="12">
        <f t="shared" si="9"/>
        <v>0</v>
      </c>
      <c r="AV507" s="12">
        <f t="shared" si="9"/>
        <v>0</v>
      </c>
      <c r="AW507" s="12">
        <f t="shared" si="9"/>
        <v>0</v>
      </c>
    </row>
    <row r="508" spans="1:49">
      <c r="A508" s="9">
        <v>14</v>
      </c>
      <c r="B508" s="12">
        <f t="shared" si="5"/>
        <v>0</v>
      </c>
      <c r="C508" s="12">
        <f t="shared" si="5"/>
        <v>0</v>
      </c>
      <c r="D508" s="12">
        <f t="shared" si="5"/>
        <v>0</v>
      </c>
      <c r="E508" s="12">
        <f t="shared" si="5"/>
        <v>0</v>
      </c>
      <c r="F508" s="12">
        <f t="shared" si="5"/>
        <v>0</v>
      </c>
      <c r="G508" s="12">
        <f t="shared" si="5"/>
        <v>0</v>
      </c>
      <c r="H508" s="12">
        <f t="shared" si="5"/>
        <v>0</v>
      </c>
      <c r="I508" s="12">
        <f t="shared" si="5"/>
        <v>0</v>
      </c>
      <c r="J508" s="12">
        <f t="shared" si="5"/>
        <v>0</v>
      </c>
      <c r="K508" s="12">
        <f t="shared" si="5"/>
        <v>0</v>
      </c>
      <c r="L508" s="12">
        <f t="shared" si="6"/>
        <v>0</v>
      </c>
      <c r="M508" s="12">
        <f t="shared" si="6"/>
        <v>0</v>
      </c>
      <c r="N508" s="12">
        <f t="shared" si="6"/>
        <v>4</v>
      </c>
      <c r="O508" s="12" t="str">
        <f t="shared" si="6"/>
        <v/>
      </c>
      <c r="P508" s="12">
        <f t="shared" si="6"/>
        <v>4</v>
      </c>
      <c r="Q508" s="12">
        <f t="shared" si="6"/>
        <v>4</v>
      </c>
      <c r="R508" s="12">
        <f t="shared" si="6"/>
        <v>4</v>
      </c>
      <c r="S508" s="12">
        <f t="shared" si="6"/>
        <v>4</v>
      </c>
      <c r="T508" s="12">
        <f t="shared" si="6"/>
        <v>0</v>
      </c>
      <c r="U508" s="12">
        <f t="shared" si="6"/>
        <v>0</v>
      </c>
      <c r="V508" s="12">
        <f t="shared" si="7"/>
        <v>0</v>
      </c>
      <c r="W508" s="12">
        <f t="shared" si="7"/>
        <v>0</v>
      </c>
      <c r="X508" s="12">
        <f t="shared" si="7"/>
        <v>0</v>
      </c>
      <c r="Y508" s="12">
        <f t="shared" si="7"/>
        <v>0</v>
      </c>
      <c r="Z508" s="12">
        <f t="shared" si="7"/>
        <v>0</v>
      </c>
      <c r="AA508" s="12">
        <f t="shared" si="7"/>
        <v>0</v>
      </c>
      <c r="AB508" s="12">
        <f t="shared" si="7"/>
        <v>0</v>
      </c>
      <c r="AC508" s="12">
        <f t="shared" si="7"/>
        <v>0</v>
      </c>
      <c r="AD508" s="12">
        <f t="shared" si="7"/>
        <v>0</v>
      </c>
      <c r="AE508" s="12">
        <f t="shared" si="7"/>
        <v>0</v>
      </c>
      <c r="AF508" s="12">
        <f t="shared" si="8"/>
        <v>0</v>
      </c>
      <c r="AG508" s="12">
        <f t="shared" si="8"/>
        <v>0</v>
      </c>
      <c r="AH508" s="12">
        <f t="shared" si="8"/>
        <v>0</v>
      </c>
      <c r="AI508" s="12">
        <f t="shared" si="8"/>
        <v>0</v>
      </c>
      <c r="AJ508" s="12">
        <f t="shared" si="8"/>
        <v>0</v>
      </c>
      <c r="AK508" s="12">
        <f t="shared" si="8"/>
        <v>0</v>
      </c>
      <c r="AL508" s="12">
        <f t="shared" si="8"/>
        <v>0</v>
      </c>
      <c r="AM508" s="12">
        <f t="shared" si="8"/>
        <v>0</v>
      </c>
      <c r="AN508" s="12">
        <f t="shared" si="8"/>
        <v>0</v>
      </c>
      <c r="AO508" s="12">
        <f t="shared" si="8"/>
        <v>0</v>
      </c>
      <c r="AP508" s="12">
        <f t="shared" si="9"/>
        <v>0</v>
      </c>
      <c r="AQ508" s="12">
        <f t="shared" si="9"/>
        <v>0</v>
      </c>
      <c r="AR508" s="12">
        <f t="shared" si="9"/>
        <v>0</v>
      </c>
      <c r="AS508" s="12">
        <f t="shared" si="9"/>
        <v>0</v>
      </c>
      <c r="AT508" s="12">
        <f t="shared" si="9"/>
        <v>0</v>
      </c>
      <c r="AU508" s="12">
        <f t="shared" si="9"/>
        <v>0</v>
      </c>
      <c r="AV508" s="12">
        <f t="shared" si="9"/>
        <v>0</v>
      </c>
      <c r="AW508" s="12">
        <f t="shared" si="9"/>
        <v>0</v>
      </c>
    </row>
    <row r="509" spans="1:49">
      <c r="A509" s="9">
        <v>15</v>
      </c>
      <c r="B509" s="12">
        <f t="shared" si="5"/>
        <v>0</v>
      </c>
      <c r="C509" s="12">
        <f t="shared" si="5"/>
        <v>0</v>
      </c>
      <c r="D509" s="12">
        <f t="shared" si="5"/>
        <v>0</v>
      </c>
      <c r="E509" s="12">
        <f t="shared" si="5"/>
        <v>0</v>
      </c>
      <c r="F509" s="12">
        <f t="shared" si="5"/>
        <v>0</v>
      </c>
      <c r="G509" s="12">
        <f t="shared" si="5"/>
        <v>0</v>
      </c>
      <c r="H509" s="12">
        <f t="shared" si="5"/>
        <v>0</v>
      </c>
      <c r="I509" s="12">
        <f t="shared" si="5"/>
        <v>0</v>
      </c>
      <c r="J509" s="12">
        <f t="shared" si="5"/>
        <v>0</v>
      </c>
      <c r="K509" s="12">
        <f t="shared" si="5"/>
        <v>0</v>
      </c>
      <c r="L509" s="12">
        <f t="shared" si="6"/>
        <v>0</v>
      </c>
      <c r="M509" s="12">
        <f t="shared" si="6"/>
        <v>0</v>
      </c>
      <c r="N509" s="12">
        <f t="shared" si="6"/>
        <v>4</v>
      </c>
      <c r="O509" s="12">
        <f t="shared" si="6"/>
        <v>4</v>
      </c>
      <c r="P509" s="12" t="str">
        <f t="shared" si="6"/>
        <v/>
      </c>
      <c r="Q509" s="12">
        <f t="shared" si="6"/>
        <v>4</v>
      </c>
      <c r="R509" s="12">
        <f t="shared" si="6"/>
        <v>4</v>
      </c>
      <c r="S509" s="12">
        <f t="shared" si="6"/>
        <v>4</v>
      </c>
      <c r="T509" s="12">
        <f t="shared" si="6"/>
        <v>0</v>
      </c>
      <c r="U509" s="12">
        <f t="shared" si="6"/>
        <v>0</v>
      </c>
      <c r="V509" s="12">
        <f t="shared" si="7"/>
        <v>0</v>
      </c>
      <c r="W509" s="12">
        <f t="shared" si="7"/>
        <v>0</v>
      </c>
      <c r="X509" s="12">
        <f t="shared" si="7"/>
        <v>0</v>
      </c>
      <c r="Y509" s="12">
        <f t="shared" si="7"/>
        <v>0</v>
      </c>
      <c r="Z509" s="12">
        <f t="shared" si="7"/>
        <v>0</v>
      </c>
      <c r="AA509" s="12">
        <f t="shared" si="7"/>
        <v>0</v>
      </c>
      <c r="AB509" s="12">
        <f t="shared" si="7"/>
        <v>0</v>
      </c>
      <c r="AC509" s="12">
        <f t="shared" si="7"/>
        <v>0</v>
      </c>
      <c r="AD509" s="12">
        <f t="shared" si="7"/>
        <v>0</v>
      </c>
      <c r="AE509" s="12">
        <f t="shared" si="7"/>
        <v>0</v>
      </c>
      <c r="AF509" s="12">
        <f t="shared" si="8"/>
        <v>0</v>
      </c>
      <c r="AG509" s="12">
        <f t="shared" si="8"/>
        <v>0</v>
      </c>
      <c r="AH509" s="12">
        <f t="shared" si="8"/>
        <v>0</v>
      </c>
      <c r="AI509" s="12">
        <f t="shared" si="8"/>
        <v>0</v>
      </c>
      <c r="AJ509" s="12">
        <f t="shared" si="8"/>
        <v>0</v>
      </c>
      <c r="AK509" s="12">
        <f t="shared" si="8"/>
        <v>0</v>
      </c>
      <c r="AL509" s="12">
        <f t="shared" si="8"/>
        <v>0</v>
      </c>
      <c r="AM509" s="12">
        <f t="shared" si="8"/>
        <v>0</v>
      </c>
      <c r="AN509" s="12">
        <f t="shared" si="8"/>
        <v>0</v>
      </c>
      <c r="AO509" s="12">
        <f t="shared" si="8"/>
        <v>0</v>
      </c>
      <c r="AP509" s="12">
        <f t="shared" si="9"/>
        <v>0</v>
      </c>
      <c r="AQ509" s="12">
        <f t="shared" si="9"/>
        <v>0</v>
      </c>
      <c r="AR509" s="12">
        <f t="shared" si="9"/>
        <v>0</v>
      </c>
      <c r="AS509" s="12">
        <f t="shared" si="9"/>
        <v>0</v>
      </c>
      <c r="AT509" s="12">
        <f t="shared" si="9"/>
        <v>0</v>
      </c>
      <c r="AU509" s="12">
        <f t="shared" si="9"/>
        <v>0</v>
      </c>
      <c r="AV509" s="12">
        <f t="shared" si="9"/>
        <v>0</v>
      </c>
      <c r="AW509" s="12">
        <f t="shared" si="9"/>
        <v>0</v>
      </c>
    </row>
    <row r="510" spans="1:49">
      <c r="A510" s="9">
        <v>16</v>
      </c>
      <c r="B510" s="12">
        <f t="shared" si="5"/>
        <v>0</v>
      </c>
      <c r="C510" s="12">
        <f t="shared" si="5"/>
        <v>0</v>
      </c>
      <c r="D510" s="12">
        <f t="shared" si="5"/>
        <v>0</v>
      </c>
      <c r="E510" s="12">
        <f t="shared" si="5"/>
        <v>0</v>
      </c>
      <c r="F510" s="12">
        <f t="shared" si="5"/>
        <v>0</v>
      </c>
      <c r="G510" s="12">
        <f t="shared" si="5"/>
        <v>0</v>
      </c>
      <c r="H510" s="12">
        <f t="shared" si="5"/>
        <v>0</v>
      </c>
      <c r="I510" s="12">
        <f t="shared" si="5"/>
        <v>0</v>
      </c>
      <c r="J510" s="12">
        <f t="shared" si="5"/>
        <v>0</v>
      </c>
      <c r="K510" s="12">
        <f t="shared" si="5"/>
        <v>0</v>
      </c>
      <c r="L510" s="12">
        <f t="shared" si="6"/>
        <v>0</v>
      </c>
      <c r="M510" s="12">
        <f t="shared" si="6"/>
        <v>0</v>
      </c>
      <c r="N510" s="12">
        <f t="shared" si="6"/>
        <v>4</v>
      </c>
      <c r="O510" s="12">
        <f t="shared" si="6"/>
        <v>4</v>
      </c>
      <c r="P510" s="12">
        <f t="shared" si="6"/>
        <v>4</v>
      </c>
      <c r="Q510" s="12" t="str">
        <f t="shared" si="6"/>
        <v/>
      </c>
      <c r="R510" s="12">
        <f t="shared" si="6"/>
        <v>4</v>
      </c>
      <c r="S510" s="12">
        <f t="shared" si="6"/>
        <v>4</v>
      </c>
      <c r="T510" s="12">
        <f t="shared" si="6"/>
        <v>0</v>
      </c>
      <c r="U510" s="12">
        <f t="shared" si="6"/>
        <v>0</v>
      </c>
      <c r="V510" s="12">
        <f t="shared" si="7"/>
        <v>0</v>
      </c>
      <c r="W510" s="12">
        <f t="shared" si="7"/>
        <v>0</v>
      </c>
      <c r="X510" s="12">
        <f t="shared" si="7"/>
        <v>0</v>
      </c>
      <c r="Y510" s="12">
        <f t="shared" si="7"/>
        <v>0</v>
      </c>
      <c r="Z510" s="12">
        <f t="shared" si="7"/>
        <v>0</v>
      </c>
      <c r="AA510" s="12">
        <f t="shared" si="7"/>
        <v>0</v>
      </c>
      <c r="AB510" s="12">
        <f t="shared" si="7"/>
        <v>0</v>
      </c>
      <c r="AC510" s="12">
        <f t="shared" si="7"/>
        <v>0</v>
      </c>
      <c r="AD510" s="12">
        <f t="shared" si="7"/>
        <v>0</v>
      </c>
      <c r="AE510" s="12">
        <f t="shared" si="7"/>
        <v>0</v>
      </c>
      <c r="AF510" s="12">
        <f t="shared" si="8"/>
        <v>0</v>
      </c>
      <c r="AG510" s="12">
        <f t="shared" si="8"/>
        <v>0</v>
      </c>
      <c r="AH510" s="12">
        <f t="shared" si="8"/>
        <v>0</v>
      </c>
      <c r="AI510" s="12">
        <f t="shared" si="8"/>
        <v>0</v>
      </c>
      <c r="AJ510" s="12">
        <f t="shared" si="8"/>
        <v>0</v>
      </c>
      <c r="AK510" s="12">
        <f t="shared" si="8"/>
        <v>0</v>
      </c>
      <c r="AL510" s="12">
        <f t="shared" si="8"/>
        <v>0</v>
      </c>
      <c r="AM510" s="12">
        <f t="shared" si="8"/>
        <v>0</v>
      </c>
      <c r="AN510" s="12">
        <f t="shared" si="8"/>
        <v>0</v>
      </c>
      <c r="AO510" s="12">
        <f t="shared" si="8"/>
        <v>0</v>
      </c>
      <c r="AP510" s="12">
        <f t="shared" si="9"/>
        <v>0</v>
      </c>
      <c r="AQ510" s="12">
        <f t="shared" si="9"/>
        <v>0</v>
      </c>
      <c r="AR510" s="12">
        <f t="shared" si="9"/>
        <v>0</v>
      </c>
      <c r="AS510" s="12">
        <f t="shared" si="9"/>
        <v>0</v>
      </c>
      <c r="AT510" s="12">
        <f t="shared" si="9"/>
        <v>0</v>
      </c>
      <c r="AU510" s="12">
        <f t="shared" si="9"/>
        <v>0</v>
      </c>
      <c r="AV510" s="12">
        <f t="shared" si="9"/>
        <v>0</v>
      </c>
      <c r="AW510" s="12">
        <f t="shared" si="9"/>
        <v>0</v>
      </c>
    </row>
    <row r="511" spans="1:49">
      <c r="A511" s="9">
        <v>17</v>
      </c>
      <c r="B511" s="12">
        <f t="shared" si="5"/>
        <v>0</v>
      </c>
      <c r="C511" s="12">
        <f t="shared" si="5"/>
        <v>0</v>
      </c>
      <c r="D511" s="12">
        <f t="shared" si="5"/>
        <v>0</v>
      </c>
      <c r="E511" s="12">
        <f t="shared" si="5"/>
        <v>0</v>
      </c>
      <c r="F511" s="12">
        <f t="shared" si="5"/>
        <v>0</v>
      </c>
      <c r="G511" s="12">
        <f t="shared" si="5"/>
        <v>0</v>
      </c>
      <c r="H511" s="12">
        <f t="shared" si="5"/>
        <v>0</v>
      </c>
      <c r="I511" s="12">
        <f t="shared" si="5"/>
        <v>0</v>
      </c>
      <c r="J511" s="12">
        <f t="shared" si="5"/>
        <v>0</v>
      </c>
      <c r="K511" s="12">
        <f t="shared" si="5"/>
        <v>0</v>
      </c>
      <c r="L511" s="12">
        <f t="shared" si="6"/>
        <v>0</v>
      </c>
      <c r="M511" s="12">
        <f t="shared" si="6"/>
        <v>0</v>
      </c>
      <c r="N511" s="12">
        <f t="shared" si="6"/>
        <v>4</v>
      </c>
      <c r="O511" s="12">
        <f t="shared" si="6"/>
        <v>4</v>
      </c>
      <c r="P511" s="12">
        <f t="shared" si="6"/>
        <v>4</v>
      </c>
      <c r="Q511" s="12">
        <f t="shared" si="6"/>
        <v>4</v>
      </c>
      <c r="R511" s="12" t="str">
        <f t="shared" si="6"/>
        <v/>
      </c>
      <c r="S511" s="12">
        <f t="shared" si="6"/>
        <v>4</v>
      </c>
      <c r="T511" s="12">
        <f t="shared" si="6"/>
        <v>0</v>
      </c>
      <c r="U511" s="12">
        <f t="shared" si="6"/>
        <v>0</v>
      </c>
      <c r="V511" s="12">
        <f t="shared" si="7"/>
        <v>0</v>
      </c>
      <c r="W511" s="12">
        <f t="shared" si="7"/>
        <v>0</v>
      </c>
      <c r="X511" s="12">
        <f t="shared" si="7"/>
        <v>0</v>
      </c>
      <c r="Y511" s="12">
        <f t="shared" si="7"/>
        <v>0</v>
      </c>
      <c r="Z511" s="12">
        <f t="shared" si="7"/>
        <v>0</v>
      </c>
      <c r="AA511" s="12">
        <f t="shared" si="7"/>
        <v>0</v>
      </c>
      <c r="AB511" s="12">
        <f t="shared" si="7"/>
        <v>0</v>
      </c>
      <c r="AC511" s="12">
        <f t="shared" si="7"/>
        <v>0</v>
      </c>
      <c r="AD511" s="12">
        <f t="shared" si="7"/>
        <v>0</v>
      </c>
      <c r="AE511" s="12">
        <f t="shared" si="7"/>
        <v>0</v>
      </c>
      <c r="AF511" s="12">
        <f t="shared" si="8"/>
        <v>0</v>
      </c>
      <c r="AG511" s="12">
        <f t="shared" si="8"/>
        <v>0</v>
      </c>
      <c r="AH511" s="12">
        <f t="shared" si="8"/>
        <v>0</v>
      </c>
      <c r="AI511" s="12">
        <f t="shared" si="8"/>
        <v>0</v>
      </c>
      <c r="AJ511" s="12">
        <f t="shared" si="8"/>
        <v>0</v>
      </c>
      <c r="AK511" s="12">
        <f t="shared" si="8"/>
        <v>0</v>
      </c>
      <c r="AL511" s="12">
        <f t="shared" si="8"/>
        <v>0</v>
      </c>
      <c r="AM511" s="12">
        <f t="shared" si="8"/>
        <v>0</v>
      </c>
      <c r="AN511" s="12">
        <f t="shared" si="8"/>
        <v>0</v>
      </c>
      <c r="AO511" s="12">
        <f t="shared" si="8"/>
        <v>0</v>
      </c>
      <c r="AP511" s="12">
        <f t="shared" si="9"/>
        <v>0</v>
      </c>
      <c r="AQ511" s="12">
        <f t="shared" si="9"/>
        <v>0</v>
      </c>
      <c r="AR511" s="12">
        <f t="shared" si="9"/>
        <v>0</v>
      </c>
      <c r="AS511" s="12">
        <f t="shared" si="9"/>
        <v>0</v>
      </c>
      <c r="AT511" s="12">
        <f t="shared" si="9"/>
        <v>0</v>
      </c>
      <c r="AU511" s="12">
        <f t="shared" si="9"/>
        <v>0</v>
      </c>
      <c r="AV511" s="12">
        <f t="shared" si="9"/>
        <v>0</v>
      </c>
      <c r="AW511" s="12">
        <f t="shared" si="9"/>
        <v>0</v>
      </c>
    </row>
    <row r="512" spans="1:49">
      <c r="A512" s="9">
        <v>18</v>
      </c>
      <c r="B512" s="12">
        <f t="shared" si="5"/>
        <v>0</v>
      </c>
      <c r="C512" s="12">
        <f t="shared" si="5"/>
        <v>0</v>
      </c>
      <c r="D512" s="12">
        <f t="shared" si="5"/>
        <v>0</v>
      </c>
      <c r="E512" s="12">
        <f t="shared" si="5"/>
        <v>0</v>
      </c>
      <c r="F512" s="12">
        <f t="shared" si="5"/>
        <v>0</v>
      </c>
      <c r="G512" s="12">
        <f t="shared" si="5"/>
        <v>0</v>
      </c>
      <c r="H512" s="12">
        <f t="shared" si="5"/>
        <v>0</v>
      </c>
      <c r="I512" s="12">
        <f t="shared" si="5"/>
        <v>0</v>
      </c>
      <c r="J512" s="12">
        <f t="shared" si="5"/>
        <v>0</v>
      </c>
      <c r="K512" s="12">
        <f t="shared" si="5"/>
        <v>0</v>
      </c>
      <c r="L512" s="12">
        <f t="shared" si="6"/>
        <v>0</v>
      </c>
      <c r="M512" s="12">
        <f t="shared" si="6"/>
        <v>0</v>
      </c>
      <c r="N512" s="12">
        <f t="shared" si="6"/>
        <v>4</v>
      </c>
      <c r="O512" s="12">
        <f t="shared" si="6"/>
        <v>4</v>
      </c>
      <c r="P512" s="12">
        <f t="shared" si="6"/>
        <v>4</v>
      </c>
      <c r="Q512" s="12">
        <f t="shared" si="6"/>
        <v>4</v>
      </c>
      <c r="R512" s="12">
        <f t="shared" si="6"/>
        <v>4</v>
      </c>
      <c r="S512" s="12" t="str">
        <f t="shared" si="6"/>
        <v/>
      </c>
      <c r="T512" s="12">
        <f t="shared" si="6"/>
        <v>0</v>
      </c>
      <c r="U512" s="12">
        <f t="shared" si="6"/>
        <v>0</v>
      </c>
      <c r="V512" s="12">
        <f t="shared" si="7"/>
        <v>0</v>
      </c>
      <c r="W512" s="12">
        <f t="shared" si="7"/>
        <v>0</v>
      </c>
      <c r="X512" s="12">
        <f t="shared" si="7"/>
        <v>0</v>
      </c>
      <c r="Y512" s="12">
        <f t="shared" si="7"/>
        <v>0</v>
      </c>
      <c r="Z512" s="12">
        <f t="shared" si="7"/>
        <v>0</v>
      </c>
      <c r="AA512" s="12">
        <f t="shared" si="7"/>
        <v>0</v>
      </c>
      <c r="AB512" s="12">
        <f t="shared" si="7"/>
        <v>0</v>
      </c>
      <c r="AC512" s="12">
        <f t="shared" si="7"/>
        <v>0</v>
      </c>
      <c r="AD512" s="12">
        <f t="shared" si="7"/>
        <v>0</v>
      </c>
      <c r="AE512" s="12">
        <f t="shared" si="7"/>
        <v>0</v>
      </c>
      <c r="AF512" s="12">
        <f t="shared" si="8"/>
        <v>0</v>
      </c>
      <c r="AG512" s="12">
        <f t="shared" si="8"/>
        <v>0</v>
      </c>
      <c r="AH512" s="12">
        <f t="shared" si="8"/>
        <v>0</v>
      </c>
      <c r="AI512" s="12">
        <f t="shared" si="8"/>
        <v>0</v>
      </c>
      <c r="AJ512" s="12">
        <f t="shared" si="8"/>
        <v>0</v>
      </c>
      <c r="AK512" s="12">
        <f t="shared" si="8"/>
        <v>0</v>
      </c>
      <c r="AL512" s="12">
        <f t="shared" si="8"/>
        <v>0</v>
      </c>
      <c r="AM512" s="12">
        <f t="shared" si="8"/>
        <v>0</v>
      </c>
      <c r="AN512" s="12">
        <f t="shared" si="8"/>
        <v>0</v>
      </c>
      <c r="AO512" s="12">
        <f t="shared" si="8"/>
        <v>0</v>
      </c>
      <c r="AP512" s="12">
        <f t="shared" si="9"/>
        <v>0</v>
      </c>
      <c r="AQ512" s="12">
        <f t="shared" si="9"/>
        <v>0</v>
      </c>
      <c r="AR512" s="12">
        <f t="shared" si="9"/>
        <v>0</v>
      </c>
      <c r="AS512" s="12">
        <f t="shared" si="9"/>
        <v>0</v>
      </c>
      <c r="AT512" s="12">
        <f t="shared" si="9"/>
        <v>0</v>
      </c>
      <c r="AU512" s="12">
        <f t="shared" si="9"/>
        <v>0</v>
      </c>
      <c r="AV512" s="12">
        <f t="shared" si="9"/>
        <v>0</v>
      </c>
      <c r="AW512" s="12">
        <f t="shared" si="9"/>
        <v>0</v>
      </c>
    </row>
    <row r="513" spans="1:49">
      <c r="A513" s="9">
        <v>19</v>
      </c>
      <c r="B513" s="12">
        <f t="shared" si="5"/>
        <v>0</v>
      </c>
      <c r="C513" s="12">
        <f t="shared" si="5"/>
        <v>0</v>
      </c>
      <c r="D513" s="12">
        <f t="shared" si="5"/>
        <v>0</v>
      </c>
      <c r="E513" s="12">
        <f t="shared" si="5"/>
        <v>0</v>
      </c>
      <c r="F513" s="12">
        <f t="shared" si="5"/>
        <v>0</v>
      </c>
      <c r="G513" s="12">
        <f t="shared" si="5"/>
        <v>0</v>
      </c>
      <c r="H513" s="12">
        <f t="shared" si="5"/>
        <v>0</v>
      </c>
      <c r="I513" s="12">
        <f t="shared" si="5"/>
        <v>0</v>
      </c>
      <c r="J513" s="12">
        <f t="shared" si="5"/>
        <v>0</v>
      </c>
      <c r="K513" s="12">
        <f t="shared" si="5"/>
        <v>0</v>
      </c>
      <c r="L513" s="12">
        <f t="shared" si="6"/>
        <v>0</v>
      </c>
      <c r="M513" s="12">
        <f t="shared" si="6"/>
        <v>0</v>
      </c>
      <c r="N513" s="12">
        <f t="shared" si="6"/>
        <v>0</v>
      </c>
      <c r="O513" s="12">
        <f t="shared" si="6"/>
        <v>0</v>
      </c>
      <c r="P513" s="12">
        <f t="shared" si="6"/>
        <v>0</v>
      </c>
      <c r="Q513" s="12">
        <f t="shared" si="6"/>
        <v>0</v>
      </c>
      <c r="R513" s="12">
        <f t="shared" si="6"/>
        <v>0</v>
      </c>
      <c r="S513" s="12">
        <f t="shared" si="6"/>
        <v>0</v>
      </c>
      <c r="T513" s="12" t="str">
        <f t="shared" si="6"/>
        <v/>
      </c>
      <c r="U513" s="12">
        <f t="shared" si="6"/>
        <v>4</v>
      </c>
      <c r="V513" s="12">
        <f t="shared" si="7"/>
        <v>4</v>
      </c>
      <c r="W513" s="12">
        <f t="shared" si="7"/>
        <v>4</v>
      </c>
      <c r="X513" s="12">
        <f t="shared" si="7"/>
        <v>4</v>
      </c>
      <c r="Y513" s="12">
        <f t="shared" si="7"/>
        <v>4</v>
      </c>
      <c r="Z513" s="12">
        <f t="shared" si="7"/>
        <v>0</v>
      </c>
      <c r="AA513" s="12">
        <f t="shared" si="7"/>
        <v>0</v>
      </c>
      <c r="AB513" s="12">
        <f t="shared" si="7"/>
        <v>0</v>
      </c>
      <c r="AC513" s="12">
        <f t="shared" si="7"/>
        <v>0</v>
      </c>
      <c r="AD513" s="12">
        <f t="shared" si="7"/>
        <v>0</v>
      </c>
      <c r="AE513" s="12">
        <f t="shared" si="7"/>
        <v>0</v>
      </c>
      <c r="AF513" s="12">
        <f t="shared" si="8"/>
        <v>0</v>
      </c>
      <c r="AG513" s="12">
        <f t="shared" si="8"/>
        <v>0</v>
      </c>
      <c r="AH513" s="12">
        <f t="shared" si="8"/>
        <v>0</v>
      </c>
      <c r="AI513" s="12">
        <f t="shared" si="8"/>
        <v>0</v>
      </c>
      <c r="AJ513" s="12">
        <f t="shared" si="8"/>
        <v>0</v>
      </c>
      <c r="AK513" s="12">
        <f t="shared" si="8"/>
        <v>0</v>
      </c>
      <c r="AL513" s="12">
        <f t="shared" si="8"/>
        <v>0</v>
      </c>
      <c r="AM513" s="12">
        <f t="shared" si="8"/>
        <v>0</v>
      </c>
      <c r="AN513" s="12">
        <f t="shared" si="8"/>
        <v>0</v>
      </c>
      <c r="AO513" s="12">
        <f t="shared" si="8"/>
        <v>0</v>
      </c>
      <c r="AP513" s="12">
        <f t="shared" si="9"/>
        <v>0</v>
      </c>
      <c r="AQ513" s="12">
        <f t="shared" si="9"/>
        <v>0</v>
      </c>
      <c r="AR513" s="12">
        <f t="shared" si="9"/>
        <v>0</v>
      </c>
      <c r="AS513" s="12">
        <f t="shared" si="9"/>
        <v>0</v>
      </c>
      <c r="AT513" s="12">
        <f t="shared" si="9"/>
        <v>0</v>
      </c>
      <c r="AU513" s="12">
        <f t="shared" si="9"/>
        <v>0</v>
      </c>
      <c r="AV513" s="12">
        <f t="shared" si="9"/>
        <v>0</v>
      </c>
      <c r="AW513" s="12">
        <f t="shared" si="9"/>
        <v>0</v>
      </c>
    </row>
    <row r="514" spans="1:49">
      <c r="A514" s="9">
        <v>20</v>
      </c>
      <c r="B514" s="12">
        <f t="shared" si="5"/>
        <v>0</v>
      </c>
      <c r="C514" s="12">
        <f t="shared" si="5"/>
        <v>0</v>
      </c>
      <c r="D514" s="12">
        <f t="shared" si="5"/>
        <v>0</v>
      </c>
      <c r="E514" s="12">
        <f t="shared" si="5"/>
        <v>0</v>
      </c>
      <c r="F514" s="12">
        <f t="shared" si="5"/>
        <v>0</v>
      </c>
      <c r="G514" s="12">
        <f t="shared" si="5"/>
        <v>0</v>
      </c>
      <c r="H514" s="12">
        <f t="shared" si="5"/>
        <v>0</v>
      </c>
      <c r="I514" s="12">
        <f t="shared" si="5"/>
        <v>0</v>
      </c>
      <c r="J514" s="12">
        <f t="shared" si="5"/>
        <v>0</v>
      </c>
      <c r="K514" s="12">
        <f t="shared" si="5"/>
        <v>0</v>
      </c>
      <c r="L514" s="12">
        <f t="shared" si="6"/>
        <v>0</v>
      </c>
      <c r="M514" s="12">
        <f t="shared" si="6"/>
        <v>0</v>
      </c>
      <c r="N514" s="12">
        <f t="shared" si="6"/>
        <v>0</v>
      </c>
      <c r="O514" s="12">
        <f t="shared" si="6"/>
        <v>0</v>
      </c>
      <c r="P514" s="12">
        <f t="shared" si="6"/>
        <v>0</v>
      </c>
      <c r="Q514" s="12">
        <f t="shared" si="6"/>
        <v>0</v>
      </c>
      <c r="R514" s="12">
        <f t="shared" si="6"/>
        <v>0</v>
      </c>
      <c r="S514" s="12">
        <f t="shared" si="6"/>
        <v>0</v>
      </c>
      <c r="T514" s="12">
        <f t="shared" si="6"/>
        <v>4</v>
      </c>
      <c r="U514" s="12" t="str">
        <f t="shared" si="6"/>
        <v/>
      </c>
      <c r="V514" s="12">
        <f t="shared" si="7"/>
        <v>4</v>
      </c>
      <c r="W514" s="12">
        <f t="shared" si="7"/>
        <v>4</v>
      </c>
      <c r="X514" s="12">
        <f t="shared" si="7"/>
        <v>4</v>
      </c>
      <c r="Y514" s="12">
        <f t="shared" si="7"/>
        <v>4</v>
      </c>
      <c r="Z514" s="12">
        <f t="shared" si="7"/>
        <v>0</v>
      </c>
      <c r="AA514" s="12">
        <f t="shared" si="7"/>
        <v>0</v>
      </c>
      <c r="AB514" s="12">
        <f t="shared" si="7"/>
        <v>0</v>
      </c>
      <c r="AC514" s="12">
        <f t="shared" si="7"/>
        <v>0</v>
      </c>
      <c r="AD514" s="12">
        <f t="shared" si="7"/>
        <v>0</v>
      </c>
      <c r="AE514" s="12">
        <f t="shared" si="7"/>
        <v>0</v>
      </c>
      <c r="AF514" s="12">
        <f t="shared" si="8"/>
        <v>0</v>
      </c>
      <c r="AG514" s="12">
        <f t="shared" si="8"/>
        <v>0</v>
      </c>
      <c r="AH514" s="12">
        <f t="shared" si="8"/>
        <v>0</v>
      </c>
      <c r="AI514" s="12">
        <f t="shared" si="8"/>
        <v>0</v>
      </c>
      <c r="AJ514" s="12">
        <f t="shared" si="8"/>
        <v>0</v>
      </c>
      <c r="AK514" s="12">
        <f t="shared" si="8"/>
        <v>0</v>
      </c>
      <c r="AL514" s="12">
        <f t="shared" si="8"/>
        <v>0</v>
      </c>
      <c r="AM514" s="12">
        <f t="shared" si="8"/>
        <v>0</v>
      </c>
      <c r="AN514" s="12">
        <f t="shared" si="8"/>
        <v>0</v>
      </c>
      <c r="AO514" s="12">
        <f t="shared" si="8"/>
        <v>0</v>
      </c>
      <c r="AP514" s="12">
        <f t="shared" si="9"/>
        <v>0</v>
      </c>
      <c r="AQ514" s="12">
        <f t="shared" si="9"/>
        <v>0</v>
      </c>
      <c r="AR514" s="12">
        <f t="shared" si="9"/>
        <v>0</v>
      </c>
      <c r="AS514" s="12">
        <f t="shared" si="9"/>
        <v>0</v>
      </c>
      <c r="AT514" s="12">
        <f t="shared" si="9"/>
        <v>0</v>
      </c>
      <c r="AU514" s="12">
        <f t="shared" si="9"/>
        <v>0</v>
      </c>
      <c r="AV514" s="12">
        <f t="shared" si="9"/>
        <v>0</v>
      </c>
      <c r="AW514" s="12">
        <f t="shared" si="9"/>
        <v>0</v>
      </c>
    </row>
    <row r="515" spans="1:49">
      <c r="A515" s="9">
        <v>21</v>
      </c>
      <c r="B515" s="12">
        <f t="shared" ref="B515:K524" si="10">IF($A515=B$494,"",COUNTIF($E$4:$E$490,$A515&amp;" ضد "&amp;B$494)+COUNTIF($E$4:$E$490,B$494&amp;" ضد "&amp;$A515))</f>
        <v>0</v>
      </c>
      <c r="C515" s="12">
        <f t="shared" si="10"/>
        <v>0</v>
      </c>
      <c r="D515" s="12">
        <f t="shared" si="10"/>
        <v>0</v>
      </c>
      <c r="E515" s="12">
        <f t="shared" si="10"/>
        <v>0</v>
      </c>
      <c r="F515" s="12">
        <f t="shared" si="10"/>
        <v>0</v>
      </c>
      <c r="G515" s="12">
        <f t="shared" si="10"/>
        <v>0</v>
      </c>
      <c r="H515" s="12">
        <f t="shared" si="10"/>
        <v>0</v>
      </c>
      <c r="I515" s="12">
        <f t="shared" si="10"/>
        <v>0</v>
      </c>
      <c r="J515" s="12">
        <f t="shared" si="10"/>
        <v>0</v>
      </c>
      <c r="K515" s="12">
        <f t="shared" si="10"/>
        <v>0</v>
      </c>
      <c r="L515" s="12">
        <f t="shared" ref="L515:U524" si="11">IF($A515=L$494,"",COUNTIF($E$4:$E$490,$A515&amp;" ضد "&amp;L$494)+COUNTIF($E$4:$E$490,L$494&amp;" ضد "&amp;$A515))</f>
        <v>0</v>
      </c>
      <c r="M515" s="12">
        <f t="shared" si="11"/>
        <v>0</v>
      </c>
      <c r="N515" s="12">
        <f t="shared" si="11"/>
        <v>0</v>
      </c>
      <c r="O515" s="12">
        <f t="shared" si="11"/>
        <v>0</v>
      </c>
      <c r="P515" s="12">
        <f t="shared" si="11"/>
        <v>0</v>
      </c>
      <c r="Q515" s="12">
        <f t="shared" si="11"/>
        <v>0</v>
      </c>
      <c r="R515" s="12">
        <f t="shared" si="11"/>
        <v>0</v>
      </c>
      <c r="S515" s="12">
        <f t="shared" si="11"/>
        <v>0</v>
      </c>
      <c r="T515" s="12">
        <f t="shared" si="11"/>
        <v>4</v>
      </c>
      <c r="U515" s="12">
        <f t="shared" si="11"/>
        <v>4</v>
      </c>
      <c r="V515" s="12" t="str">
        <f t="shared" ref="V515:AE524" si="12">IF($A515=V$494,"",COUNTIF($E$4:$E$490,$A515&amp;" ضد "&amp;V$494)+COUNTIF($E$4:$E$490,V$494&amp;" ضد "&amp;$A515))</f>
        <v/>
      </c>
      <c r="W515" s="12">
        <f t="shared" si="12"/>
        <v>4</v>
      </c>
      <c r="X515" s="12">
        <f t="shared" si="12"/>
        <v>4</v>
      </c>
      <c r="Y515" s="12">
        <f t="shared" si="12"/>
        <v>4</v>
      </c>
      <c r="Z515" s="12">
        <f t="shared" si="12"/>
        <v>0</v>
      </c>
      <c r="AA515" s="12">
        <f t="shared" si="12"/>
        <v>0</v>
      </c>
      <c r="AB515" s="12">
        <f t="shared" si="12"/>
        <v>0</v>
      </c>
      <c r="AC515" s="12">
        <f t="shared" si="12"/>
        <v>0</v>
      </c>
      <c r="AD515" s="12">
        <f t="shared" si="12"/>
        <v>0</v>
      </c>
      <c r="AE515" s="12">
        <f t="shared" si="12"/>
        <v>0</v>
      </c>
      <c r="AF515" s="12">
        <f t="shared" ref="AF515:AO524" si="13">IF($A515=AF$494,"",COUNTIF($E$4:$E$490,$A515&amp;" ضد "&amp;AF$494)+COUNTIF($E$4:$E$490,AF$494&amp;" ضد "&amp;$A515))</f>
        <v>0</v>
      </c>
      <c r="AG515" s="12">
        <f t="shared" si="13"/>
        <v>0</v>
      </c>
      <c r="AH515" s="12">
        <f t="shared" si="13"/>
        <v>0</v>
      </c>
      <c r="AI515" s="12">
        <f t="shared" si="13"/>
        <v>0</v>
      </c>
      <c r="AJ515" s="12">
        <f t="shared" si="13"/>
        <v>0</v>
      </c>
      <c r="AK515" s="12">
        <f t="shared" si="13"/>
        <v>0</v>
      </c>
      <c r="AL515" s="12">
        <f t="shared" si="13"/>
        <v>0</v>
      </c>
      <c r="AM515" s="12">
        <f t="shared" si="13"/>
        <v>0</v>
      </c>
      <c r="AN515" s="12">
        <f t="shared" si="13"/>
        <v>0</v>
      </c>
      <c r="AO515" s="12">
        <f t="shared" si="13"/>
        <v>0</v>
      </c>
      <c r="AP515" s="12">
        <f t="shared" ref="AP515:AW524" si="14">IF($A515=AP$494,"",COUNTIF($E$4:$E$490,$A515&amp;" ضد "&amp;AP$494)+COUNTIF($E$4:$E$490,AP$494&amp;" ضد "&amp;$A515))</f>
        <v>0</v>
      </c>
      <c r="AQ515" s="12">
        <f t="shared" si="14"/>
        <v>0</v>
      </c>
      <c r="AR515" s="12">
        <f t="shared" si="14"/>
        <v>0</v>
      </c>
      <c r="AS515" s="12">
        <f t="shared" si="14"/>
        <v>0</v>
      </c>
      <c r="AT515" s="12">
        <f t="shared" si="14"/>
        <v>0</v>
      </c>
      <c r="AU515" s="12">
        <f t="shared" si="14"/>
        <v>0</v>
      </c>
      <c r="AV515" s="12">
        <f t="shared" si="14"/>
        <v>0</v>
      </c>
      <c r="AW515" s="12">
        <f t="shared" si="14"/>
        <v>0</v>
      </c>
    </row>
    <row r="516" spans="1:49">
      <c r="A516" s="9">
        <v>22</v>
      </c>
      <c r="B516" s="12">
        <f t="shared" si="10"/>
        <v>0</v>
      </c>
      <c r="C516" s="12">
        <f t="shared" si="10"/>
        <v>0</v>
      </c>
      <c r="D516" s="12">
        <f t="shared" si="10"/>
        <v>0</v>
      </c>
      <c r="E516" s="12">
        <f t="shared" si="10"/>
        <v>0</v>
      </c>
      <c r="F516" s="12">
        <f t="shared" si="10"/>
        <v>0</v>
      </c>
      <c r="G516" s="12">
        <f t="shared" si="10"/>
        <v>0</v>
      </c>
      <c r="H516" s="12">
        <f t="shared" si="10"/>
        <v>0</v>
      </c>
      <c r="I516" s="12">
        <f t="shared" si="10"/>
        <v>0</v>
      </c>
      <c r="J516" s="12">
        <f t="shared" si="10"/>
        <v>0</v>
      </c>
      <c r="K516" s="12">
        <f t="shared" si="10"/>
        <v>0</v>
      </c>
      <c r="L516" s="12">
        <f t="shared" si="11"/>
        <v>0</v>
      </c>
      <c r="M516" s="12">
        <f t="shared" si="11"/>
        <v>0</v>
      </c>
      <c r="N516" s="12">
        <f t="shared" si="11"/>
        <v>0</v>
      </c>
      <c r="O516" s="12">
        <f t="shared" si="11"/>
        <v>0</v>
      </c>
      <c r="P516" s="12">
        <f t="shared" si="11"/>
        <v>0</v>
      </c>
      <c r="Q516" s="12">
        <f t="shared" si="11"/>
        <v>0</v>
      </c>
      <c r="R516" s="12">
        <f t="shared" si="11"/>
        <v>0</v>
      </c>
      <c r="S516" s="12">
        <f t="shared" si="11"/>
        <v>0</v>
      </c>
      <c r="T516" s="12">
        <f t="shared" si="11"/>
        <v>4</v>
      </c>
      <c r="U516" s="12">
        <f t="shared" si="11"/>
        <v>4</v>
      </c>
      <c r="V516" s="12">
        <f t="shared" si="12"/>
        <v>4</v>
      </c>
      <c r="W516" s="12" t="str">
        <f t="shared" si="12"/>
        <v/>
      </c>
      <c r="X516" s="12">
        <f t="shared" si="12"/>
        <v>4</v>
      </c>
      <c r="Y516" s="12">
        <f t="shared" si="12"/>
        <v>4</v>
      </c>
      <c r="Z516" s="12">
        <f t="shared" si="12"/>
        <v>0</v>
      </c>
      <c r="AA516" s="12">
        <f t="shared" si="12"/>
        <v>0</v>
      </c>
      <c r="AB516" s="12">
        <f t="shared" si="12"/>
        <v>0</v>
      </c>
      <c r="AC516" s="12">
        <f t="shared" si="12"/>
        <v>0</v>
      </c>
      <c r="AD516" s="12">
        <f t="shared" si="12"/>
        <v>0</v>
      </c>
      <c r="AE516" s="12">
        <f t="shared" si="12"/>
        <v>0</v>
      </c>
      <c r="AF516" s="12">
        <f t="shared" si="13"/>
        <v>0</v>
      </c>
      <c r="AG516" s="12">
        <f t="shared" si="13"/>
        <v>0</v>
      </c>
      <c r="AH516" s="12">
        <f t="shared" si="13"/>
        <v>0</v>
      </c>
      <c r="AI516" s="12">
        <f t="shared" si="13"/>
        <v>0</v>
      </c>
      <c r="AJ516" s="12">
        <f t="shared" si="13"/>
        <v>0</v>
      </c>
      <c r="AK516" s="12">
        <f t="shared" si="13"/>
        <v>0</v>
      </c>
      <c r="AL516" s="12">
        <f t="shared" si="13"/>
        <v>0</v>
      </c>
      <c r="AM516" s="12">
        <f t="shared" si="13"/>
        <v>0</v>
      </c>
      <c r="AN516" s="12">
        <f t="shared" si="13"/>
        <v>0</v>
      </c>
      <c r="AO516" s="12">
        <f t="shared" si="13"/>
        <v>0</v>
      </c>
      <c r="AP516" s="12">
        <f t="shared" si="14"/>
        <v>0</v>
      </c>
      <c r="AQ516" s="12">
        <f t="shared" si="14"/>
        <v>0</v>
      </c>
      <c r="AR516" s="12">
        <f t="shared" si="14"/>
        <v>0</v>
      </c>
      <c r="AS516" s="12">
        <f t="shared" si="14"/>
        <v>0</v>
      </c>
      <c r="AT516" s="12">
        <f t="shared" si="14"/>
        <v>0</v>
      </c>
      <c r="AU516" s="12">
        <f t="shared" si="14"/>
        <v>0</v>
      </c>
      <c r="AV516" s="12">
        <f t="shared" si="14"/>
        <v>0</v>
      </c>
      <c r="AW516" s="12">
        <f t="shared" si="14"/>
        <v>0</v>
      </c>
    </row>
    <row r="517" spans="1:49">
      <c r="A517" s="9">
        <v>23</v>
      </c>
      <c r="B517" s="12">
        <f t="shared" si="10"/>
        <v>0</v>
      </c>
      <c r="C517" s="12">
        <f t="shared" si="10"/>
        <v>0</v>
      </c>
      <c r="D517" s="12">
        <f t="shared" si="10"/>
        <v>0</v>
      </c>
      <c r="E517" s="12">
        <f t="shared" si="10"/>
        <v>0</v>
      </c>
      <c r="F517" s="12">
        <f t="shared" si="10"/>
        <v>0</v>
      </c>
      <c r="G517" s="12">
        <f t="shared" si="10"/>
        <v>0</v>
      </c>
      <c r="H517" s="12">
        <f t="shared" si="10"/>
        <v>0</v>
      </c>
      <c r="I517" s="12">
        <f t="shared" si="10"/>
        <v>0</v>
      </c>
      <c r="J517" s="12">
        <f t="shared" si="10"/>
        <v>0</v>
      </c>
      <c r="K517" s="12">
        <f t="shared" si="10"/>
        <v>0</v>
      </c>
      <c r="L517" s="12">
        <f t="shared" si="11"/>
        <v>0</v>
      </c>
      <c r="M517" s="12">
        <f t="shared" si="11"/>
        <v>0</v>
      </c>
      <c r="N517" s="12">
        <f t="shared" si="11"/>
        <v>0</v>
      </c>
      <c r="O517" s="12">
        <f t="shared" si="11"/>
        <v>0</v>
      </c>
      <c r="P517" s="12">
        <f t="shared" si="11"/>
        <v>0</v>
      </c>
      <c r="Q517" s="12">
        <f t="shared" si="11"/>
        <v>0</v>
      </c>
      <c r="R517" s="12">
        <f t="shared" si="11"/>
        <v>0</v>
      </c>
      <c r="S517" s="12">
        <f t="shared" si="11"/>
        <v>0</v>
      </c>
      <c r="T517" s="12">
        <f t="shared" si="11"/>
        <v>4</v>
      </c>
      <c r="U517" s="12">
        <f t="shared" si="11"/>
        <v>4</v>
      </c>
      <c r="V517" s="12">
        <f t="shared" si="12"/>
        <v>4</v>
      </c>
      <c r="W517" s="12">
        <f t="shared" si="12"/>
        <v>4</v>
      </c>
      <c r="X517" s="12" t="str">
        <f t="shared" si="12"/>
        <v/>
      </c>
      <c r="Y517" s="12">
        <f t="shared" si="12"/>
        <v>4</v>
      </c>
      <c r="Z517" s="12">
        <f t="shared" si="12"/>
        <v>0</v>
      </c>
      <c r="AA517" s="12">
        <f t="shared" si="12"/>
        <v>0</v>
      </c>
      <c r="AB517" s="12">
        <f t="shared" si="12"/>
        <v>0</v>
      </c>
      <c r="AC517" s="12">
        <f t="shared" si="12"/>
        <v>0</v>
      </c>
      <c r="AD517" s="12">
        <f t="shared" si="12"/>
        <v>0</v>
      </c>
      <c r="AE517" s="12">
        <f t="shared" si="12"/>
        <v>0</v>
      </c>
      <c r="AF517" s="12">
        <f t="shared" si="13"/>
        <v>0</v>
      </c>
      <c r="AG517" s="12">
        <f t="shared" si="13"/>
        <v>0</v>
      </c>
      <c r="AH517" s="12">
        <f t="shared" si="13"/>
        <v>0</v>
      </c>
      <c r="AI517" s="12">
        <f t="shared" si="13"/>
        <v>0</v>
      </c>
      <c r="AJ517" s="12">
        <f t="shared" si="13"/>
        <v>0</v>
      </c>
      <c r="AK517" s="12">
        <f t="shared" si="13"/>
        <v>0</v>
      </c>
      <c r="AL517" s="12">
        <f t="shared" si="13"/>
        <v>0</v>
      </c>
      <c r="AM517" s="12">
        <f t="shared" si="13"/>
        <v>0</v>
      </c>
      <c r="AN517" s="12">
        <f t="shared" si="13"/>
        <v>0</v>
      </c>
      <c r="AO517" s="12">
        <f t="shared" si="13"/>
        <v>0</v>
      </c>
      <c r="AP517" s="12">
        <f t="shared" si="14"/>
        <v>0</v>
      </c>
      <c r="AQ517" s="12">
        <f t="shared" si="14"/>
        <v>0</v>
      </c>
      <c r="AR517" s="12">
        <f t="shared" si="14"/>
        <v>0</v>
      </c>
      <c r="AS517" s="12">
        <f t="shared" si="14"/>
        <v>0</v>
      </c>
      <c r="AT517" s="12">
        <f t="shared" si="14"/>
        <v>0</v>
      </c>
      <c r="AU517" s="12">
        <f t="shared" si="14"/>
        <v>0</v>
      </c>
      <c r="AV517" s="12">
        <f t="shared" si="14"/>
        <v>0</v>
      </c>
      <c r="AW517" s="12">
        <f t="shared" si="14"/>
        <v>0</v>
      </c>
    </row>
    <row r="518" spans="1:49">
      <c r="A518" s="9">
        <v>24</v>
      </c>
      <c r="B518" s="12">
        <f t="shared" si="10"/>
        <v>0</v>
      </c>
      <c r="C518" s="12">
        <f t="shared" si="10"/>
        <v>0</v>
      </c>
      <c r="D518" s="12">
        <f t="shared" si="10"/>
        <v>0</v>
      </c>
      <c r="E518" s="12">
        <f t="shared" si="10"/>
        <v>0</v>
      </c>
      <c r="F518" s="12">
        <f t="shared" si="10"/>
        <v>0</v>
      </c>
      <c r="G518" s="12">
        <f t="shared" si="10"/>
        <v>0</v>
      </c>
      <c r="H518" s="12">
        <f t="shared" si="10"/>
        <v>0</v>
      </c>
      <c r="I518" s="12">
        <f t="shared" si="10"/>
        <v>0</v>
      </c>
      <c r="J518" s="12">
        <f t="shared" si="10"/>
        <v>0</v>
      </c>
      <c r="K518" s="12">
        <f t="shared" si="10"/>
        <v>0</v>
      </c>
      <c r="L518" s="12">
        <f t="shared" si="11"/>
        <v>0</v>
      </c>
      <c r="M518" s="12">
        <f t="shared" si="11"/>
        <v>0</v>
      </c>
      <c r="N518" s="12">
        <f t="shared" si="11"/>
        <v>0</v>
      </c>
      <c r="O518" s="12">
        <f t="shared" si="11"/>
        <v>0</v>
      </c>
      <c r="P518" s="12">
        <f t="shared" si="11"/>
        <v>0</v>
      </c>
      <c r="Q518" s="12">
        <f t="shared" si="11"/>
        <v>0</v>
      </c>
      <c r="R518" s="12">
        <f t="shared" si="11"/>
        <v>0</v>
      </c>
      <c r="S518" s="12">
        <f t="shared" si="11"/>
        <v>0</v>
      </c>
      <c r="T518" s="12">
        <f t="shared" si="11"/>
        <v>4</v>
      </c>
      <c r="U518" s="12">
        <f t="shared" si="11"/>
        <v>4</v>
      </c>
      <c r="V518" s="12">
        <f t="shared" si="12"/>
        <v>4</v>
      </c>
      <c r="W518" s="12">
        <f t="shared" si="12"/>
        <v>4</v>
      </c>
      <c r="X518" s="12">
        <f t="shared" si="12"/>
        <v>4</v>
      </c>
      <c r="Y518" s="12" t="str">
        <f t="shared" si="12"/>
        <v/>
      </c>
      <c r="Z518" s="12">
        <f t="shared" si="12"/>
        <v>0</v>
      </c>
      <c r="AA518" s="12">
        <f t="shared" si="12"/>
        <v>0</v>
      </c>
      <c r="AB518" s="12">
        <f t="shared" si="12"/>
        <v>0</v>
      </c>
      <c r="AC518" s="12">
        <f t="shared" si="12"/>
        <v>0</v>
      </c>
      <c r="AD518" s="12">
        <f t="shared" si="12"/>
        <v>0</v>
      </c>
      <c r="AE518" s="12">
        <f t="shared" si="12"/>
        <v>0</v>
      </c>
      <c r="AF518" s="12">
        <f t="shared" si="13"/>
        <v>0</v>
      </c>
      <c r="AG518" s="12">
        <f t="shared" si="13"/>
        <v>0</v>
      </c>
      <c r="AH518" s="12">
        <f t="shared" si="13"/>
        <v>0</v>
      </c>
      <c r="AI518" s="12">
        <f t="shared" si="13"/>
        <v>0</v>
      </c>
      <c r="AJ518" s="12">
        <f t="shared" si="13"/>
        <v>0</v>
      </c>
      <c r="AK518" s="12">
        <f t="shared" si="13"/>
        <v>0</v>
      </c>
      <c r="AL518" s="12">
        <f t="shared" si="13"/>
        <v>0</v>
      </c>
      <c r="AM518" s="12">
        <f t="shared" si="13"/>
        <v>0</v>
      </c>
      <c r="AN518" s="12">
        <f t="shared" si="13"/>
        <v>0</v>
      </c>
      <c r="AO518" s="12">
        <f t="shared" si="13"/>
        <v>0</v>
      </c>
      <c r="AP518" s="12">
        <f t="shared" si="14"/>
        <v>0</v>
      </c>
      <c r="AQ518" s="12">
        <f t="shared" si="14"/>
        <v>0</v>
      </c>
      <c r="AR518" s="12">
        <f t="shared" si="14"/>
        <v>0</v>
      </c>
      <c r="AS518" s="12">
        <f t="shared" si="14"/>
        <v>0</v>
      </c>
      <c r="AT518" s="12">
        <f t="shared" si="14"/>
        <v>0</v>
      </c>
      <c r="AU518" s="12">
        <f t="shared" si="14"/>
        <v>0</v>
      </c>
      <c r="AV518" s="12">
        <f t="shared" si="14"/>
        <v>0</v>
      </c>
      <c r="AW518" s="12">
        <f t="shared" si="14"/>
        <v>0</v>
      </c>
    </row>
    <row r="519" spans="1:49">
      <c r="A519" s="9">
        <v>25</v>
      </c>
      <c r="B519" s="12">
        <f t="shared" si="10"/>
        <v>0</v>
      </c>
      <c r="C519" s="12">
        <f t="shared" si="10"/>
        <v>0</v>
      </c>
      <c r="D519" s="12">
        <f t="shared" si="10"/>
        <v>0</v>
      </c>
      <c r="E519" s="12">
        <f t="shared" si="10"/>
        <v>0</v>
      </c>
      <c r="F519" s="12">
        <f t="shared" si="10"/>
        <v>0</v>
      </c>
      <c r="G519" s="12">
        <f t="shared" si="10"/>
        <v>0</v>
      </c>
      <c r="H519" s="12">
        <f t="shared" si="10"/>
        <v>0</v>
      </c>
      <c r="I519" s="12">
        <f t="shared" si="10"/>
        <v>0</v>
      </c>
      <c r="J519" s="12">
        <f t="shared" si="10"/>
        <v>0</v>
      </c>
      <c r="K519" s="12">
        <f t="shared" si="10"/>
        <v>0</v>
      </c>
      <c r="L519" s="12">
        <f t="shared" si="11"/>
        <v>0</v>
      </c>
      <c r="M519" s="12">
        <f t="shared" si="11"/>
        <v>0</v>
      </c>
      <c r="N519" s="12">
        <f t="shared" si="11"/>
        <v>0</v>
      </c>
      <c r="O519" s="12">
        <f t="shared" si="11"/>
        <v>0</v>
      </c>
      <c r="P519" s="12">
        <f t="shared" si="11"/>
        <v>0</v>
      </c>
      <c r="Q519" s="12">
        <f t="shared" si="11"/>
        <v>0</v>
      </c>
      <c r="R519" s="12">
        <f t="shared" si="11"/>
        <v>0</v>
      </c>
      <c r="S519" s="12">
        <f t="shared" si="11"/>
        <v>0</v>
      </c>
      <c r="T519" s="12">
        <f t="shared" si="11"/>
        <v>0</v>
      </c>
      <c r="U519" s="12">
        <f t="shared" si="11"/>
        <v>0</v>
      </c>
      <c r="V519" s="12">
        <f t="shared" si="12"/>
        <v>0</v>
      </c>
      <c r="W519" s="12">
        <f t="shared" si="12"/>
        <v>0</v>
      </c>
      <c r="X519" s="12">
        <f t="shared" si="12"/>
        <v>0</v>
      </c>
      <c r="Y519" s="12">
        <f t="shared" si="12"/>
        <v>0</v>
      </c>
      <c r="Z519" s="12" t="str">
        <f t="shared" si="12"/>
        <v/>
      </c>
      <c r="AA519" s="12">
        <f t="shared" si="12"/>
        <v>4</v>
      </c>
      <c r="AB519" s="12">
        <f t="shared" si="12"/>
        <v>4</v>
      </c>
      <c r="AC519" s="12">
        <f t="shared" si="12"/>
        <v>4</v>
      </c>
      <c r="AD519" s="12">
        <f t="shared" si="12"/>
        <v>4</v>
      </c>
      <c r="AE519" s="12">
        <f t="shared" si="12"/>
        <v>4</v>
      </c>
      <c r="AF519" s="12">
        <f t="shared" si="13"/>
        <v>0</v>
      </c>
      <c r="AG519" s="12">
        <f t="shared" si="13"/>
        <v>0</v>
      </c>
      <c r="AH519" s="12">
        <f t="shared" si="13"/>
        <v>0</v>
      </c>
      <c r="AI519" s="12">
        <f t="shared" si="13"/>
        <v>0</v>
      </c>
      <c r="AJ519" s="12">
        <f t="shared" si="13"/>
        <v>0</v>
      </c>
      <c r="AK519" s="12">
        <f t="shared" si="13"/>
        <v>0</v>
      </c>
      <c r="AL519" s="12">
        <f t="shared" si="13"/>
        <v>0</v>
      </c>
      <c r="AM519" s="12">
        <f t="shared" si="13"/>
        <v>0</v>
      </c>
      <c r="AN519" s="12">
        <f t="shared" si="13"/>
        <v>0</v>
      </c>
      <c r="AO519" s="12">
        <f t="shared" si="13"/>
        <v>0</v>
      </c>
      <c r="AP519" s="12">
        <f t="shared" si="14"/>
        <v>0</v>
      </c>
      <c r="AQ519" s="12">
        <f t="shared" si="14"/>
        <v>0</v>
      </c>
      <c r="AR519" s="12">
        <f t="shared" si="14"/>
        <v>0</v>
      </c>
      <c r="AS519" s="12">
        <f t="shared" si="14"/>
        <v>0</v>
      </c>
      <c r="AT519" s="12">
        <f t="shared" si="14"/>
        <v>0</v>
      </c>
      <c r="AU519" s="12">
        <f t="shared" si="14"/>
        <v>0</v>
      </c>
      <c r="AV519" s="12">
        <f t="shared" si="14"/>
        <v>0</v>
      </c>
      <c r="AW519" s="12">
        <f t="shared" si="14"/>
        <v>0</v>
      </c>
    </row>
    <row r="520" spans="1:49">
      <c r="A520" s="9">
        <v>26</v>
      </c>
      <c r="B520" s="12">
        <f t="shared" si="10"/>
        <v>0</v>
      </c>
      <c r="C520" s="12">
        <f t="shared" si="10"/>
        <v>0</v>
      </c>
      <c r="D520" s="12">
        <f t="shared" si="10"/>
        <v>0</v>
      </c>
      <c r="E520" s="12">
        <f t="shared" si="10"/>
        <v>0</v>
      </c>
      <c r="F520" s="12">
        <f t="shared" si="10"/>
        <v>0</v>
      </c>
      <c r="G520" s="12">
        <f t="shared" si="10"/>
        <v>0</v>
      </c>
      <c r="H520" s="12">
        <f t="shared" si="10"/>
        <v>0</v>
      </c>
      <c r="I520" s="12">
        <f t="shared" si="10"/>
        <v>0</v>
      </c>
      <c r="J520" s="12">
        <f t="shared" si="10"/>
        <v>0</v>
      </c>
      <c r="K520" s="12">
        <f t="shared" si="10"/>
        <v>0</v>
      </c>
      <c r="L520" s="12">
        <f t="shared" si="11"/>
        <v>0</v>
      </c>
      <c r="M520" s="12">
        <f t="shared" si="11"/>
        <v>0</v>
      </c>
      <c r="N520" s="12">
        <f t="shared" si="11"/>
        <v>0</v>
      </c>
      <c r="O520" s="12">
        <f t="shared" si="11"/>
        <v>0</v>
      </c>
      <c r="P520" s="12">
        <f t="shared" si="11"/>
        <v>0</v>
      </c>
      <c r="Q520" s="12">
        <f t="shared" si="11"/>
        <v>0</v>
      </c>
      <c r="R520" s="12">
        <f t="shared" si="11"/>
        <v>0</v>
      </c>
      <c r="S520" s="12">
        <f t="shared" si="11"/>
        <v>0</v>
      </c>
      <c r="T520" s="12">
        <f t="shared" si="11"/>
        <v>0</v>
      </c>
      <c r="U520" s="12">
        <f t="shared" si="11"/>
        <v>0</v>
      </c>
      <c r="V520" s="12">
        <f t="shared" si="12"/>
        <v>0</v>
      </c>
      <c r="W520" s="12">
        <f t="shared" si="12"/>
        <v>0</v>
      </c>
      <c r="X520" s="12">
        <f t="shared" si="12"/>
        <v>0</v>
      </c>
      <c r="Y520" s="12">
        <f t="shared" si="12"/>
        <v>0</v>
      </c>
      <c r="Z520" s="12">
        <f t="shared" si="12"/>
        <v>4</v>
      </c>
      <c r="AA520" s="12" t="str">
        <f t="shared" si="12"/>
        <v/>
      </c>
      <c r="AB520" s="12">
        <f t="shared" si="12"/>
        <v>4</v>
      </c>
      <c r="AC520" s="12">
        <f t="shared" si="12"/>
        <v>4</v>
      </c>
      <c r="AD520" s="12">
        <f t="shared" si="12"/>
        <v>4</v>
      </c>
      <c r="AE520" s="12">
        <f t="shared" si="12"/>
        <v>4</v>
      </c>
      <c r="AF520" s="12">
        <f t="shared" si="13"/>
        <v>0</v>
      </c>
      <c r="AG520" s="12">
        <f t="shared" si="13"/>
        <v>0</v>
      </c>
      <c r="AH520" s="12">
        <f t="shared" si="13"/>
        <v>0</v>
      </c>
      <c r="AI520" s="12">
        <f t="shared" si="13"/>
        <v>0</v>
      </c>
      <c r="AJ520" s="12">
        <f t="shared" si="13"/>
        <v>0</v>
      </c>
      <c r="AK520" s="12">
        <f t="shared" si="13"/>
        <v>0</v>
      </c>
      <c r="AL520" s="12">
        <f t="shared" si="13"/>
        <v>0</v>
      </c>
      <c r="AM520" s="12">
        <f t="shared" si="13"/>
        <v>0</v>
      </c>
      <c r="AN520" s="12">
        <f t="shared" si="13"/>
        <v>0</v>
      </c>
      <c r="AO520" s="12">
        <f t="shared" si="13"/>
        <v>0</v>
      </c>
      <c r="AP520" s="12">
        <f t="shared" si="14"/>
        <v>0</v>
      </c>
      <c r="AQ520" s="12">
        <f t="shared" si="14"/>
        <v>0</v>
      </c>
      <c r="AR520" s="12">
        <f t="shared" si="14"/>
        <v>0</v>
      </c>
      <c r="AS520" s="12">
        <f t="shared" si="14"/>
        <v>0</v>
      </c>
      <c r="AT520" s="12">
        <f t="shared" si="14"/>
        <v>0</v>
      </c>
      <c r="AU520" s="12">
        <f t="shared" si="14"/>
        <v>0</v>
      </c>
      <c r="AV520" s="12">
        <f t="shared" si="14"/>
        <v>0</v>
      </c>
      <c r="AW520" s="12">
        <f t="shared" si="14"/>
        <v>0</v>
      </c>
    </row>
    <row r="521" spans="1:49">
      <c r="A521" s="9">
        <v>27</v>
      </c>
      <c r="B521" s="12">
        <f t="shared" si="10"/>
        <v>0</v>
      </c>
      <c r="C521" s="12">
        <f t="shared" si="10"/>
        <v>0</v>
      </c>
      <c r="D521" s="12">
        <f t="shared" si="10"/>
        <v>0</v>
      </c>
      <c r="E521" s="12">
        <f t="shared" si="10"/>
        <v>0</v>
      </c>
      <c r="F521" s="12">
        <f t="shared" si="10"/>
        <v>0</v>
      </c>
      <c r="G521" s="12">
        <f t="shared" si="10"/>
        <v>0</v>
      </c>
      <c r="H521" s="12">
        <f t="shared" si="10"/>
        <v>0</v>
      </c>
      <c r="I521" s="12">
        <f t="shared" si="10"/>
        <v>0</v>
      </c>
      <c r="J521" s="12">
        <f t="shared" si="10"/>
        <v>0</v>
      </c>
      <c r="K521" s="12">
        <f t="shared" si="10"/>
        <v>0</v>
      </c>
      <c r="L521" s="12">
        <f t="shared" si="11"/>
        <v>0</v>
      </c>
      <c r="M521" s="12">
        <f t="shared" si="11"/>
        <v>0</v>
      </c>
      <c r="N521" s="12">
        <f t="shared" si="11"/>
        <v>0</v>
      </c>
      <c r="O521" s="12">
        <f t="shared" si="11"/>
        <v>0</v>
      </c>
      <c r="P521" s="12">
        <f t="shared" si="11"/>
        <v>0</v>
      </c>
      <c r="Q521" s="12">
        <f t="shared" si="11"/>
        <v>0</v>
      </c>
      <c r="R521" s="12">
        <f t="shared" si="11"/>
        <v>0</v>
      </c>
      <c r="S521" s="12">
        <f t="shared" si="11"/>
        <v>0</v>
      </c>
      <c r="T521" s="12">
        <f t="shared" si="11"/>
        <v>0</v>
      </c>
      <c r="U521" s="12">
        <f t="shared" si="11"/>
        <v>0</v>
      </c>
      <c r="V521" s="12">
        <f t="shared" si="12"/>
        <v>0</v>
      </c>
      <c r="W521" s="12">
        <f t="shared" si="12"/>
        <v>0</v>
      </c>
      <c r="X521" s="12">
        <f t="shared" si="12"/>
        <v>0</v>
      </c>
      <c r="Y521" s="12">
        <f t="shared" si="12"/>
        <v>0</v>
      </c>
      <c r="Z521" s="12">
        <f t="shared" si="12"/>
        <v>4</v>
      </c>
      <c r="AA521" s="12">
        <f t="shared" si="12"/>
        <v>4</v>
      </c>
      <c r="AB521" s="12" t="str">
        <f t="shared" si="12"/>
        <v/>
      </c>
      <c r="AC521" s="12">
        <f t="shared" si="12"/>
        <v>4</v>
      </c>
      <c r="AD521" s="12">
        <f t="shared" si="12"/>
        <v>4</v>
      </c>
      <c r="AE521" s="12">
        <f t="shared" si="12"/>
        <v>4</v>
      </c>
      <c r="AF521" s="12">
        <f t="shared" si="13"/>
        <v>0</v>
      </c>
      <c r="AG521" s="12">
        <f t="shared" si="13"/>
        <v>0</v>
      </c>
      <c r="AH521" s="12">
        <f t="shared" si="13"/>
        <v>0</v>
      </c>
      <c r="AI521" s="12">
        <f t="shared" si="13"/>
        <v>0</v>
      </c>
      <c r="AJ521" s="12">
        <f t="shared" si="13"/>
        <v>0</v>
      </c>
      <c r="AK521" s="12">
        <f t="shared" si="13"/>
        <v>0</v>
      </c>
      <c r="AL521" s="12">
        <f t="shared" si="13"/>
        <v>0</v>
      </c>
      <c r="AM521" s="12">
        <f t="shared" si="13"/>
        <v>0</v>
      </c>
      <c r="AN521" s="12">
        <f t="shared" si="13"/>
        <v>0</v>
      </c>
      <c r="AO521" s="12">
        <f t="shared" si="13"/>
        <v>0</v>
      </c>
      <c r="AP521" s="12">
        <f t="shared" si="14"/>
        <v>0</v>
      </c>
      <c r="AQ521" s="12">
        <f t="shared" si="14"/>
        <v>0</v>
      </c>
      <c r="AR521" s="12">
        <f t="shared" si="14"/>
        <v>0</v>
      </c>
      <c r="AS521" s="12">
        <f t="shared" si="14"/>
        <v>0</v>
      </c>
      <c r="AT521" s="12">
        <f t="shared" si="14"/>
        <v>0</v>
      </c>
      <c r="AU521" s="12">
        <f t="shared" si="14"/>
        <v>0</v>
      </c>
      <c r="AV521" s="12">
        <f t="shared" si="14"/>
        <v>0</v>
      </c>
      <c r="AW521" s="12">
        <f t="shared" si="14"/>
        <v>0</v>
      </c>
    </row>
    <row r="522" spans="1:49">
      <c r="A522" s="9">
        <v>28</v>
      </c>
      <c r="B522" s="12">
        <f t="shared" si="10"/>
        <v>0</v>
      </c>
      <c r="C522" s="12">
        <f t="shared" si="10"/>
        <v>0</v>
      </c>
      <c r="D522" s="12">
        <f t="shared" si="10"/>
        <v>0</v>
      </c>
      <c r="E522" s="12">
        <f t="shared" si="10"/>
        <v>0</v>
      </c>
      <c r="F522" s="12">
        <f t="shared" si="10"/>
        <v>0</v>
      </c>
      <c r="G522" s="12">
        <f t="shared" si="10"/>
        <v>0</v>
      </c>
      <c r="H522" s="12">
        <f t="shared" si="10"/>
        <v>0</v>
      </c>
      <c r="I522" s="12">
        <f t="shared" si="10"/>
        <v>0</v>
      </c>
      <c r="J522" s="12">
        <f t="shared" si="10"/>
        <v>0</v>
      </c>
      <c r="K522" s="12">
        <f t="shared" si="10"/>
        <v>0</v>
      </c>
      <c r="L522" s="12">
        <f t="shared" si="11"/>
        <v>0</v>
      </c>
      <c r="M522" s="12">
        <f t="shared" si="11"/>
        <v>0</v>
      </c>
      <c r="N522" s="12">
        <f t="shared" si="11"/>
        <v>0</v>
      </c>
      <c r="O522" s="12">
        <f t="shared" si="11"/>
        <v>0</v>
      </c>
      <c r="P522" s="12">
        <f t="shared" si="11"/>
        <v>0</v>
      </c>
      <c r="Q522" s="12">
        <f t="shared" si="11"/>
        <v>0</v>
      </c>
      <c r="R522" s="12">
        <f t="shared" si="11"/>
        <v>0</v>
      </c>
      <c r="S522" s="12">
        <f t="shared" si="11"/>
        <v>0</v>
      </c>
      <c r="T522" s="12">
        <f t="shared" si="11"/>
        <v>0</v>
      </c>
      <c r="U522" s="12">
        <f t="shared" si="11"/>
        <v>0</v>
      </c>
      <c r="V522" s="12">
        <f t="shared" si="12"/>
        <v>0</v>
      </c>
      <c r="W522" s="12">
        <f t="shared" si="12"/>
        <v>0</v>
      </c>
      <c r="X522" s="12">
        <f t="shared" si="12"/>
        <v>0</v>
      </c>
      <c r="Y522" s="12">
        <f t="shared" si="12"/>
        <v>0</v>
      </c>
      <c r="Z522" s="12">
        <f t="shared" si="12"/>
        <v>4</v>
      </c>
      <c r="AA522" s="12">
        <f t="shared" si="12"/>
        <v>4</v>
      </c>
      <c r="AB522" s="12">
        <f t="shared" si="12"/>
        <v>4</v>
      </c>
      <c r="AC522" s="12" t="str">
        <f t="shared" si="12"/>
        <v/>
      </c>
      <c r="AD522" s="12">
        <f t="shared" si="12"/>
        <v>4</v>
      </c>
      <c r="AE522" s="12">
        <f t="shared" si="12"/>
        <v>4</v>
      </c>
      <c r="AF522" s="12">
        <f t="shared" si="13"/>
        <v>0</v>
      </c>
      <c r="AG522" s="12">
        <f t="shared" si="13"/>
        <v>0</v>
      </c>
      <c r="AH522" s="12">
        <f t="shared" si="13"/>
        <v>0</v>
      </c>
      <c r="AI522" s="12">
        <f t="shared" si="13"/>
        <v>0</v>
      </c>
      <c r="AJ522" s="12">
        <f t="shared" si="13"/>
        <v>0</v>
      </c>
      <c r="AK522" s="12">
        <f t="shared" si="13"/>
        <v>0</v>
      </c>
      <c r="AL522" s="12">
        <f t="shared" si="13"/>
        <v>0</v>
      </c>
      <c r="AM522" s="12">
        <f t="shared" si="13"/>
        <v>0</v>
      </c>
      <c r="AN522" s="12">
        <f t="shared" si="13"/>
        <v>0</v>
      </c>
      <c r="AO522" s="12">
        <f t="shared" si="13"/>
        <v>0</v>
      </c>
      <c r="AP522" s="12">
        <f t="shared" si="14"/>
        <v>0</v>
      </c>
      <c r="AQ522" s="12">
        <f t="shared" si="14"/>
        <v>0</v>
      </c>
      <c r="AR522" s="12">
        <f t="shared" si="14"/>
        <v>0</v>
      </c>
      <c r="AS522" s="12">
        <f t="shared" si="14"/>
        <v>0</v>
      </c>
      <c r="AT522" s="12">
        <f t="shared" si="14"/>
        <v>0</v>
      </c>
      <c r="AU522" s="12">
        <f t="shared" si="14"/>
        <v>0</v>
      </c>
      <c r="AV522" s="12">
        <f t="shared" si="14"/>
        <v>0</v>
      </c>
      <c r="AW522" s="12">
        <f t="shared" si="14"/>
        <v>0</v>
      </c>
    </row>
    <row r="523" spans="1:49">
      <c r="A523" s="9">
        <v>29</v>
      </c>
      <c r="B523" s="12">
        <f t="shared" si="10"/>
        <v>0</v>
      </c>
      <c r="C523" s="12">
        <f t="shared" si="10"/>
        <v>0</v>
      </c>
      <c r="D523" s="12">
        <f t="shared" si="10"/>
        <v>0</v>
      </c>
      <c r="E523" s="12">
        <f t="shared" si="10"/>
        <v>0</v>
      </c>
      <c r="F523" s="12">
        <f t="shared" si="10"/>
        <v>0</v>
      </c>
      <c r="G523" s="12">
        <f t="shared" si="10"/>
        <v>0</v>
      </c>
      <c r="H523" s="12">
        <f t="shared" si="10"/>
        <v>0</v>
      </c>
      <c r="I523" s="12">
        <f t="shared" si="10"/>
        <v>0</v>
      </c>
      <c r="J523" s="12">
        <f t="shared" si="10"/>
        <v>0</v>
      </c>
      <c r="K523" s="12">
        <f t="shared" si="10"/>
        <v>0</v>
      </c>
      <c r="L523" s="12">
        <f t="shared" si="11"/>
        <v>0</v>
      </c>
      <c r="M523" s="12">
        <f t="shared" si="11"/>
        <v>0</v>
      </c>
      <c r="N523" s="12">
        <f t="shared" si="11"/>
        <v>0</v>
      </c>
      <c r="O523" s="12">
        <f t="shared" si="11"/>
        <v>0</v>
      </c>
      <c r="P523" s="12">
        <f t="shared" si="11"/>
        <v>0</v>
      </c>
      <c r="Q523" s="12">
        <f t="shared" si="11"/>
        <v>0</v>
      </c>
      <c r="R523" s="12">
        <f t="shared" si="11"/>
        <v>0</v>
      </c>
      <c r="S523" s="12">
        <f t="shared" si="11"/>
        <v>0</v>
      </c>
      <c r="T523" s="12">
        <f t="shared" si="11"/>
        <v>0</v>
      </c>
      <c r="U523" s="12">
        <f t="shared" si="11"/>
        <v>0</v>
      </c>
      <c r="V523" s="12">
        <f t="shared" si="12"/>
        <v>0</v>
      </c>
      <c r="W523" s="12">
        <f t="shared" si="12"/>
        <v>0</v>
      </c>
      <c r="X523" s="12">
        <f t="shared" si="12"/>
        <v>0</v>
      </c>
      <c r="Y523" s="12">
        <f t="shared" si="12"/>
        <v>0</v>
      </c>
      <c r="Z523" s="12">
        <f t="shared" si="12"/>
        <v>4</v>
      </c>
      <c r="AA523" s="12">
        <f t="shared" si="12"/>
        <v>4</v>
      </c>
      <c r="AB523" s="12">
        <f t="shared" si="12"/>
        <v>4</v>
      </c>
      <c r="AC523" s="12">
        <f t="shared" si="12"/>
        <v>4</v>
      </c>
      <c r="AD523" s="12" t="str">
        <f t="shared" si="12"/>
        <v/>
      </c>
      <c r="AE523" s="12">
        <f t="shared" si="12"/>
        <v>4</v>
      </c>
      <c r="AF523" s="12">
        <f t="shared" si="13"/>
        <v>0</v>
      </c>
      <c r="AG523" s="12">
        <f t="shared" si="13"/>
        <v>0</v>
      </c>
      <c r="AH523" s="12">
        <f t="shared" si="13"/>
        <v>0</v>
      </c>
      <c r="AI523" s="12">
        <f t="shared" si="13"/>
        <v>0</v>
      </c>
      <c r="AJ523" s="12">
        <f t="shared" si="13"/>
        <v>0</v>
      </c>
      <c r="AK523" s="12">
        <f t="shared" si="13"/>
        <v>0</v>
      </c>
      <c r="AL523" s="12">
        <f t="shared" si="13"/>
        <v>0</v>
      </c>
      <c r="AM523" s="12">
        <f t="shared" si="13"/>
        <v>0</v>
      </c>
      <c r="AN523" s="12">
        <f t="shared" si="13"/>
        <v>0</v>
      </c>
      <c r="AO523" s="12">
        <f t="shared" si="13"/>
        <v>0</v>
      </c>
      <c r="AP523" s="12">
        <f t="shared" si="14"/>
        <v>0</v>
      </c>
      <c r="AQ523" s="12">
        <f t="shared" si="14"/>
        <v>0</v>
      </c>
      <c r="AR523" s="12">
        <f t="shared" si="14"/>
        <v>0</v>
      </c>
      <c r="AS523" s="12">
        <f t="shared" si="14"/>
        <v>0</v>
      </c>
      <c r="AT523" s="12">
        <f t="shared" si="14"/>
        <v>0</v>
      </c>
      <c r="AU523" s="12">
        <f t="shared" si="14"/>
        <v>0</v>
      </c>
      <c r="AV523" s="12">
        <f t="shared" si="14"/>
        <v>0</v>
      </c>
      <c r="AW523" s="12">
        <f t="shared" si="14"/>
        <v>0</v>
      </c>
    </row>
    <row r="524" spans="1:49">
      <c r="A524" s="9">
        <v>30</v>
      </c>
      <c r="B524" s="12">
        <f t="shared" si="10"/>
        <v>0</v>
      </c>
      <c r="C524" s="12">
        <f t="shared" si="10"/>
        <v>0</v>
      </c>
      <c r="D524" s="12">
        <f t="shared" si="10"/>
        <v>0</v>
      </c>
      <c r="E524" s="12">
        <f t="shared" si="10"/>
        <v>0</v>
      </c>
      <c r="F524" s="12">
        <f t="shared" si="10"/>
        <v>0</v>
      </c>
      <c r="G524" s="12">
        <f t="shared" si="10"/>
        <v>0</v>
      </c>
      <c r="H524" s="12">
        <f t="shared" si="10"/>
        <v>0</v>
      </c>
      <c r="I524" s="12">
        <f t="shared" si="10"/>
        <v>0</v>
      </c>
      <c r="J524" s="12">
        <f t="shared" si="10"/>
        <v>0</v>
      </c>
      <c r="K524" s="12">
        <f t="shared" si="10"/>
        <v>0</v>
      </c>
      <c r="L524" s="12">
        <f t="shared" si="11"/>
        <v>0</v>
      </c>
      <c r="M524" s="12">
        <f t="shared" si="11"/>
        <v>0</v>
      </c>
      <c r="N524" s="12">
        <f t="shared" si="11"/>
        <v>0</v>
      </c>
      <c r="O524" s="12">
        <f t="shared" si="11"/>
        <v>0</v>
      </c>
      <c r="P524" s="12">
        <f t="shared" si="11"/>
        <v>0</v>
      </c>
      <c r="Q524" s="12">
        <f t="shared" si="11"/>
        <v>0</v>
      </c>
      <c r="R524" s="12">
        <f t="shared" si="11"/>
        <v>0</v>
      </c>
      <c r="S524" s="12">
        <f t="shared" si="11"/>
        <v>0</v>
      </c>
      <c r="T524" s="12">
        <f t="shared" si="11"/>
        <v>0</v>
      </c>
      <c r="U524" s="12">
        <f t="shared" si="11"/>
        <v>0</v>
      </c>
      <c r="V524" s="12">
        <f t="shared" si="12"/>
        <v>0</v>
      </c>
      <c r="W524" s="12">
        <f t="shared" si="12"/>
        <v>0</v>
      </c>
      <c r="X524" s="12">
        <f t="shared" si="12"/>
        <v>0</v>
      </c>
      <c r="Y524" s="12">
        <f t="shared" si="12"/>
        <v>0</v>
      </c>
      <c r="Z524" s="12">
        <f t="shared" si="12"/>
        <v>4</v>
      </c>
      <c r="AA524" s="12">
        <f t="shared" si="12"/>
        <v>4</v>
      </c>
      <c r="AB524" s="12">
        <f t="shared" si="12"/>
        <v>4</v>
      </c>
      <c r="AC524" s="12">
        <f t="shared" si="12"/>
        <v>4</v>
      </c>
      <c r="AD524" s="12">
        <f t="shared" si="12"/>
        <v>4</v>
      </c>
      <c r="AE524" s="12" t="str">
        <f t="shared" si="12"/>
        <v/>
      </c>
      <c r="AF524" s="12">
        <f t="shared" si="13"/>
        <v>0</v>
      </c>
      <c r="AG524" s="12">
        <f t="shared" si="13"/>
        <v>0</v>
      </c>
      <c r="AH524" s="12">
        <f t="shared" si="13"/>
        <v>0</v>
      </c>
      <c r="AI524" s="12">
        <f t="shared" si="13"/>
        <v>0</v>
      </c>
      <c r="AJ524" s="12">
        <f t="shared" si="13"/>
        <v>0</v>
      </c>
      <c r="AK524" s="12">
        <f t="shared" si="13"/>
        <v>0</v>
      </c>
      <c r="AL524" s="12">
        <f t="shared" si="13"/>
        <v>0</v>
      </c>
      <c r="AM524" s="12">
        <f t="shared" si="13"/>
        <v>0</v>
      </c>
      <c r="AN524" s="12">
        <f t="shared" si="13"/>
        <v>0</v>
      </c>
      <c r="AO524" s="12">
        <f t="shared" si="13"/>
        <v>0</v>
      </c>
      <c r="AP524" s="12">
        <f t="shared" si="14"/>
        <v>0</v>
      </c>
      <c r="AQ524" s="12">
        <f t="shared" si="14"/>
        <v>0</v>
      </c>
      <c r="AR524" s="12">
        <f t="shared" si="14"/>
        <v>0</v>
      </c>
      <c r="AS524" s="12">
        <f t="shared" si="14"/>
        <v>0</v>
      </c>
      <c r="AT524" s="12">
        <f t="shared" si="14"/>
        <v>0</v>
      </c>
      <c r="AU524" s="12">
        <f t="shared" si="14"/>
        <v>0</v>
      </c>
      <c r="AV524" s="12">
        <f t="shared" si="14"/>
        <v>0</v>
      </c>
      <c r="AW524" s="12">
        <f t="shared" si="14"/>
        <v>0</v>
      </c>
    </row>
    <row r="525" spans="1:49">
      <c r="A525" s="9">
        <v>31</v>
      </c>
      <c r="B525" s="12">
        <f t="shared" ref="B525:K534" si="15">IF($A525=B$494,"",COUNTIF($E$4:$E$490,$A525&amp;" ضد "&amp;B$494)+COUNTIF($E$4:$E$490,B$494&amp;" ضد "&amp;$A525))</f>
        <v>0</v>
      </c>
      <c r="C525" s="12">
        <f t="shared" si="15"/>
        <v>0</v>
      </c>
      <c r="D525" s="12">
        <f t="shared" si="15"/>
        <v>0</v>
      </c>
      <c r="E525" s="12">
        <f t="shared" si="15"/>
        <v>0</v>
      </c>
      <c r="F525" s="12">
        <f t="shared" si="15"/>
        <v>0</v>
      </c>
      <c r="G525" s="12">
        <f t="shared" si="15"/>
        <v>0</v>
      </c>
      <c r="H525" s="12">
        <f t="shared" si="15"/>
        <v>0</v>
      </c>
      <c r="I525" s="12">
        <f t="shared" si="15"/>
        <v>0</v>
      </c>
      <c r="J525" s="12">
        <f t="shared" si="15"/>
        <v>0</v>
      </c>
      <c r="K525" s="12">
        <f t="shared" si="15"/>
        <v>0</v>
      </c>
      <c r="L525" s="12">
        <f t="shared" ref="L525:U534" si="16">IF($A525=L$494,"",COUNTIF($E$4:$E$490,$A525&amp;" ضد "&amp;L$494)+COUNTIF($E$4:$E$490,L$494&amp;" ضد "&amp;$A525))</f>
        <v>0</v>
      </c>
      <c r="M525" s="12">
        <f t="shared" si="16"/>
        <v>0</v>
      </c>
      <c r="N525" s="12">
        <f t="shared" si="16"/>
        <v>0</v>
      </c>
      <c r="O525" s="12">
        <f t="shared" si="16"/>
        <v>0</v>
      </c>
      <c r="P525" s="12">
        <f t="shared" si="16"/>
        <v>0</v>
      </c>
      <c r="Q525" s="12">
        <f t="shared" si="16"/>
        <v>0</v>
      </c>
      <c r="R525" s="12">
        <f t="shared" si="16"/>
        <v>0</v>
      </c>
      <c r="S525" s="12">
        <f t="shared" si="16"/>
        <v>0</v>
      </c>
      <c r="T525" s="12">
        <f t="shared" si="16"/>
        <v>0</v>
      </c>
      <c r="U525" s="12">
        <f t="shared" si="16"/>
        <v>0</v>
      </c>
      <c r="V525" s="12">
        <f t="shared" ref="V525:AE534" si="17">IF($A525=V$494,"",COUNTIF($E$4:$E$490,$A525&amp;" ضد "&amp;V$494)+COUNTIF($E$4:$E$490,V$494&amp;" ضد "&amp;$A525))</f>
        <v>0</v>
      </c>
      <c r="W525" s="12">
        <f t="shared" si="17"/>
        <v>0</v>
      </c>
      <c r="X525" s="12">
        <f t="shared" si="17"/>
        <v>0</v>
      </c>
      <c r="Y525" s="12">
        <f t="shared" si="17"/>
        <v>0</v>
      </c>
      <c r="Z525" s="12">
        <f t="shared" si="17"/>
        <v>0</v>
      </c>
      <c r="AA525" s="12">
        <f t="shared" si="17"/>
        <v>0</v>
      </c>
      <c r="AB525" s="12">
        <f t="shared" si="17"/>
        <v>0</v>
      </c>
      <c r="AC525" s="12">
        <f t="shared" si="17"/>
        <v>0</v>
      </c>
      <c r="AD525" s="12">
        <f t="shared" si="17"/>
        <v>0</v>
      </c>
      <c r="AE525" s="12">
        <f t="shared" si="17"/>
        <v>0</v>
      </c>
      <c r="AF525" s="12" t="str">
        <f t="shared" ref="AF525:AO534" si="18">IF($A525=AF$494,"",COUNTIF($E$4:$E$490,$A525&amp;" ضد "&amp;AF$494)+COUNTIF($E$4:$E$490,AF$494&amp;" ضد "&amp;$A525))</f>
        <v/>
      </c>
      <c r="AG525" s="12">
        <f t="shared" si="18"/>
        <v>4</v>
      </c>
      <c r="AH525" s="12">
        <f t="shared" si="18"/>
        <v>4</v>
      </c>
      <c r="AI525" s="12">
        <f t="shared" si="18"/>
        <v>4</v>
      </c>
      <c r="AJ525" s="12">
        <f t="shared" si="18"/>
        <v>4</v>
      </c>
      <c r="AK525" s="12">
        <f t="shared" si="18"/>
        <v>4</v>
      </c>
      <c r="AL525" s="12">
        <f t="shared" si="18"/>
        <v>0</v>
      </c>
      <c r="AM525" s="12">
        <f t="shared" si="18"/>
        <v>0</v>
      </c>
      <c r="AN525" s="12">
        <f t="shared" si="18"/>
        <v>0</v>
      </c>
      <c r="AO525" s="12">
        <f t="shared" si="18"/>
        <v>0</v>
      </c>
      <c r="AP525" s="12">
        <f t="shared" ref="AP525:AW534" si="19">IF($A525=AP$494,"",COUNTIF($E$4:$E$490,$A525&amp;" ضد "&amp;AP$494)+COUNTIF($E$4:$E$490,AP$494&amp;" ضد "&amp;$A525))</f>
        <v>0</v>
      </c>
      <c r="AQ525" s="12">
        <f t="shared" si="19"/>
        <v>0</v>
      </c>
      <c r="AR525" s="12">
        <f t="shared" si="19"/>
        <v>0</v>
      </c>
      <c r="AS525" s="12">
        <f t="shared" si="19"/>
        <v>0</v>
      </c>
      <c r="AT525" s="12">
        <f t="shared" si="19"/>
        <v>0</v>
      </c>
      <c r="AU525" s="12">
        <f t="shared" si="19"/>
        <v>0</v>
      </c>
      <c r="AV525" s="12">
        <f t="shared" si="19"/>
        <v>0</v>
      </c>
      <c r="AW525" s="12">
        <f t="shared" si="19"/>
        <v>0</v>
      </c>
    </row>
    <row r="526" spans="1:49">
      <c r="A526" s="9">
        <v>32</v>
      </c>
      <c r="B526" s="12">
        <f t="shared" si="15"/>
        <v>0</v>
      </c>
      <c r="C526" s="12">
        <f t="shared" si="15"/>
        <v>0</v>
      </c>
      <c r="D526" s="12">
        <f t="shared" si="15"/>
        <v>0</v>
      </c>
      <c r="E526" s="12">
        <f t="shared" si="15"/>
        <v>0</v>
      </c>
      <c r="F526" s="12">
        <f t="shared" si="15"/>
        <v>0</v>
      </c>
      <c r="G526" s="12">
        <f t="shared" si="15"/>
        <v>0</v>
      </c>
      <c r="H526" s="12">
        <f t="shared" si="15"/>
        <v>0</v>
      </c>
      <c r="I526" s="12">
        <f t="shared" si="15"/>
        <v>0</v>
      </c>
      <c r="J526" s="12">
        <f t="shared" si="15"/>
        <v>0</v>
      </c>
      <c r="K526" s="12">
        <f t="shared" si="15"/>
        <v>0</v>
      </c>
      <c r="L526" s="12">
        <f t="shared" si="16"/>
        <v>0</v>
      </c>
      <c r="M526" s="12">
        <f t="shared" si="16"/>
        <v>0</v>
      </c>
      <c r="N526" s="12">
        <f t="shared" si="16"/>
        <v>0</v>
      </c>
      <c r="O526" s="12">
        <f t="shared" si="16"/>
        <v>0</v>
      </c>
      <c r="P526" s="12">
        <f t="shared" si="16"/>
        <v>0</v>
      </c>
      <c r="Q526" s="12">
        <f t="shared" si="16"/>
        <v>0</v>
      </c>
      <c r="R526" s="12">
        <f t="shared" si="16"/>
        <v>0</v>
      </c>
      <c r="S526" s="12">
        <f t="shared" si="16"/>
        <v>0</v>
      </c>
      <c r="T526" s="12">
        <f t="shared" si="16"/>
        <v>0</v>
      </c>
      <c r="U526" s="12">
        <f t="shared" si="16"/>
        <v>0</v>
      </c>
      <c r="V526" s="12">
        <f t="shared" si="17"/>
        <v>0</v>
      </c>
      <c r="W526" s="12">
        <f t="shared" si="17"/>
        <v>0</v>
      </c>
      <c r="X526" s="12">
        <f t="shared" si="17"/>
        <v>0</v>
      </c>
      <c r="Y526" s="12">
        <f t="shared" si="17"/>
        <v>0</v>
      </c>
      <c r="Z526" s="12">
        <f t="shared" si="17"/>
        <v>0</v>
      </c>
      <c r="AA526" s="12">
        <f t="shared" si="17"/>
        <v>0</v>
      </c>
      <c r="AB526" s="12">
        <f t="shared" si="17"/>
        <v>0</v>
      </c>
      <c r="AC526" s="12">
        <f t="shared" si="17"/>
        <v>0</v>
      </c>
      <c r="AD526" s="12">
        <f t="shared" si="17"/>
        <v>0</v>
      </c>
      <c r="AE526" s="12">
        <f t="shared" si="17"/>
        <v>0</v>
      </c>
      <c r="AF526" s="12">
        <f t="shared" si="18"/>
        <v>4</v>
      </c>
      <c r="AG526" s="12" t="str">
        <f t="shared" si="18"/>
        <v/>
      </c>
      <c r="AH526" s="12">
        <f t="shared" si="18"/>
        <v>4</v>
      </c>
      <c r="AI526" s="12">
        <f t="shared" si="18"/>
        <v>4</v>
      </c>
      <c r="AJ526" s="12">
        <f t="shared" si="18"/>
        <v>4</v>
      </c>
      <c r="AK526" s="12">
        <f t="shared" si="18"/>
        <v>4</v>
      </c>
      <c r="AL526" s="12">
        <f t="shared" si="18"/>
        <v>0</v>
      </c>
      <c r="AM526" s="12">
        <f t="shared" si="18"/>
        <v>0</v>
      </c>
      <c r="AN526" s="12">
        <f t="shared" si="18"/>
        <v>0</v>
      </c>
      <c r="AO526" s="12">
        <f t="shared" si="18"/>
        <v>0</v>
      </c>
      <c r="AP526" s="12">
        <f t="shared" si="19"/>
        <v>0</v>
      </c>
      <c r="AQ526" s="12">
        <f t="shared" si="19"/>
        <v>0</v>
      </c>
      <c r="AR526" s="12">
        <f t="shared" si="19"/>
        <v>0</v>
      </c>
      <c r="AS526" s="12">
        <f t="shared" si="19"/>
        <v>0</v>
      </c>
      <c r="AT526" s="12">
        <f t="shared" si="19"/>
        <v>0</v>
      </c>
      <c r="AU526" s="12">
        <f t="shared" si="19"/>
        <v>0</v>
      </c>
      <c r="AV526" s="12">
        <f t="shared" si="19"/>
        <v>0</v>
      </c>
      <c r="AW526" s="12">
        <f t="shared" si="19"/>
        <v>0</v>
      </c>
    </row>
    <row r="527" spans="1:49">
      <c r="A527" s="9">
        <v>33</v>
      </c>
      <c r="B527" s="12">
        <f t="shared" si="15"/>
        <v>0</v>
      </c>
      <c r="C527" s="12">
        <f t="shared" si="15"/>
        <v>0</v>
      </c>
      <c r="D527" s="12">
        <f t="shared" si="15"/>
        <v>0</v>
      </c>
      <c r="E527" s="12">
        <f t="shared" si="15"/>
        <v>0</v>
      </c>
      <c r="F527" s="12">
        <f t="shared" si="15"/>
        <v>0</v>
      </c>
      <c r="G527" s="12">
        <f t="shared" si="15"/>
        <v>0</v>
      </c>
      <c r="H527" s="12">
        <f t="shared" si="15"/>
        <v>0</v>
      </c>
      <c r="I527" s="12">
        <f t="shared" si="15"/>
        <v>0</v>
      </c>
      <c r="J527" s="12">
        <f t="shared" si="15"/>
        <v>0</v>
      </c>
      <c r="K527" s="12">
        <f t="shared" si="15"/>
        <v>0</v>
      </c>
      <c r="L527" s="12">
        <f t="shared" si="16"/>
        <v>0</v>
      </c>
      <c r="M527" s="12">
        <f t="shared" si="16"/>
        <v>0</v>
      </c>
      <c r="N527" s="12">
        <f t="shared" si="16"/>
        <v>0</v>
      </c>
      <c r="O527" s="12">
        <f t="shared" si="16"/>
        <v>0</v>
      </c>
      <c r="P527" s="12">
        <f t="shared" si="16"/>
        <v>0</v>
      </c>
      <c r="Q527" s="12">
        <f t="shared" si="16"/>
        <v>0</v>
      </c>
      <c r="R527" s="12">
        <f t="shared" si="16"/>
        <v>0</v>
      </c>
      <c r="S527" s="12">
        <f t="shared" si="16"/>
        <v>0</v>
      </c>
      <c r="T527" s="12">
        <f t="shared" si="16"/>
        <v>0</v>
      </c>
      <c r="U527" s="12">
        <f t="shared" si="16"/>
        <v>0</v>
      </c>
      <c r="V527" s="12">
        <f t="shared" si="17"/>
        <v>0</v>
      </c>
      <c r="W527" s="12">
        <f t="shared" si="17"/>
        <v>0</v>
      </c>
      <c r="X527" s="12">
        <f t="shared" si="17"/>
        <v>0</v>
      </c>
      <c r="Y527" s="12">
        <f t="shared" si="17"/>
        <v>0</v>
      </c>
      <c r="Z527" s="12">
        <f t="shared" si="17"/>
        <v>0</v>
      </c>
      <c r="AA527" s="12">
        <f t="shared" si="17"/>
        <v>0</v>
      </c>
      <c r="AB527" s="12">
        <f t="shared" si="17"/>
        <v>0</v>
      </c>
      <c r="AC527" s="12">
        <f t="shared" si="17"/>
        <v>0</v>
      </c>
      <c r="AD527" s="12">
        <f t="shared" si="17"/>
        <v>0</v>
      </c>
      <c r="AE527" s="12">
        <f t="shared" si="17"/>
        <v>0</v>
      </c>
      <c r="AF527" s="12">
        <f t="shared" si="18"/>
        <v>4</v>
      </c>
      <c r="AG527" s="12">
        <f t="shared" si="18"/>
        <v>4</v>
      </c>
      <c r="AH527" s="12" t="str">
        <f t="shared" si="18"/>
        <v/>
      </c>
      <c r="AI527" s="12">
        <f t="shared" si="18"/>
        <v>4</v>
      </c>
      <c r="AJ527" s="12">
        <f t="shared" si="18"/>
        <v>4</v>
      </c>
      <c r="AK527" s="12">
        <f t="shared" si="18"/>
        <v>4</v>
      </c>
      <c r="AL527" s="12">
        <f t="shared" si="18"/>
        <v>0</v>
      </c>
      <c r="AM527" s="12">
        <f t="shared" si="18"/>
        <v>0</v>
      </c>
      <c r="AN527" s="12">
        <f t="shared" si="18"/>
        <v>0</v>
      </c>
      <c r="AO527" s="12">
        <f t="shared" si="18"/>
        <v>0</v>
      </c>
      <c r="AP527" s="12">
        <f t="shared" si="19"/>
        <v>0</v>
      </c>
      <c r="AQ527" s="12">
        <f t="shared" si="19"/>
        <v>0</v>
      </c>
      <c r="AR527" s="12">
        <f t="shared" si="19"/>
        <v>0</v>
      </c>
      <c r="AS527" s="12">
        <f t="shared" si="19"/>
        <v>0</v>
      </c>
      <c r="AT527" s="12">
        <f t="shared" si="19"/>
        <v>0</v>
      </c>
      <c r="AU527" s="12">
        <f t="shared" si="19"/>
        <v>0</v>
      </c>
      <c r="AV527" s="12">
        <f t="shared" si="19"/>
        <v>0</v>
      </c>
      <c r="AW527" s="12">
        <f t="shared" si="19"/>
        <v>0</v>
      </c>
    </row>
    <row r="528" spans="1:49">
      <c r="A528" s="9">
        <v>34</v>
      </c>
      <c r="B528" s="12">
        <f t="shared" si="15"/>
        <v>0</v>
      </c>
      <c r="C528" s="12">
        <f t="shared" si="15"/>
        <v>0</v>
      </c>
      <c r="D528" s="12">
        <f t="shared" si="15"/>
        <v>0</v>
      </c>
      <c r="E528" s="12">
        <f t="shared" si="15"/>
        <v>0</v>
      </c>
      <c r="F528" s="12">
        <f t="shared" si="15"/>
        <v>0</v>
      </c>
      <c r="G528" s="12">
        <f t="shared" si="15"/>
        <v>0</v>
      </c>
      <c r="H528" s="12">
        <f t="shared" si="15"/>
        <v>0</v>
      </c>
      <c r="I528" s="12">
        <f t="shared" si="15"/>
        <v>0</v>
      </c>
      <c r="J528" s="12">
        <f t="shared" si="15"/>
        <v>0</v>
      </c>
      <c r="K528" s="12">
        <f t="shared" si="15"/>
        <v>0</v>
      </c>
      <c r="L528" s="12">
        <f t="shared" si="16"/>
        <v>0</v>
      </c>
      <c r="M528" s="12">
        <f t="shared" si="16"/>
        <v>0</v>
      </c>
      <c r="N528" s="12">
        <f t="shared" si="16"/>
        <v>0</v>
      </c>
      <c r="O528" s="12">
        <f t="shared" si="16"/>
        <v>0</v>
      </c>
      <c r="P528" s="12">
        <f t="shared" si="16"/>
        <v>0</v>
      </c>
      <c r="Q528" s="12">
        <f t="shared" si="16"/>
        <v>0</v>
      </c>
      <c r="R528" s="12">
        <f t="shared" si="16"/>
        <v>0</v>
      </c>
      <c r="S528" s="12">
        <f t="shared" si="16"/>
        <v>0</v>
      </c>
      <c r="T528" s="12">
        <f t="shared" si="16"/>
        <v>0</v>
      </c>
      <c r="U528" s="12">
        <f t="shared" si="16"/>
        <v>0</v>
      </c>
      <c r="V528" s="12">
        <f t="shared" si="17"/>
        <v>0</v>
      </c>
      <c r="W528" s="12">
        <f t="shared" si="17"/>
        <v>0</v>
      </c>
      <c r="X528" s="12">
        <f t="shared" si="17"/>
        <v>0</v>
      </c>
      <c r="Y528" s="12">
        <f t="shared" si="17"/>
        <v>0</v>
      </c>
      <c r="Z528" s="12">
        <f t="shared" si="17"/>
        <v>0</v>
      </c>
      <c r="AA528" s="12">
        <f t="shared" si="17"/>
        <v>0</v>
      </c>
      <c r="AB528" s="12">
        <f t="shared" si="17"/>
        <v>0</v>
      </c>
      <c r="AC528" s="12">
        <f t="shared" si="17"/>
        <v>0</v>
      </c>
      <c r="AD528" s="12">
        <f t="shared" si="17"/>
        <v>0</v>
      </c>
      <c r="AE528" s="12">
        <f t="shared" si="17"/>
        <v>0</v>
      </c>
      <c r="AF528" s="12">
        <f t="shared" si="18"/>
        <v>4</v>
      </c>
      <c r="AG528" s="12">
        <f t="shared" si="18"/>
        <v>4</v>
      </c>
      <c r="AH528" s="12">
        <f t="shared" si="18"/>
        <v>4</v>
      </c>
      <c r="AI528" s="12" t="str">
        <f t="shared" si="18"/>
        <v/>
      </c>
      <c r="AJ528" s="12">
        <f t="shared" si="18"/>
        <v>4</v>
      </c>
      <c r="AK528" s="12">
        <f t="shared" si="18"/>
        <v>4</v>
      </c>
      <c r="AL528" s="12">
        <f t="shared" si="18"/>
        <v>0</v>
      </c>
      <c r="AM528" s="12">
        <f t="shared" si="18"/>
        <v>0</v>
      </c>
      <c r="AN528" s="12">
        <f t="shared" si="18"/>
        <v>0</v>
      </c>
      <c r="AO528" s="12">
        <f t="shared" si="18"/>
        <v>0</v>
      </c>
      <c r="AP528" s="12">
        <f t="shared" si="19"/>
        <v>0</v>
      </c>
      <c r="AQ528" s="12">
        <f t="shared" si="19"/>
        <v>0</v>
      </c>
      <c r="AR528" s="12">
        <f t="shared" si="19"/>
        <v>0</v>
      </c>
      <c r="AS528" s="12">
        <f t="shared" si="19"/>
        <v>0</v>
      </c>
      <c r="AT528" s="12">
        <f t="shared" si="19"/>
        <v>0</v>
      </c>
      <c r="AU528" s="12">
        <f t="shared" si="19"/>
        <v>0</v>
      </c>
      <c r="AV528" s="12">
        <f t="shared" si="19"/>
        <v>0</v>
      </c>
      <c r="AW528" s="12">
        <f t="shared" si="19"/>
        <v>0</v>
      </c>
    </row>
    <row r="529" spans="1:49">
      <c r="A529" s="9">
        <v>35</v>
      </c>
      <c r="B529" s="12">
        <f t="shared" si="15"/>
        <v>0</v>
      </c>
      <c r="C529" s="12">
        <f t="shared" si="15"/>
        <v>0</v>
      </c>
      <c r="D529" s="12">
        <f t="shared" si="15"/>
        <v>0</v>
      </c>
      <c r="E529" s="12">
        <f t="shared" si="15"/>
        <v>0</v>
      </c>
      <c r="F529" s="12">
        <f t="shared" si="15"/>
        <v>0</v>
      </c>
      <c r="G529" s="12">
        <f t="shared" si="15"/>
        <v>0</v>
      </c>
      <c r="H529" s="12">
        <f t="shared" si="15"/>
        <v>0</v>
      </c>
      <c r="I529" s="12">
        <f t="shared" si="15"/>
        <v>0</v>
      </c>
      <c r="J529" s="12">
        <f t="shared" si="15"/>
        <v>0</v>
      </c>
      <c r="K529" s="12">
        <f t="shared" si="15"/>
        <v>0</v>
      </c>
      <c r="L529" s="12">
        <f t="shared" si="16"/>
        <v>0</v>
      </c>
      <c r="M529" s="12">
        <f t="shared" si="16"/>
        <v>0</v>
      </c>
      <c r="N529" s="12">
        <f t="shared" si="16"/>
        <v>0</v>
      </c>
      <c r="O529" s="12">
        <f t="shared" si="16"/>
        <v>0</v>
      </c>
      <c r="P529" s="12">
        <f t="shared" si="16"/>
        <v>0</v>
      </c>
      <c r="Q529" s="12">
        <f t="shared" si="16"/>
        <v>0</v>
      </c>
      <c r="R529" s="12">
        <f t="shared" si="16"/>
        <v>0</v>
      </c>
      <c r="S529" s="12">
        <f t="shared" si="16"/>
        <v>0</v>
      </c>
      <c r="T529" s="12">
        <f t="shared" si="16"/>
        <v>0</v>
      </c>
      <c r="U529" s="12">
        <f t="shared" si="16"/>
        <v>0</v>
      </c>
      <c r="V529" s="12">
        <f t="shared" si="17"/>
        <v>0</v>
      </c>
      <c r="W529" s="12">
        <f t="shared" si="17"/>
        <v>0</v>
      </c>
      <c r="X529" s="12">
        <f t="shared" si="17"/>
        <v>0</v>
      </c>
      <c r="Y529" s="12">
        <f t="shared" si="17"/>
        <v>0</v>
      </c>
      <c r="Z529" s="12">
        <f t="shared" si="17"/>
        <v>0</v>
      </c>
      <c r="AA529" s="12">
        <f t="shared" si="17"/>
        <v>0</v>
      </c>
      <c r="AB529" s="12">
        <f t="shared" si="17"/>
        <v>0</v>
      </c>
      <c r="AC529" s="12">
        <f t="shared" si="17"/>
        <v>0</v>
      </c>
      <c r="AD529" s="12">
        <f t="shared" si="17"/>
        <v>0</v>
      </c>
      <c r="AE529" s="12">
        <f t="shared" si="17"/>
        <v>0</v>
      </c>
      <c r="AF529" s="12">
        <f t="shared" si="18"/>
        <v>4</v>
      </c>
      <c r="AG529" s="12">
        <f t="shared" si="18"/>
        <v>4</v>
      </c>
      <c r="AH529" s="12">
        <f t="shared" si="18"/>
        <v>4</v>
      </c>
      <c r="AI529" s="12">
        <f t="shared" si="18"/>
        <v>4</v>
      </c>
      <c r="AJ529" s="12" t="str">
        <f t="shared" si="18"/>
        <v/>
      </c>
      <c r="AK529" s="12">
        <f t="shared" si="18"/>
        <v>4</v>
      </c>
      <c r="AL529" s="12">
        <f t="shared" si="18"/>
        <v>0</v>
      </c>
      <c r="AM529" s="12">
        <f t="shared" si="18"/>
        <v>0</v>
      </c>
      <c r="AN529" s="12">
        <f t="shared" si="18"/>
        <v>0</v>
      </c>
      <c r="AO529" s="12">
        <f t="shared" si="18"/>
        <v>0</v>
      </c>
      <c r="AP529" s="12">
        <f t="shared" si="19"/>
        <v>0</v>
      </c>
      <c r="AQ529" s="12">
        <f t="shared" si="19"/>
        <v>0</v>
      </c>
      <c r="AR529" s="12">
        <f t="shared" si="19"/>
        <v>0</v>
      </c>
      <c r="AS529" s="12">
        <f t="shared" si="19"/>
        <v>0</v>
      </c>
      <c r="AT529" s="12">
        <f t="shared" si="19"/>
        <v>0</v>
      </c>
      <c r="AU529" s="12">
        <f t="shared" si="19"/>
        <v>0</v>
      </c>
      <c r="AV529" s="12">
        <f t="shared" si="19"/>
        <v>0</v>
      </c>
      <c r="AW529" s="12">
        <f t="shared" si="19"/>
        <v>0</v>
      </c>
    </row>
    <row r="530" spans="1:49">
      <c r="A530" s="9">
        <v>36</v>
      </c>
      <c r="B530" s="12">
        <f t="shared" si="15"/>
        <v>0</v>
      </c>
      <c r="C530" s="12">
        <f t="shared" si="15"/>
        <v>0</v>
      </c>
      <c r="D530" s="12">
        <f t="shared" si="15"/>
        <v>0</v>
      </c>
      <c r="E530" s="12">
        <f t="shared" si="15"/>
        <v>0</v>
      </c>
      <c r="F530" s="12">
        <f t="shared" si="15"/>
        <v>0</v>
      </c>
      <c r="G530" s="12">
        <f t="shared" si="15"/>
        <v>0</v>
      </c>
      <c r="H530" s="12">
        <f t="shared" si="15"/>
        <v>0</v>
      </c>
      <c r="I530" s="12">
        <f t="shared" si="15"/>
        <v>0</v>
      </c>
      <c r="J530" s="12">
        <f t="shared" si="15"/>
        <v>0</v>
      </c>
      <c r="K530" s="12">
        <f t="shared" si="15"/>
        <v>0</v>
      </c>
      <c r="L530" s="12">
        <f t="shared" si="16"/>
        <v>0</v>
      </c>
      <c r="M530" s="12">
        <f t="shared" si="16"/>
        <v>0</v>
      </c>
      <c r="N530" s="12">
        <f t="shared" si="16"/>
        <v>0</v>
      </c>
      <c r="O530" s="12">
        <f t="shared" si="16"/>
        <v>0</v>
      </c>
      <c r="P530" s="12">
        <f t="shared" si="16"/>
        <v>0</v>
      </c>
      <c r="Q530" s="12">
        <f t="shared" si="16"/>
        <v>0</v>
      </c>
      <c r="R530" s="12">
        <f t="shared" si="16"/>
        <v>0</v>
      </c>
      <c r="S530" s="12">
        <f t="shared" si="16"/>
        <v>0</v>
      </c>
      <c r="T530" s="12">
        <f t="shared" si="16"/>
        <v>0</v>
      </c>
      <c r="U530" s="12">
        <f t="shared" si="16"/>
        <v>0</v>
      </c>
      <c r="V530" s="12">
        <f t="shared" si="17"/>
        <v>0</v>
      </c>
      <c r="W530" s="12">
        <f t="shared" si="17"/>
        <v>0</v>
      </c>
      <c r="X530" s="12">
        <f t="shared" si="17"/>
        <v>0</v>
      </c>
      <c r="Y530" s="12">
        <f t="shared" si="17"/>
        <v>0</v>
      </c>
      <c r="Z530" s="12">
        <f t="shared" si="17"/>
        <v>0</v>
      </c>
      <c r="AA530" s="12">
        <f t="shared" si="17"/>
        <v>0</v>
      </c>
      <c r="AB530" s="12">
        <f t="shared" si="17"/>
        <v>0</v>
      </c>
      <c r="AC530" s="12">
        <f t="shared" si="17"/>
        <v>0</v>
      </c>
      <c r="AD530" s="12">
        <f t="shared" si="17"/>
        <v>0</v>
      </c>
      <c r="AE530" s="12">
        <f t="shared" si="17"/>
        <v>0</v>
      </c>
      <c r="AF530" s="12">
        <f t="shared" si="18"/>
        <v>4</v>
      </c>
      <c r="AG530" s="12">
        <f t="shared" si="18"/>
        <v>4</v>
      </c>
      <c r="AH530" s="12">
        <f t="shared" si="18"/>
        <v>4</v>
      </c>
      <c r="AI530" s="12">
        <f t="shared" si="18"/>
        <v>4</v>
      </c>
      <c r="AJ530" s="12">
        <f t="shared" si="18"/>
        <v>4</v>
      </c>
      <c r="AK530" s="12" t="str">
        <f t="shared" si="18"/>
        <v/>
      </c>
      <c r="AL530" s="12">
        <f t="shared" si="18"/>
        <v>0</v>
      </c>
      <c r="AM530" s="12">
        <f t="shared" si="18"/>
        <v>0</v>
      </c>
      <c r="AN530" s="12">
        <f t="shared" si="18"/>
        <v>0</v>
      </c>
      <c r="AO530" s="12">
        <f t="shared" si="18"/>
        <v>0</v>
      </c>
      <c r="AP530" s="12">
        <f t="shared" si="19"/>
        <v>0</v>
      </c>
      <c r="AQ530" s="12">
        <f t="shared" si="19"/>
        <v>0</v>
      </c>
      <c r="AR530" s="12">
        <f t="shared" si="19"/>
        <v>0</v>
      </c>
      <c r="AS530" s="12">
        <f t="shared" si="19"/>
        <v>0</v>
      </c>
      <c r="AT530" s="12">
        <f t="shared" si="19"/>
        <v>0</v>
      </c>
      <c r="AU530" s="12">
        <f t="shared" si="19"/>
        <v>0</v>
      </c>
      <c r="AV530" s="12">
        <f t="shared" si="19"/>
        <v>0</v>
      </c>
      <c r="AW530" s="12">
        <f t="shared" si="19"/>
        <v>0</v>
      </c>
    </row>
    <row r="531" spans="1:49">
      <c r="A531" s="9">
        <v>37</v>
      </c>
      <c r="B531" s="12">
        <f t="shared" si="15"/>
        <v>0</v>
      </c>
      <c r="C531" s="12">
        <f t="shared" si="15"/>
        <v>0</v>
      </c>
      <c r="D531" s="12">
        <f t="shared" si="15"/>
        <v>0</v>
      </c>
      <c r="E531" s="12">
        <f t="shared" si="15"/>
        <v>0</v>
      </c>
      <c r="F531" s="12">
        <f t="shared" si="15"/>
        <v>0</v>
      </c>
      <c r="G531" s="12">
        <f t="shared" si="15"/>
        <v>0</v>
      </c>
      <c r="H531" s="12">
        <f t="shared" si="15"/>
        <v>0</v>
      </c>
      <c r="I531" s="12">
        <f t="shared" si="15"/>
        <v>0</v>
      </c>
      <c r="J531" s="12">
        <f t="shared" si="15"/>
        <v>0</v>
      </c>
      <c r="K531" s="12">
        <f t="shared" si="15"/>
        <v>0</v>
      </c>
      <c r="L531" s="12">
        <f t="shared" si="16"/>
        <v>0</v>
      </c>
      <c r="M531" s="12">
        <f t="shared" si="16"/>
        <v>0</v>
      </c>
      <c r="N531" s="12">
        <f t="shared" si="16"/>
        <v>0</v>
      </c>
      <c r="O531" s="12">
        <f t="shared" si="16"/>
        <v>0</v>
      </c>
      <c r="P531" s="12">
        <f t="shared" si="16"/>
        <v>0</v>
      </c>
      <c r="Q531" s="12">
        <f t="shared" si="16"/>
        <v>0</v>
      </c>
      <c r="R531" s="12">
        <f t="shared" si="16"/>
        <v>0</v>
      </c>
      <c r="S531" s="12">
        <f t="shared" si="16"/>
        <v>0</v>
      </c>
      <c r="T531" s="12">
        <f t="shared" si="16"/>
        <v>0</v>
      </c>
      <c r="U531" s="12">
        <f t="shared" si="16"/>
        <v>0</v>
      </c>
      <c r="V531" s="12">
        <f t="shared" si="17"/>
        <v>0</v>
      </c>
      <c r="W531" s="12">
        <f t="shared" si="17"/>
        <v>0</v>
      </c>
      <c r="X531" s="12">
        <f t="shared" si="17"/>
        <v>0</v>
      </c>
      <c r="Y531" s="12">
        <f t="shared" si="17"/>
        <v>0</v>
      </c>
      <c r="Z531" s="12">
        <f t="shared" si="17"/>
        <v>0</v>
      </c>
      <c r="AA531" s="12">
        <f t="shared" si="17"/>
        <v>0</v>
      </c>
      <c r="AB531" s="12">
        <f t="shared" si="17"/>
        <v>0</v>
      </c>
      <c r="AC531" s="12">
        <f t="shared" si="17"/>
        <v>0</v>
      </c>
      <c r="AD531" s="12">
        <f t="shared" si="17"/>
        <v>0</v>
      </c>
      <c r="AE531" s="12">
        <f t="shared" si="17"/>
        <v>0</v>
      </c>
      <c r="AF531" s="12">
        <f t="shared" si="18"/>
        <v>0</v>
      </c>
      <c r="AG531" s="12">
        <f t="shared" si="18"/>
        <v>0</v>
      </c>
      <c r="AH531" s="12">
        <f t="shared" si="18"/>
        <v>0</v>
      </c>
      <c r="AI531" s="12">
        <f t="shared" si="18"/>
        <v>0</v>
      </c>
      <c r="AJ531" s="12">
        <f t="shared" si="18"/>
        <v>0</v>
      </c>
      <c r="AK531" s="12">
        <f t="shared" si="18"/>
        <v>0</v>
      </c>
      <c r="AL531" s="12" t="str">
        <f t="shared" si="18"/>
        <v/>
      </c>
      <c r="AM531" s="12">
        <f t="shared" si="18"/>
        <v>4</v>
      </c>
      <c r="AN531" s="12">
        <f t="shared" si="18"/>
        <v>4</v>
      </c>
      <c r="AO531" s="12">
        <f t="shared" si="18"/>
        <v>4</v>
      </c>
      <c r="AP531" s="12">
        <f t="shared" si="19"/>
        <v>4</v>
      </c>
      <c r="AQ531" s="12">
        <f t="shared" si="19"/>
        <v>4</v>
      </c>
      <c r="AR531" s="12">
        <f t="shared" si="19"/>
        <v>0</v>
      </c>
      <c r="AS531" s="12">
        <f t="shared" si="19"/>
        <v>0</v>
      </c>
      <c r="AT531" s="12">
        <f t="shared" si="19"/>
        <v>0</v>
      </c>
      <c r="AU531" s="12">
        <f t="shared" si="19"/>
        <v>0</v>
      </c>
      <c r="AV531" s="12">
        <f t="shared" si="19"/>
        <v>0</v>
      </c>
      <c r="AW531" s="12">
        <f t="shared" si="19"/>
        <v>0</v>
      </c>
    </row>
    <row r="532" spans="1:49">
      <c r="A532" s="9">
        <v>38</v>
      </c>
      <c r="B532" s="12">
        <f t="shared" si="15"/>
        <v>0</v>
      </c>
      <c r="C532" s="12">
        <f t="shared" si="15"/>
        <v>0</v>
      </c>
      <c r="D532" s="12">
        <f t="shared" si="15"/>
        <v>0</v>
      </c>
      <c r="E532" s="12">
        <f t="shared" si="15"/>
        <v>0</v>
      </c>
      <c r="F532" s="12">
        <f t="shared" si="15"/>
        <v>0</v>
      </c>
      <c r="G532" s="12">
        <f t="shared" si="15"/>
        <v>0</v>
      </c>
      <c r="H532" s="12">
        <f t="shared" si="15"/>
        <v>0</v>
      </c>
      <c r="I532" s="12">
        <f t="shared" si="15"/>
        <v>0</v>
      </c>
      <c r="J532" s="12">
        <f t="shared" si="15"/>
        <v>0</v>
      </c>
      <c r="K532" s="12">
        <f t="shared" si="15"/>
        <v>0</v>
      </c>
      <c r="L532" s="12">
        <f t="shared" si="16"/>
        <v>0</v>
      </c>
      <c r="M532" s="12">
        <f t="shared" si="16"/>
        <v>0</v>
      </c>
      <c r="N532" s="12">
        <f t="shared" si="16"/>
        <v>0</v>
      </c>
      <c r="O532" s="12">
        <f t="shared" si="16"/>
        <v>0</v>
      </c>
      <c r="P532" s="12">
        <f t="shared" si="16"/>
        <v>0</v>
      </c>
      <c r="Q532" s="12">
        <f t="shared" si="16"/>
        <v>0</v>
      </c>
      <c r="R532" s="12">
        <f t="shared" si="16"/>
        <v>0</v>
      </c>
      <c r="S532" s="12">
        <f t="shared" si="16"/>
        <v>0</v>
      </c>
      <c r="T532" s="12">
        <f t="shared" si="16"/>
        <v>0</v>
      </c>
      <c r="U532" s="12">
        <f t="shared" si="16"/>
        <v>0</v>
      </c>
      <c r="V532" s="12">
        <f t="shared" si="17"/>
        <v>0</v>
      </c>
      <c r="W532" s="12">
        <f t="shared" si="17"/>
        <v>0</v>
      </c>
      <c r="X532" s="12">
        <f t="shared" si="17"/>
        <v>0</v>
      </c>
      <c r="Y532" s="12">
        <f t="shared" si="17"/>
        <v>0</v>
      </c>
      <c r="Z532" s="12">
        <f t="shared" si="17"/>
        <v>0</v>
      </c>
      <c r="AA532" s="12">
        <f t="shared" si="17"/>
        <v>0</v>
      </c>
      <c r="AB532" s="12">
        <f t="shared" si="17"/>
        <v>0</v>
      </c>
      <c r="AC532" s="12">
        <f t="shared" si="17"/>
        <v>0</v>
      </c>
      <c r="AD532" s="12">
        <f t="shared" si="17"/>
        <v>0</v>
      </c>
      <c r="AE532" s="12">
        <f t="shared" si="17"/>
        <v>0</v>
      </c>
      <c r="AF532" s="12">
        <f t="shared" si="18"/>
        <v>0</v>
      </c>
      <c r="AG532" s="12">
        <f t="shared" si="18"/>
        <v>0</v>
      </c>
      <c r="AH532" s="12">
        <f t="shared" si="18"/>
        <v>0</v>
      </c>
      <c r="AI532" s="12">
        <f t="shared" si="18"/>
        <v>0</v>
      </c>
      <c r="AJ532" s="12">
        <f t="shared" si="18"/>
        <v>0</v>
      </c>
      <c r="AK532" s="12">
        <f t="shared" si="18"/>
        <v>0</v>
      </c>
      <c r="AL532" s="12">
        <f t="shared" si="18"/>
        <v>4</v>
      </c>
      <c r="AM532" s="12" t="str">
        <f t="shared" si="18"/>
        <v/>
      </c>
      <c r="AN532" s="12">
        <f t="shared" si="18"/>
        <v>4</v>
      </c>
      <c r="AO532" s="12">
        <f t="shared" si="18"/>
        <v>4</v>
      </c>
      <c r="AP532" s="12">
        <f t="shared" si="19"/>
        <v>4</v>
      </c>
      <c r="AQ532" s="12">
        <f t="shared" si="19"/>
        <v>4</v>
      </c>
      <c r="AR532" s="12">
        <f t="shared" si="19"/>
        <v>0</v>
      </c>
      <c r="AS532" s="12">
        <f t="shared" si="19"/>
        <v>0</v>
      </c>
      <c r="AT532" s="12">
        <f t="shared" si="19"/>
        <v>0</v>
      </c>
      <c r="AU532" s="12">
        <f t="shared" si="19"/>
        <v>0</v>
      </c>
      <c r="AV532" s="12">
        <f t="shared" si="19"/>
        <v>0</v>
      </c>
      <c r="AW532" s="12">
        <f t="shared" si="19"/>
        <v>0</v>
      </c>
    </row>
    <row r="533" spans="1:49">
      <c r="A533" s="9">
        <v>39</v>
      </c>
      <c r="B533" s="12">
        <f t="shared" si="15"/>
        <v>0</v>
      </c>
      <c r="C533" s="12">
        <f t="shared" si="15"/>
        <v>0</v>
      </c>
      <c r="D533" s="12">
        <f t="shared" si="15"/>
        <v>0</v>
      </c>
      <c r="E533" s="12">
        <f t="shared" si="15"/>
        <v>0</v>
      </c>
      <c r="F533" s="12">
        <f t="shared" si="15"/>
        <v>0</v>
      </c>
      <c r="G533" s="12">
        <f t="shared" si="15"/>
        <v>0</v>
      </c>
      <c r="H533" s="12">
        <f t="shared" si="15"/>
        <v>0</v>
      </c>
      <c r="I533" s="12">
        <f t="shared" si="15"/>
        <v>0</v>
      </c>
      <c r="J533" s="12">
        <f t="shared" si="15"/>
        <v>0</v>
      </c>
      <c r="K533" s="12">
        <f t="shared" si="15"/>
        <v>0</v>
      </c>
      <c r="L533" s="12">
        <f t="shared" si="16"/>
        <v>0</v>
      </c>
      <c r="M533" s="12">
        <f t="shared" si="16"/>
        <v>0</v>
      </c>
      <c r="N533" s="12">
        <f t="shared" si="16"/>
        <v>0</v>
      </c>
      <c r="O533" s="12">
        <f t="shared" si="16"/>
        <v>0</v>
      </c>
      <c r="P533" s="12">
        <f t="shared" si="16"/>
        <v>0</v>
      </c>
      <c r="Q533" s="12">
        <f t="shared" si="16"/>
        <v>0</v>
      </c>
      <c r="R533" s="12">
        <f t="shared" si="16"/>
        <v>0</v>
      </c>
      <c r="S533" s="12">
        <f t="shared" si="16"/>
        <v>0</v>
      </c>
      <c r="T533" s="12">
        <f t="shared" si="16"/>
        <v>0</v>
      </c>
      <c r="U533" s="12">
        <f t="shared" si="16"/>
        <v>0</v>
      </c>
      <c r="V533" s="12">
        <f t="shared" si="17"/>
        <v>0</v>
      </c>
      <c r="W533" s="12">
        <f t="shared" si="17"/>
        <v>0</v>
      </c>
      <c r="X533" s="12">
        <f t="shared" si="17"/>
        <v>0</v>
      </c>
      <c r="Y533" s="12">
        <f t="shared" si="17"/>
        <v>0</v>
      </c>
      <c r="Z533" s="12">
        <f t="shared" si="17"/>
        <v>0</v>
      </c>
      <c r="AA533" s="12">
        <f t="shared" si="17"/>
        <v>0</v>
      </c>
      <c r="AB533" s="12">
        <f t="shared" si="17"/>
        <v>0</v>
      </c>
      <c r="AC533" s="12">
        <f t="shared" si="17"/>
        <v>0</v>
      </c>
      <c r="AD533" s="12">
        <f t="shared" si="17"/>
        <v>0</v>
      </c>
      <c r="AE533" s="12">
        <f t="shared" si="17"/>
        <v>0</v>
      </c>
      <c r="AF533" s="12">
        <f t="shared" si="18"/>
        <v>0</v>
      </c>
      <c r="AG533" s="12">
        <f t="shared" si="18"/>
        <v>0</v>
      </c>
      <c r="AH533" s="12">
        <f t="shared" si="18"/>
        <v>0</v>
      </c>
      <c r="AI533" s="12">
        <f t="shared" si="18"/>
        <v>0</v>
      </c>
      <c r="AJ533" s="12">
        <f t="shared" si="18"/>
        <v>0</v>
      </c>
      <c r="AK533" s="12">
        <f t="shared" si="18"/>
        <v>0</v>
      </c>
      <c r="AL533" s="12">
        <f t="shared" si="18"/>
        <v>4</v>
      </c>
      <c r="AM533" s="12">
        <f t="shared" si="18"/>
        <v>4</v>
      </c>
      <c r="AN533" s="12" t="str">
        <f t="shared" si="18"/>
        <v/>
      </c>
      <c r="AO533" s="12">
        <f t="shared" si="18"/>
        <v>4</v>
      </c>
      <c r="AP533" s="12">
        <f t="shared" si="19"/>
        <v>4</v>
      </c>
      <c r="AQ533" s="12">
        <f t="shared" si="19"/>
        <v>4</v>
      </c>
      <c r="AR533" s="12">
        <f t="shared" si="19"/>
        <v>0</v>
      </c>
      <c r="AS533" s="12">
        <f t="shared" si="19"/>
        <v>0</v>
      </c>
      <c r="AT533" s="12">
        <f t="shared" si="19"/>
        <v>0</v>
      </c>
      <c r="AU533" s="12">
        <f t="shared" si="19"/>
        <v>0</v>
      </c>
      <c r="AV533" s="12">
        <f t="shared" si="19"/>
        <v>0</v>
      </c>
      <c r="AW533" s="12">
        <f t="shared" si="19"/>
        <v>0</v>
      </c>
    </row>
    <row r="534" spans="1:49">
      <c r="A534" s="9">
        <v>40</v>
      </c>
      <c r="B534" s="12">
        <f t="shared" si="15"/>
        <v>0</v>
      </c>
      <c r="C534" s="12">
        <f t="shared" si="15"/>
        <v>0</v>
      </c>
      <c r="D534" s="12">
        <f t="shared" si="15"/>
        <v>0</v>
      </c>
      <c r="E534" s="12">
        <f t="shared" si="15"/>
        <v>0</v>
      </c>
      <c r="F534" s="12">
        <f t="shared" si="15"/>
        <v>0</v>
      </c>
      <c r="G534" s="12">
        <f t="shared" si="15"/>
        <v>0</v>
      </c>
      <c r="H534" s="12">
        <f t="shared" si="15"/>
        <v>0</v>
      </c>
      <c r="I534" s="12">
        <f t="shared" si="15"/>
        <v>0</v>
      </c>
      <c r="J534" s="12">
        <f t="shared" si="15"/>
        <v>0</v>
      </c>
      <c r="K534" s="12">
        <f t="shared" si="15"/>
        <v>0</v>
      </c>
      <c r="L534" s="12">
        <f t="shared" si="16"/>
        <v>0</v>
      </c>
      <c r="M534" s="12">
        <f t="shared" si="16"/>
        <v>0</v>
      </c>
      <c r="N534" s="12">
        <f t="shared" si="16"/>
        <v>0</v>
      </c>
      <c r="O534" s="12">
        <f t="shared" si="16"/>
        <v>0</v>
      </c>
      <c r="P534" s="12">
        <f t="shared" si="16"/>
        <v>0</v>
      </c>
      <c r="Q534" s="12">
        <f t="shared" si="16"/>
        <v>0</v>
      </c>
      <c r="R534" s="12">
        <f t="shared" si="16"/>
        <v>0</v>
      </c>
      <c r="S534" s="12">
        <f t="shared" si="16"/>
        <v>0</v>
      </c>
      <c r="T534" s="12">
        <f t="shared" si="16"/>
        <v>0</v>
      </c>
      <c r="U534" s="12">
        <f t="shared" si="16"/>
        <v>0</v>
      </c>
      <c r="V534" s="12">
        <f t="shared" si="17"/>
        <v>0</v>
      </c>
      <c r="W534" s="12">
        <f t="shared" si="17"/>
        <v>0</v>
      </c>
      <c r="X534" s="12">
        <f t="shared" si="17"/>
        <v>0</v>
      </c>
      <c r="Y534" s="12">
        <f t="shared" si="17"/>
        <v>0</v>
      </c>
      <c r="Z534" s="12">
        <f t="shared" si="17"/>
        <v>0</v>
      </c>
      <c r="AA534" s="12">
        <f t="shared" si="17"/>
        <v>0</v>
      </c>
      <c r="AB534" s="12">
        <f t="shared" si="17"/>
        <v>0</v>
      </c>
      <c r="AC534" s="12">
        <f t="shared" si="17"/>
        <v>0</v>
      </c>
      <c r="AD534" s="12">
        <f t="shared" si="17"/>
        <v>0</v>
      </c>
      <c r="AE534" s="12">
        <f t="shared" si="17"/>
        <v>0</v>
      </c>
      <c r="AF534" s="12">
        <f t="shared" si="18"/>
        <v>0</v>
      </c>
      <c r="AG534" s="12">
        <f t="shared" si="18"/>
        <v>0</v>
      </c>
      <c r="AH534" s="12">
        <f t="shared" si="18"/>
        <v>0</v>
      </c>
      <c r="AI534" s="12">
        <f t="shared" si="18"/>
        <v>0</v>
      </c>
      <c r="AJ534" s="12">
        <f t="shared" si="18"/>
        <v>0</v>
      </c>
      <c r="AK534" s="12">
        <f t="shared" si="18"/>
        <v>0</v>
      </c>
      <c r="AL534" s="12">
        <f t="shared" si="18"/>
        <v>4</v>
      </c>
      <c r="AM534" s="12">
        <f t="shared" si="18"/>
        <v>4</v>
      </c>
      <c r="AN534" s="12">
        <f t="shared" si="18"/>
        <v>4</v>
      </c>
      <c r="AO534" s="12" t="str">
        <f t="shared" si="18"/>
        <v/>
      </c>
      <c r="AP534" s="12">
        <f t="shared" si="19"/>
        <v>4</v>
      </c>
      <c r="AQ534" s="12">
        <f t="shared" si="19"/>
        <v>4</v>
      </c>
      <c r="AR534" s="12">
        <f t="shared" si="19"/>
        <v>0</v>
      </c>
      <c r="AS534" s="12">
        <f t="shared" si="19"/>
        <v>0</v>
      </c>
      <c r="AT534" s="12">
        <f t="shared" si="19"/>
        <v>0</v>
      </c>
      <c r="AU534" s="12">
        <f t="shared" si="19"/>
        <v>0</v>
      </c>
      <c r="AV534" s="12">
        <f t="shared" si="19"/>
        <v>0</v>
      </c>
      <c r="AW534" s="12">
        <f t="shared" si="19"/>
        <v>0</v>
      </c>
    </row>
    <row r="535" spans="1:49">
      <c r="A535" s="9">
        <v>41</v>
      </c>
      <c r="B535" s="12">
        <f t="shared" ref="B535:K542" si="20">IF($A535=B$494,"",COUNTIF($E$4:$E$490,$A535&amp;" ضد "&amp;B$494)+COUNTIF($E$4:$E$490,B$494&amp;" ضد "&amp;$A535))</f>
        <v>0</v>
      </c>
      <c r="C535" s="12">
        <f t="shared" si="20"/>
        <v>0</v>
      </c>
      <c r="D535" s="12">
        <f t="shared" si="20"/>
        <v>0</v>
      </c>
      <c r="E535" s="12">
        <f t="shared" si="20"/>
        <v>0</v>
      </c>
      <c r="F535" s="12">
        <f t="shared" si="20"/>
        <v>0</v>
      </c>
      <c r="G535" s="12">
        <f t="shared" si="20"/>
        <v>0</v>
      </c>
      <c r="H535" s="12">
        <f t="shared" si="20"/>
        <v>0</v>
      </c>
      <c r="I535" s="12">
        <f t="shared" si="20"/>
        <v>0</v>
      </c>
      <c r="J535" s="12">
        <f t="shared" si="20"/>
        <v>0</v>
      </c>
      <c r="K535" s="12">
        <f t="shared" si="20"/>
        <v>0</v>
      </c>
      <c r="L535" s="12">
        <f t="shared" ref="L535:U542" si="21">IF($A535=L$494,"",COUNTIF($E$4:$E$490,$A535&amp;" ضد "&amp;L$494)+COUNTIF($E$4:$E$490,L$494&amp;" ضد "&amp;$A535))</f>
        <v>0</v>
      </c>
      <c r="M535" s="12">
        <f t="shared" si="21"/>
        <v>0</v>
      </c>
      <c r="N535" s="12">
        <f t="shared" si="21"/>
        <v>0</v>
      </c>
      <c r="O535" s="12">
        <f t="shared" si="21"/>
        <v>0</v>
      </c>
      <c r="P535" s="12">
        <f t="shared" si="21"/>
        <v>0</v>
      </c>
      <c r="Q535" s="12">
        <f t="shared" si="21"/>
        <v>0</v>
      </c>
      <c r="R535" s="12">
        <f t="shared" si="21"/>
        <v>0</v>
      </c>
      <c r="S535" s="12">
        <f t="shared" si="21"/>
        <v>0</v>
      </c>
      <c r="T535" s="12">
        <f t="shared" si="21"/>
        <v>0</v>
      </c>
      <c r="U535" s="12">
        <f t="shared" si="21"/>
        <v>0</v>
      </c>
      <c r="V535" s="12">
        <f t="shared" ref="V535:AE542" si="22">IF($A535=V$494,"",COUNTIF($E$4:$E$490,$A535&amp;" ضد "&amp;V$494)+COUNTIF($E$4:$E$490,V$494&amp;" ضد "&amp;$A535))</f>
        <v>0</v>
      </c>
      <c r="W535" s="12">
        <f t="shared" si="22"/>
        <v>0</v>
      </c>
      <c r="X535" s="12">
        <f t="shared" si="22"/>
        <v>0</v>
      </c>
      <c r="Y535" s="12">
        <f t="shared" si="22"/>
        <v>0</v>
      </c>
      <c r="Z535" s="12">
        <f t="shared" si="22"/>
        <v>0</v>
      </c>
      <c r="AA535" s="12">
        <f t="shared" si="22"/>
        <v>0</v>
      </c>
      <c r="AB535" s="12">
        <f t="shared" si="22"/>
        <v>0</v>
      </c>
      <c r="AC535" s="12">
        <f t="shared" si="22"/>
        <v>0</v>
      </c>
      <c r="AD535" s="12">
        <f t="shared" si="22"/>
        <v>0</v>
      </c>
      <c r="AE535" s="12">
        <f t="shared" si="22"/>
        <v>0</v>
      </c>
      <c r="AF535" s="12">
        <f t="shared" ref="AF535:AO542" si="23">IF($A535=AF$494,"",COUNTIF($E$4:$E$490,$A535&amp;" ضد "&amp;AF$494)+COUNTIF($E$4:$E$490,AF$494&amp;" ضد "&amp;$A535))</f>
        <v>0</v>
      </c>
      <c r="AG535" s="12">
        <f t="shared" si="23"/>
        <v>0</v>
      </c>
      <c r="AH535" s="12">
        <f t="shared" si="23"/>
        <v>0</v>
      </c>
      <c r="AI535" s="12">
        <f t="shared" si="23"/>
        <v>0</v>
      </c>
      <c r="AJ535" s="12">
        <f t="shared" si="23"/>
        <v>0</v>
      </c>
      <c r="AK535" s="12">
        <f t="shared" si="23"/>
        <v>0</v>
      </c>
      <c r="AL535" s="12">
        <f t="shared" si="23"/>
        <v>4</v>
      </c>
      <c r="AM535" s="12">
        <f t="shared" si="23"/>
        <v>4</v>
      </c>
      <c r="AN535" s="12">
        <f t="shared" si="23"/>
        <v>4</v>
      </c>
      <c r="AO535" s="12">
        <f t="shared" si="23"/>
        <v>4</v>
      </c>
      <c r="AP535" s="12" t="str">
        <f t="shared" ref="AP535:AW542" si="24">IF($A535=AP$494,"",COUNTIF($E$4:$E$490,$A535&amp;" ضد "&amp;AP$494)+COUNTIF($E$4:$E$490,AP$494&amp;" ضد "&amp;$A535))</f>
        <v/>
      </c>
      <c r="AQ535" s="12">
        <f t="shared" si="24"/>
        <v>4</v>
      </c>
      <c r="AR535" s="12">
        <f t="shared" si="24"/>
        <v>0</v>
      </c>
      <c r="AS535" s="12">
        <f t="shared" si="24"/>
        <v>0</v>
      </c>
      <c r="AT535" s="12">
        <f t="shared" si="24"/>
        <v>0</v>
      </c>
      <c r="AU535" s="12">
        <f t="shared" si="24"/>
        <v>0</v>
      </c>
      <c r="AV535" s="12">
        <f t="shared" si="24"/>
        <v>0</v>
      </c>
      <c r="AW535" s="12">
        <f t="shared" si="24"/>
        <v>0</v>
      </c>
    </row>
    <row r="536" spans="1:49">
      <c r="A536" s="9">
        <v>42</v>
      </c>
      <c r="B536" s="12">
        <f t="shared" si="20"/>
        <v>0</v>
      </c>
      <c r="C536" s="12">
        <f t="shared" si="20"/>
        <v>0</v>
      </c>
      <c r="D536" s="12">
        <f t="shared" si="20"/>
        <v>0</v>
      </c>
      <c r="E536" s="12">
        <f t="shared" si="20"/>
        <v>0</v>
      </c>
      <c r="F536" s="12">
        <f t="shared" si="20"/>
        <v>0</v>
      </c>
      <c r="G536" s="12">
        <f t="shared" si="20"/>
        <v>0</v>
      </c>
      <c r="H536" s="12">
        <f t="shared" si="20"/>
        <v>0</v>
      </c>
      <c r="I536" s="12">
        <f t="shared" si="20"/>
        <v>0</v>
      </c>
      <c r="J536" s="12">
        <f t="shared" si="20"/>
        <v>0</v>
      </c>
      <c r="K536" s="12">
        <f t="shared" si="20"/>
        <v>0</v>
      </c>
      <c r="L536" s="12">
        <f t="shared" si="21"/>
        <v>0</v>
      </c>
      <c r="M536" s="12">
        <f t="shared" si="21"/>
        <v>0</v>
      </c>
      <c r="N536" s="12">
        <f t="shared" si="21"/>
        <v>0</v>
      </c>
      <c r="O536" s="12">
        <f t="shared" si="21"/>
        <v>0</v>
      </c>
      <c r="P536" s="12">
        <f t="shared" si="21"/>
        <v>0</v>
      </c>
      <c r="Q536" s="12">
        <f t="shared" si="21"/>
        <v>0</v>
      </c>
      <c r="R536" s="12">
        <f t="shared" si="21"/>
        <v>0</v>
      </c>
      <c r="S536" s="12">
        <f t="shared" si="21"/>
        <v>0</v>
      </c>
      <c r="T536" s="12">
        <f t="shared" si="21"/>
        <v>0</v>
      </c>
      <c r="U536" s="12">
        <f t="shared" si="21"/>
        <v>0</v>
      </c>
      <c r="V536" s="12">
        <f t="shared" si="22"/>
        <v>0</v>
      </c>
      <c r="W536" s="12">
        <f t="shared" si="22"/>
        <v>0</v>
      </c>
      <c r="X536" s="12">
        <f t="shared" si="22"/>
        <v>0</v>
      </c>
      <c r="Y536" s="12">
        <f t="shared" si="22"/>
        <v>0</v>
      </c>
      <c r="Z536" s="12">
        <f t="shared" si="22"/>
        <v>0</v>
      </c>
      <c r="AA536" s="12">
        <f t="shared" si="22"/>
        <v>0</v>
      </c>
      <c r="AB536" s="12">
        <f t="shared" si="22"/>
        <v>0</v>
      </c>
      <c r="AC536" s="12">
        <f t="shared" si="22"/>
        <v>0</v>
      </c>
      <c r="AD536" s="12">
        <f t="shared" si="22"/>
        <v>0</v>
      </c>
      <c r="AE536" s="12">
        <f t="shared" si="22"/>
        <v>0</v>
      </c>
      <c r="AF536" s="12">
        <f t="shared" si="23"/>
        <v>0</v>
      </c>
      <c r="AG536" s="12">
        <f t="shared" si="23"/>
        <v>0</v>
      </c>
      <c r="AH536" s="12">
        <f t="shared" si="23"/>
        <v>0</v>
      </c>
      <c r="AI536" s="12">
        <f t="shared" si="23"/>
        <v>0</v>
      </c>
      <c r="AJ536" s="12">
        <f t="shared" si="23"/>
        <v>0</v>
      </c>
      <c r="AK536" s="12">
        <f t="shared" si="23"/>
        <v>0</v>
      </c>
      <c r="AL536" s="12">
        <f t="shared" si="23"/>
        <v>4</v>
      </c>
      <c r="AM536" s="12">
        <f t="shared" si="23"/>
        <v>4</v>
      </c>
      <c r="AN536" s="12">
        <f t="shared" si="23"/>
        <v>4</v>
      </c>
      <c r="AO536" s="12">
        <f t="shared" si="23"/>
        <v>4</v>
      </c>
      <c r="AP536" s="12">
        <f t="shared" si="24"/>
        <v>4</v>
      </c>
      <c r="AQ536" s="12" t="str">
        <f t="shared" si="24"/>
        <v/>
      </c>
      <c r="AR536" s="12">
        <f t="shared" si="24"/>
        <v>0</v>
      </c>
      <c r="AS536" s="12">
        <f t="shared" si="24"/>
        <v>0</v>
      </c>
      <c r="AT536" s="12">
        <f t="shared" si="24"/>
        <v>0</v>
      </c>
      <c r="AU536" s="12">
        <f t="shared" si="24"/>
        <v>0</v>
      </c>
      <c r="AV536" s="12">
        <f t="shared" si="24"/>
        <v>0</v>
      </c>
      <c r="AW536" s="12">
        <f t="shared" si="24"/>
        <v>0</v>
      </c>
    </row>
    <row r="537" spans="1:49">
      <c r="A537" s="9">
        <v>43</v>
      </c>
      <c r="B537" s="12">
        <f t="shared" si="20"/>
        <v>0</v>
      </c>
      <c r="C537" s="12">
        <f t="shared" si="20"/>
        <v>0</v>
      </c>
      <c r="D537" s="12">
        <f t="shared" si="20"/>
        <v>0</v>
      </c>
      <c r="E537" s="12">
        <f t="shared" si="20"/>
        <v>0</v>
      </c>
      <c r="F537" s="12">
        <f t="shared" si="20"/>
        <v>0</v>
      </c>
      <c r="G537" s="12">
        <f t="shared" si="20"/>
        <v>0</v>
      </c>
      <c r="H537" s="12">
        <f t="shared" si="20"/>
        <v>0</v>
      </c>
      <c r="I537" s="12">
        <f t="shared" si="20"/>
        <v>0</v>
      </c>
      <c r="J537" s="12">
        <f t="shared" si="20"/>
        <v>0</v>
      </c>
      <c r="K537" s="12">
        <f t="shared" si="20"/>
        <v>0</v>
      </c>
      <c r="L537" s="12">
        <f t="shared" si="21"/>
        <v>0</v>
      </c>
      <c r="M537" s="12">
        <f t="shared" si="21"/>
        <v>0</v>
      </c>
      <c r="N537" s="12">
        <f t="shared" si="21"/>
        <v>0</v>
      </c>
      <c r="O537" s="12">
        <f t="shared" si="21"/>
        <v>0</v>
      </c>
      <c r="P537" s="12">
        <f t="shared" si="21"/>
        <v>0</v>
      </c>
      <c r="Q537" s="12">
        <f t="shared" si="21"/>
        <v>0</v>
      </c>
      <c r="R537" s="12">
        <f t="shared" si="21"/>
        <v>0</v>
      </c>
      <c r="S537" s="12">
        <f t="shared" si="21"/>
        <v>0</v>
      </c>
      <c r="T537" s="12">
        <f t="shared" si="21"/>
        <v>0</v>
      </c>
      <c r="U537" s="12">
        <f t="shared" si="21"/>
        <v>0</v>
      </c>
      <c r="V537" s="12">
        <f t="shared" si="22"/>
        <v>0</v>
      </c>
      <c r="W537" s="12">
        <f t="shared" si="22"/>
        <v>0</v>
      </c>
      <c r="X537" s="12">
        <f t="shared" si="22"/>
        <v>0</v>
      </c>
      <c r="Y537" s="12">
        <f t="shared" si="22"/>
        <v>0</v>
      </c>
      <c r="Z537" s="12">
        <f t="shared" si="22"/>
        <v>0</v>
      </c>
      <c r="AA537" s="12">
        <f t="shared" si="22"/>
        <v>0</v>
      </c>
      <c r="AB537" s="12">
        <f t="shared" si="22"/>
        <v>0</v>
      </c>
      <c r="AC537" s="12">
        <f t="shared" si="22"/>
        <v>0</v>
      </c>
      <c r="AD537" s="12">
        <f t="shared" si="22"/>
        <v>0</v>
      </c>
      <c r="AE537" s="12">
        <f t="shared" si="22"/>
        <v>0</v>
      </c>
      <c r="AF537" s="12">
        <f t="shared" si="23"/>
        <v>0</v>
      </c>
      <c r="AG537" s="12">
        <f t="shared" si="23"/>
        <v>0</v>
      </c>
      <c r="AH537" s="12">
        <f t="shared" si="23"/>
        <v>0</v>
      </c>
      <c r="AI537" s="12">
        <f t="shared" si="23"/>
        <v>0</v>
      </c>
      <c r="AJ537" s="12">
        <f t="shared" si="23"/>
        <v>0</v>
      </c>
      <c r="AK537" s="12">
        <f t="shared" si="23"/>
        <v>0</v>
      </c>
      <c r="AL537" s="12">
        <f t="shared" si="23"/>
        <v>0</v>
      </c>
      <c r="AM537" s="12">
        <f t="shared" si="23"/>
        <v>0</v>
      </c>
      <c r="AN537" s="12">
        <f t="shared" si="23"/>
        <v>0</v>
      </c>
      <c r="AO537" s="12">
        <f t="shared" si="23"/>
        <v>0</v>
      </c>
      <c r="AP537" s="12">
        <f t="shared" si="24"/>
        <v>0</v>
      </c>
      <c r="AQ537" s="12">
        <f t="shared" si="24"/>
        <v>0</v>
      </c>
      <c r="AR537" s="12" t="str">
        <f t="shared" si="24"/>
        <v/>
      </c>
      <c r="AS537" s="12">
        <f t="shared" si="24"/>
        <v>4</v>
      </c>
      <c r="AT537" s="12">
        <f t="shared" si="24"/>
        <v>4</v>
      </c>
      <c r="AU537" s="12">
        <f t="shared" si="24"/>
        <v>4</v>
      </c>
      <c r="AV537" s="12">
        <f t="shared" si="24"/>
        <v>4</v>
      </c>
      <c r="AW537" s="12">
        <f t="shared" si="24"/>
        <v>4</v>
      </c>
    </row>
    <row r="538" spans="1:49">
      <c r="A538" s="9">
        <v>44</v>
      </c>
      <c r="B538" s="12">
        <f t="shared" si="20"/>
        <v>0</v>
      </c>
      <c r="C538" s="12">
        <f t="shared" si="20"/>
        <v>0</v>
      </c>
      <c r="D538" s="12">
        <f t="shared" si="20"/>
        <v>0</v>
      </c>
      <c r="E538" s="12">
        <f t="shared" si="20"/>
        <v>0</v>
      </c>
      <c r="F538" s="12">
        <f t="shared" si="20"/>
        <v>0</v>
      </c>
      <c r="G538" s="12">
        <f t="shared" si="20"/>
        <v>0</v>
      </c>
      <c r="H538" s="12">
        <f t="shared" si="20"/>
        <v>0</v>
      </c>
      <c r="I538" s="12">
        <f t="shared" si="20"/>
        <v>0</v>
      </c>
      <c r="J538" s="12">
        <f t="shared" si="20"/>
        <v>0</v>
      </c>
      <c r="K538" s="12">
        <f t="shared" si="20"/>
        <v>0</v>
      </c>
      <c r="L538" s="12">
        <f t="shared" si="21"/>
        <v>0</v>
      </c>
      <c r="M538" s="12">
        <f t="shared" si="21"/>
        <v>0</v>
      </c>
      <c r="N538" s="12">
        <f t="shared" si="21"/>
        <v>0</v>
      </c>
      <c r="O538" s="12">
        <f t="shared" si="21"/>
        <v>0</v>
      </c>
      <c r="P538" s="12">
        <f t="shared" si="21"/>
        <v>0</v>
      </c>
      <c r="Q538" s="12">
        <f t="shared" si="21"/>
        <v>0</v>
      </c>
      <c r="R538" s="12">
        <f t="shared" si="21"/>
        <v>0</v>
      </c>
      <c r="S538" s="12">
        <f t="shared" si="21"/>
        <v>0</v>
      </c>
      <c r="T538" s="12">
        <f t="shared" si="21"/>
        <v>0</v>
      </c>
      <c r="U538" s="12">
        <f t="shared" si="21"/>
        <v>0</v>
      </c>
      <c r="V538" s="12">
        <f t="shared" si="22"/>
        <v>0</v>
      </c>
      <c r="W538" s="12">
        <f t="shared" si="22"/>
        <v>0</v>
      </c>
      <c r="X538" s="12">
        <f t="shared" si="22"/>
        <v>0</v>
      </c>
      <c r="Y538" s="12">
        <f t="shared" si="22"/>
        <v>0</v>
      </c>
      <c r="Z538" s="12">
        <f t="shared" si="22"/>
        <v>0</v>
      </c>
      <c r="AA538" s="12">
        <f t="shared" si="22"/>
        <v>0</v>
      </c>
      <c r="AB538" s="12">
        <f t="shared" si="22"/>
        <v>0</v>
      </c>
      <c r="AC538" s="12">
        <f t="shared" si="22"/>
        <v>0</v>
      </c>
      <c r="AD538" s="12">
        <f t="shared" si="22"/>
        <v>0</v>
      </c>
      <c r="AE538" s="12">
        <f t="shared" si="22"/>
        <v>0</v>
      </c>
      <c r="AF538" s="12">
        <f t="shared" si="23"/>
        <v>0</v>
      </c>
      <c r="AG538" s="12">
        <f t="shared" si="23"/>
        <v>0</v>
      </c>
      <c r="AH538" s="12">
        <f t="shared" si="23"/>
        <v>0</v>
      </c>
      <c r="AI538" s="12">
        <f t="shared" si="23"/>
        <v>0</v>
      </c>
      <c r="AJ538" s="12">
        <f t="shared" si="23"/>
        <v>0</v>
      </c>
      <c r="AK538" s="12">
        <f t="shared" si="23"/>
        <v>0</v>
      </c>
      <c r="AL538" s="12">
        <f t="shared" si="23"/>
        <v>0</v>
      </c>
      <c r="AM538" s="12">
        <f t="shared" si="23"/>
        <v>0</v>
      </c>
      <c r="AN538" s="12">
        <f t="shared" si="23"/>
        <v>0</v>
      </c>
      <c r="AO538" s="12">
        <f t="shared" si="23"/>
        <v>0</v>
      </c>
      <c r="AP538" s="12">
        <f t="shared" si="24"/>
        <v>0</v>
      </c>
      <c r="AQ538" s="12">
        <f t="shared" si="24"/>
        <v>0</v>
      </c>
      <c r="AR538" s="12">
        <f t="shared" si="24"/>
        <v>4</v>
      </c>
      <c r="AS538" s="12" t="str">
        <f t="shared" si="24"/>
        <v/>
      </c>
      <c r="AT538" s="12">
        <f t="shared" si="24"/>
        <v>4</v>
      </c>
      <c r="AU538" s="12">
        <f t="shared" si="24"/>
        <v>4</v>
      </c>
      <c r="AV538" s="12">
        <f t="shared" si="24"/>
        <v>4</v>
      </c>
      <c r="AW538" s="12">
        <f t="shared" si="24"/>
        <v>4</v>
      </c>
    </row>
    <row r="539" spans="1:49">
      <c r="A539" s="9">
        <v>45</v>
      </c>
      <c r="B539" s="12">
        <f t="shared" si="20"/>
        <v>0</v>
      </c>
      <c r="C539" s="12">
        <f t="shared" si="20"/>
        <v>0</v>
      </c>
      <c r="D539" s="12">
        <f t="shared" si="20"/>
        <v>0</v>
      </c>
      <c r="E539" s="12">
        <f t="shared" si="20"/>
        <v>0</v>
      </c>
      <c r="F539" s="12">
        <f t="shared" si="20"/>
        <v>0</v>
      </c>
      <c r="G539" s="12">
        <f t="shared" si="20"/>
        <v>0</v>
      </c>
      <c r="H539" s="12">
        <f t="shared" si="20"/>
        <v>0</v>
      </c>
      <c r="I539" s="12">
        <f t="shared" si="20"/>
        <v>0</v>
      </c>
      <c r="J539" s="12">
        <f t="shared" si="20"/>
        <v>0</v>
      </c>
      <c r="K539" s="12">
        <f t="shared" si="20"/>
        <v>0</v>
      </c>
      <c r="L539" s="12">
        <f t="shared" si="21"/>
        <v>0</v>
      </c>
      <c r="M539" s="12">
        <f t="shared" si="21"/>
        <v>0</v>
      </c>
      <c r="N539" s="12">
        <f t="shared" si="21"/>
        <v>0</v>
      </c>
      <c r="O539" s="12">
        <f t="shared" si="21"/>
        <v>0</v>
      </c>
      <c r="P539" s="12">
        <f t="shared" si="21"/>
        <v>0</v>
      </c>
      <c r="Q539" s="12">
        <f t="shared" si="21"/>
        <v>0</v>
      </c>
      <c r="R539" s="12">
        <f t="shared" si="21"/>
        <v>0</v>
      </c>
      <c r="S539" s="12">
        <f t="shared" si="21"/>
        <v>0</v>
      </c>
      <c r="T539" s="12">
        <f t="shared" si="21"/>
        <v>0</v>
      </c>
      <c r="U539" s="12">
        <f t="shared" si="21"/>
        <v>0</v>
      </c>
      <c r="V539" s="12">
        <f t="shared" si="22"/>
        <v>0</v>
      </c>
      <c r="W539" s="12">
        <f t="shared" si="22"/>
        <v>0</v>
      </c>
      <c r="X539" s="12">
        <f t="shared" si="22"/>
        <v>0</v>
      </c>
      <c r="Y539" s="12">
        <f t="shared" si="22"/>
        <v>0</v>
      </c>
      <c r="Z539" s="12">
        <f t="shared" si="22"/>
        <v>0</v>
      </c>
      <c r="AA539" s="12">
        <f t="shared" si="22"/>
        <v>0</v>
      </c>
      <c r="AB539" s="12">
        <f t="shared" si="22"/>
        <v>0</v>
      </c>
      <c r="AC539" s="12">
        <f t="shared" si="22"/>
        <v>0</v>
      </c>
      <c r="AD539" s="12">
        <f t="shared" si="22"/>
        <v>0</v>
      </c>
      <c r="AE539" s="12">
        <f t="shared" si="22"/>
        <v>0</v>
      </c>
      <c r="AF539" s="12">
        <f t="shared" si="23"/>
        <v>0</v>
      </c>
      <c r="AG539" s="12">
        <f t="shared" si="23"/>
        <v>0</v>
      </c>
      <c r="AH539" s="12">
        <f t="shared" si="23"/>
        <v>0</v>
      </c>
      <c r="AI539" s="12">
        <f t="shared" si="23"/>
        <v>0</v>
      </c>
      <c r="AJ539" s="12">
        <f t="shared" si="23"/>
        <v>0</v>
      </c>
      <c r="AK539" s="12">
        <f t="shared" si="23"/>
        <v>0</v>
      </c>
      <c r="AL539" s="12">
        <f t="shared" si="23"/>
        <v>0</v>
      </c>
      <c r="AM539" s="12">
        <f t="shared" si="23"/>
        <v>0</v>
      </c>
      <c r="AN539" s="12">
        <f t="shared" si="23"/>
        <v>0</v>
      </c>
      <c r="AO539" s="12">
        <f t="shared" si="23"/>
        <v>0</v>
      </c>
      <c r="AP539" s="12">
        <f t="shared" si="24"/>
        <v>0</v>
      </c>
      <c r="AQ539" s="12">
        <f t="shared" si="24"/>
        <v>0</v>
      </c>
      <c r="AR539" s="12">
        <f t="shared" si="24"/>
        <v>4</v>
      </c>
      <c r="AS539" s="12">
        <f t="shared" si="24"/>
        <v>4</v>
      </c>
      <c r="AT539" s="12" t="str">
        <f t="shared" si="24"/>
        <v/>
      </c>
      <c r="AU539" s="12">
        <f t="shared" si="24"/>
        <v>4</v>
      </c>
      <c r="AV539" s="12">
        <f t="shared" si="24"/>
        <v>4</v>
      </c>
      <c r="AW539" s="12">
        <f t="shared" si="24"/>
        <v>4</v>
      </c>
    </row>
    <row r="540" spans="1:49">
      <c r="A540" s="9">
        <v>46</v>
      </c>
      <c r="B540" s="12">
        <f t="shared" si="20"/>
        <v>0</v>
      </c>
      <c r="C540" s="12">
        <f t="shared" si="20"/>
        <v>0</v>
      </c>
      <c r="D540" s="12">
        <f t="shared" si="20"/>
        <v>0</v>
      </c>
      <c r="E540" s="12">
        <f t="shared" si="20"/>
        <v>0</v>
      </c>
      <c r="F540" s="12">
        <f t="shared" si="20"/>
        <v>0</v>
      </c>
      <c r="G540" s="12">
        <f t="shared" si="20"/>
        <v>0</v>
      </c>
      <c r="H540" s="12">
        <f t="shared" si="20"/>
        <v>0</v>
      </c>
      <c r="I540" s="12">
        <f t="shared" si="20"/>
        <v>0</v>
      </c>
      <c r="J540" s="12">
        <f t="shared" si="20"/>
        <v>0</v>
      </c>
      <c r="K540" s="12">
        <f t="shared" si="20"/>
        <v>0</v>
      </c>
      <c r="L540" s="12">
        <f t="shared" si="21"/>
        <v>0</v>
      </c>
      <c r="M540" s="12">
        <f t="shared" si="21"/>
        <v>0</v>
      </c>
      <c r="N540" s="12">
        <f t="shared" si="21"/>
        <v>0</v>
      </c>
      <c r="O540" s="12">
        <f t="shared" si="21"/>
        <v>0</v>
      </c>
      <c r="P540" s="12">
        <f t="shared" si="21"/>
        <v>0</v>
      </c>
      <c r="Q540" s="12">
        <f t="shared" si="21"/>
        <v>0</v>
      </c>
      <c r="R540" s="12">
        <f t="shared" si="21"/>
        <v>0</v>
      </c>
      <c r="S540" s="12">
        <f t="shared" si="21"/>
        <v>0</v>
      </c>
      <c r="T540" s="12">
        <f t="shared" si="21"/>
        <v>0</v>
      </c>
      <c r="U540" s="12">
        <f t="shared" si="21"/>
        <v>0</v>
      </c>
      <c r="V540" s="12">
        <f t="shared" si="22"/>
        <v>0</v>
      </c>
      <c r="W540" s="12">
        <f t="shared" si="22"/>
        <v>0</v>
      </c>
      <c r="X540" s="12">
        <f t="shared" si="22"/>
        <v>0</v>
      </c>
      <c r="Y540" s="12">
        <f t="shared" si="22"/>
        <v>0</v>
      </c>
      <c r="Z540" s="12">
        <f t="shared" si="22"/>
        <v>0</v>
      </c>
      <c r="AA540" s="12">
        <f t="shared" si="22"/>
        <v>0</v>
      </c>
      <c r="AB540" s="12">
        <f t="shared" si="22"/>
        <v>0</v>
      </c>
      <c r="AC540" s="12">
        <f t="shared" si="22"/>
        <v>0</v>
      </c>
      <c r="AD540" s="12">
        <f t="shared" si="22"/>
        <v>0</v>
      </c>
      <c r="AE540" s="12">
        <f t="shared" si="22"/>
        <v>0</v>
      </c>
      <c r="AF540" s="12">
        <f t="shared" si="23"/>
        <v>0</v>
      </c>
      <c r="AG540" s="12">
        <f t="shared" si="23"/>
        <v>0</v>
      </c>
      <c r="AH540" s="12">
        <f t="shared" si="23"/>
        <v>0</v>
      </c>
      <c r="AI540" s="12">
        <f t="shared" si="23"/>
        <v>0</v>
      </c>
      <c r="AJ540" s="12">
        <f t="shared" si="23"/>
        <v>0</v>
      </c>
      <c r="AK540" s="12">
        <f t="shared" si="23"/>
        <v>0</v>
      </c>
      <c r="AL540" s="12">
        <f t="shared" si="23"/>
        <v>0</v>
      </c>
      <c r="AM540" s="12">
        <f t="shared" si="23"/>
        <v>0</v>
      </c>
      <c r="AN540" s="12">
        <f t="shared" si="23"/>
        <v>0</v>
      </c>
      <c r="AO540" s="12">
        <f t="shared" si="23"/>
        <v>0</v>
      </c>
      <c r="AP540" s="12">
        <f t="shared" si="24"/>
        <v>0</v>
      </c>
      <c r="AQ540" s="12">
        <f t="shared" si="24"/>
        <v>0</v>
      </c>
      <c r="AR540" s="12">
        <f t="shared" si="24"/>
        <v>4</v>
      </c>
      <c r="AS540" s="12">
        <f t="shared" si="24"/>
        <v>4</v>
      </c>
      <c r="AT540" s="12">
        <f t="shared" si="24"/>
        <v>4</v>
      </c>
      <c r="AU540" s="12" t="str">
        <f t="shared" si="24"/>
        <v/>
      </c>
      <c r="AV540" s="12">
        <f t="shared" si="24"/>
        <v>4</v>
      </c>
      <c r="AW540" s="12">
        <f t="shared" si="24"/>
        <v>4</v>
      </c>
    </row>
    <row r="541" spans="1:49">
      <c r="A541" s="9">
        <v>47</v>
      </c>
      <c r="B541" s="12">
        <f t="shared" si="20"/>
        <v>0</v>
      </c>
      <c r="C541" s="12">
        <f t="shared" si="20"/>
        <v>0</v>
      </c>
      <c r="D541" s="12">
        <f t="shared" si="20"/>
        <v>0</v>
      </c>
      <c r="E541" s="12">
        <f t="shared" si="20"/>
        <v>0</v>
      </c>
      <c r="F541" s="12">
        <f t="shared" si="20"/>
        <v>0</v>
      </c>
      <c r="G541" s="12">
        <f t="shared" si="20"/>
        <v>0</v>
      </c>
      <c r="H541" s="12">
        <f t="shared" si="20"/>
        <v>0</v>
      </c>
      <c r="I541" s="12">
        <f t="shared" si="20"/>
        <v>0</v>
      </c>
      <c r="J541" s="12">
        <f t="shared" si="20"/>
        <v>0</v>
      </c>
      <c r="K541" s="12">
        <f t="shared" si="20"/>
        <v>0</v>
      </c>
      <c r="L541" s="12">
        <f t="shared" si="21"/>
        <v>0</v>
      </c>
      <c r="M541" s="12">
        <f t="shared" si="21"/>
        <v>0</v>
      </c>
      <c r="N541" s="12">
        <f t="shared" si="21"/>
        <v>0</v>
      </c>
      <c r="O541" s="12">
        <f t="shared" si="21"/>
        <v>0</v>
      </c>
      <c r="P541" s="12">
        <f t="shared" si="21"/>
        <v>0</v>
      </c>
      <c r="Q541" s="12">
        <f t="shared" si="21"/>
        <v>0</v>
      </c>
      <c r="R541" s="12">
        <f t="shared" si="21"/>
        <v>0</v>
      </c>
      <c r="S541" s="12">
        <f t="shared" si="21"/>
        <v>0</v>
      </c>
      <c r="T541" s="12">
        <f t="shared" si="21"/>
        <v>0</v>
      </c>
      <c r="U541" s="12">
        <f t="shared" si="21"/>
        <v>0</v>
      </c>
      <c r="V541" s="12">
        <f t="shared" si="22"/>
        <v>0</v>
      </c>
      <c r="W541" s="12">
        <f t="shared" si="22"/>
        <v>0</v>
      </c>
      <c r="X541" s="12">
        <f t="shared" si="22"/>
        <v>0</v>
      </c>
      <c r="Y541" s="12">
        <f t="shared" si="22"/>
        <v>0</v>
      </c>
      <c r="Z541" s="12">
        <f t="shared" si="22"/>
        <v>0</v>
      </c>
      <c r="AA541" s="12">
        <f t="shared" si="22"/>
        <v>0</v>
      </c>
      <c r="AB541" s="12">
        <f t="shared" si="22"/>
        <v>0</v>
      </c>
      <c r="AC541" s="12">
        <f t="shared" si="22"/>
        <v>0</v>
      </c>
      <c r="AD541" s="12">
        <f t="shared" si="22"/>
        <v>0</v>
      </c>
      <c r="AE541" s="12">
        <f t="shared" si="22"/>
        <v>0</v>
      </c>
      <c r="AF541" s="12">
        <f t="shared" si="23"/>
        <v>0</v>
      </c>
      <c r="AG541" s="12">
        <f t="shared" si="23"/>
        <v>0</v>
      </c>
      <c r="AH541" s="12">
        <f t="shared" si="23"/>
        <v>0</v>
      </c>
      <c r="AI541" s="12">
        <f t="shared" si="23"/>
        <v>0</v>
      </c>
      <c r="AJ541" s="12">
        <f t="shared" si="23"/>
        <v>0</v>
      </c>
      <c r="AK541" s="12">
        <f t="shared" si="23"/>
        <v>0</v>
      </c>
      <c r="AL541" s="12">
        <f t="shared" si="23"/>
        <v>0</v>
      </c>
      <c r="AM541" s="12">
        <f t="shared" si="23"/>
        <v>0</v>
      </c>
      <c r="AN541" s="12">
        <f t="shared" si="23"/>
        <v>0</v>
      </c>
      <c r="AO541" s="12">
        <f t="shared" si="23"/>
        <v>0</v>
      </c>
      <c r="AP541" s="12">
        <f t="shared" si="24"/>
        <v>0</v>
      </c>
      <c r="AQ541" s="12">
        <f t="shared" si="24"/>
        <v>0</v>
      </c>
      <c r="AR541" s="12">
        <f t="shared" si="24"/>
        <v>4</v>
      </c>
      <c r="AS541" s="12">
        <f t="shared" si="24"/>
        <v>4</v>
      </c>
      <c r="AT541" s="12">
        <f t="shared" si="24"/>
        <v>4</v>
      </c>
      <c r="AU541" s="12">
        <f t="shared" si="24"/>
        <v>4</v>
      </c>
      <c r="AV541" s="12" t="str">
        <f t="shared" si="24"/>
        <v/>
      </c>
      <c r="AW541" s="12">
        <f t="shared" si="24"/>
        <v>4</v>
      </c>
    </row>
    <row r="542" spans="1:49">
      <c r="A542" s="9">
        <v>48</v>
      </c>
      <c r="B542" s="12">
        <f t="shared" si="20"/>
        <v>0</v>
      </c>
      <c r="C542" s="12">
        <f t="shared" si="20"/>
        <v>0</v>
      </c>
      <c r="D542" s="12">
        <f t="shared" si="20"/>
        <v>0</v>
      </c>
      <c r="E542" s="12">
        <f t="shared" si="20"/>
        <v>0</v>
      </c>
      <c r="F542" s="12">
        <f t="shared" si="20"/>
        <v>0</v>
      </c>
      <c r="G542" s="12">
        <f t="shared" si="20"/>
        <v>0</v>
      </c>
      <c r="H542" s="12">
        <f t="shared" si="20"/>
        <v>0</v>
      </c>
      <c r="I542" s="12">
        <f t="shared" si="20"/>
        <v>0</v>
      </c>
      <c r="J542" s="12">
        <f t="shared" si="20"/>
        <v>0</v>
      </c>
      <c r="K542" s="12">
        <f t="shared" si="20"/>
        <v>0</v>
      </c>
      <c r="L542" s="12">
        <f t="shared" si="21"/>
        <v>0</v>
      </c>
      <c r="M542" s="12">
        <f t="shared" si="21"/>
        <v>0</v>
      </c>
      <c r="N542" s="12">
        <f t="shared" si="21"/>
        <v>0</v>
      </c>
      <c r="O542" s="12">
        <f t="shared" si="21"/>
        <v>0</v>
      </c>
      <c r="P542" s="12">
        <f t="shared" si="21"/>
        <v>0</v>
      </c>
      <c r="Q542" s="12">
        <f t="shared" si="21"/>
        <v>0</v>
      </c>
      <c r="R542" s="12">
        <f t="shared" si="21"/>
        <v>0</v>
      </c>
      <c r="S542" s="12">
        <f t="shared" si="21"/>
        <v>0</v>
      </c>
      <c r="T542" s="12">
        <f t="shared" si="21"/>
        <v>0</v>
      </c>
      <c r="U542" s="12">
        <f t="shared" si="21"/>
        <v>0</v>
      </c>
      <c r="V542" s="12">
        <f t="shared" si="22"/>
        <v>0</v>
      </c>
      <c r="W542" s="12">
        <f t="shared" si="22"/>
        <v>0</v>
      </c>
      <c r="X542" s="12">
        <f t="shared" si="22"/>
        <v>0</v>
      </c>
      <c r="Y542" s="12">
        <f t="shared" si="22"/>
        <v>0</v>
      </c>
      <c r="Z542" s="12">
        <f t="shared" si="22"/>
        <v>0</v>
      </c>
      <c r="AA542" s="12">
        <f t="shared" si="22"/>
        <v>0</v>
      </c>
      <c r="AB542" s="12">
        <f t="shared" si="22"/>
        <v>0</v>
      </c>
      <c r="AC542" s="12">
        <f t="shared" si="22"/>
        <v>0</v>
      </c>
      <c r="AD542" s="12">
        <f t="shared" si="22"/>
        <v>0</v>
      </c>
      <c r="AE542" s="12">
        <f t="shared" si="22"/>
        <v>0</v>
      </c>
      <c r="AF542" s="12">
        <f t="shared" si="23"/>
        <v>0</v>
      </c>
      <c r="AG542" s="12">
        <f t="shared" si="23"/>
        <v>0</v>
      </c>
      <c r="AH542" s="12">
        <f t="shared" si="23"/>
        <v>0</v>
      </c>
      <c r="AI542" s="12">
        <f t="shared" si="23"/>
        <v>0</v>
      </c>
      <c r="AJ542" s="12">
        <f t="shared" si="23"/>
        <v>0</v>
      </c>
      <c r="AK542" s="12">
        <f t="shared" si="23"/>
        <v>0</v>
      </c>
      <c r="AL542" s="12">
        <f t="shared" si="23"/>
        <v>0</v>
      </c>
      <c r="AM542" s="12">
        <f t="shared" si="23"/>
        <v>0</v>
      </c>
      <c r="AN542" s="12">
        <f t="shared" si="23"/>
        <v>0</v>
      </c>
      <c r="AO542" s="12">
        <f t="shared" si="23"/>
        <v>0</v>
      </c>
      <c r="AP542" s="12">
        <f t="shared" si="24"/>
        <v>0</v>
      </c>
      <c r="AQ542" s="12">
        <f t="shared" si="24"/>
        <v>0</v>
      </c>
      <c r="AR542" s="12">
        <f t="shared" si="24"/>
        <v>4</v>
      </c>
      <c r="AS542" s="12">
        <f t="shared" si="24"/>
        <v>4</v>
      </c>
      <c r="AT542" s="12">
        <f t="shared" si="24"/>
        <v>4</v>
      </c>
      <c r="AU542" s="12">
        <f t="shared" si="24"/>
        <v>4</v>
      </c>
      <c r="AV542" s="12">
        <f t="shared" si="24"/>
        <v>4</v>
      </c>
      <c r="AW542" s="12" t="str">
        <f t="shared" si="24"/>
        <v/>
      </c>
    </row>
    <row r="543" spans="1:49">
      <c r="A543" s="21" t="s">
        <v>434</v>
      </c>
      <c r="B543" s="18">
        <f>_xlfn.MINIFS(B495:AW542,B495:AW542,"&gt;0")</f>
        <v>4</v>
      </c>
      <c r="C543" s="5"/>
      <c r="D543" s="5"/>
      <c r="E543" s="5"/>
      <c r="F543" s="5"/>
      <c r="G543" s="5"/>
    </row>
    <row r="544" spans="1:49">
      <c r="A544" s="21" t="s">
        <v>435</v>
      </c>
      <c r="B544" s="18">
        <f>MAX(B495:AW542)</f>
        <v>4</v>
      </c>
      <c r="C544" s="5"/>
      <c r="D544" s="5"/>
      <c r="E544" s="5"/>
      <c r="F544" s="5"/>
      <c r="G544" s="5"/>
    </row>
    <row r="545" s="5" customFormat="1"/>
    <row r="546" s="5" customFormat="1"/>
    <row r="547" s="5" customFormat="1"/>
    <row r="548" s="5" customFormat="1"/>
    <row r="549" s="5" customFormat="1"/>
    <row r="550" s="5" customFormat="1"/>
    <row r="551" s="5" customFormat="1"/>
    <row r="552" s="5" customFormat="1"/>
    <row r="553" s="5" customFormat="1"/>
    <row r="554" s="5" customFormat="1"/>
    <row r="555" s="5" customFormat="1"/>
    <row r="556" s="5" customFormat="1"/>
    <row r="557" s="5" customFormat="1"/>
    <row r="558" s="5" customFormat="1"/>
    <row r="559" s="5" customFormat="1"/>
    <row r="560" s="5" customFormat="1"/>
    <row r="561" s="5" customFormat="1"/>
    <row r="562" s="5" customFormat="1"/>
    <row r="563" s="5" customFormat="1"/>
    <row r="564" s="5" customFormat="1"/>
    <row r="565" s="5" customFormat="1"/>
    <row r="566" s="5" customFormat="1"/>
    <row r="567" s="5" customFormat="1"/>
    <row r="568" s="5" customFormat="1"/>
    <row r="569" s="5" customFormat="1"/>
    <row r="570" s="5" customFormat="1"/>
    <row r="571" s="5" customFormat="1"/>
    <row r="572" s="5" customFormat="1"/>
    <row r="573" s="5" customFormat="1"/>
    <row r="574" s="5" customFormat="1"/>
    <row r="575" s="5" customFormat="1"/>
    <row r="576" s="5" customFormat="1"/>
    <row r="577" s="5" customFormat="1"/>
    <row r="578" s="5" customFormat="1"/>
    <row r="579" s="5" customFormat="1"/>
    <row r="580" s="5" customFormat="1"/>
    <row r="581" s="5" customFormat="1"/>
    <row r="582" s="5" customFormat="1"/>
    <row r="583" s="5" customFormat="1"/>
    <row r="584" s="5" customFormat="1"/>
    <row r="585" s="5" customFormat="1"/>
    <row r="586" s="5" customFormat="1"/>
    <row r="587" s="5" customFormat="1"/>
    <row r="588" s="5" customFormat="1"/>
    <row r="589" s="5" customFormat="1"/>
    <row r="590" s="5" customFormat="1"/>
    <row r="591" s="5" customFormat="1"/>
    <row r="592" s="5" customFormat="1"/>
    <row r="593" s="5" customFormat="1"/>
    <row r="594" s="5" customFormat="1"/>
    <row r="595" s="5" customFormat="1"/>
    <row r="596" s="5" customFormat="1"/>
    <row r="597" s="5" customFormat="1"/>
    <row r="598" s="5" customFormat="1"/>
    <row r="599" s="5" customFormat="1"/>
    <row r="600" s="5" customFormat="1"/>
    <row r="601" s="5" customFormat="1"/>
    <row r="602" s="5" customFormat="1"/>
    <row r="603" s="5" customFormat="1"/>
    <row r="604" s="5" customFormat="1"/>
    <row r="605" s="5" customFormat="1"/>
    <row r="606" s="5" customFormat="1"/>
    <row r="607" s="5" customFormat="1"/>
    <row r="608" s="5" customFormat="1"/>
    <row r="609" s="5" customFormat="1"/>
    <row r="610" s="5" customFormat="1"/>
    <row r="611" s="5" customFormat="1"/>
    <row r="612" s="5" customFormat="1"/>
    <row r="613" s="5" customFormat="1"/>
    <row r="614" s="5" customFormat="1"/>
    <row r="615" s="5" customFormat="1"/>
    <row r="616" s="5" customFormat="1"/>
    <row r="617" s="5" customFormat="1"/>
    <row r="618" s="5" customFormat="1"/>
    <row r="619" s="5" customFormat="1"/>
    <row r="620" s="5" customFormat="1"/>
    <row r="621" s="5" customFormat="1"/>
    <row r="622" s="5" customFormat="1"/>
    <row r="623" s="5" customFormat="1"/>
    <row r="624" s="5" customFormat="1"/>
    <row r="625" s="5" customFormat="1"/>
    <row r="626" s="5" customFormat="1"/>
    <row r="627" s="5" customFormat="1"/>
    <row r="628" s="5" customFormat="1"/>
    <row r="629" s="5" customFormat="1"/>
    <row r="630" s="5" customFormat="1"/>
    <row r="631" s="5" customFormat="1"/>
    <row r="632" s="5" customFormat="1"/>
    <row r="633" s="5" customFormat="1"/>
    <row r="634" s="5" customFormat="1"/>
    <row r="635" s="5" customFormat="1"/>
    <row r="636" s="5" customFormat="1"/>
    <row r="637" s="5" customFormat="1"/>
    <row r="638" s="5" customFormat="1"/>
    <row r="639" s="5" customFormat="1"/>
    <row r="640" s="5" customFormat="1"/>
    <row r="641" s="5" customFormat="1"/>
    <row r="642" s="5" customFormat="1"/>
    <row r="643" s="5" customFormat="1"/>
    <row r="644" s="5" customFormat="1"/>
    <row r="645" s="5" customFormat="1"/>
    <row r="646" s="5" customFormat="1"/>
    <row r="647" s="5" customFormat="1"/>
    <row r="648" s="5" customFormat="1"/>
    <row r="649" s="5" customFormat="1"/>
    <row r="650" s="5" customFormat="1"/>
    <row r="651" s="5" customFormat="1"/>
    <row r="652" s="5" customFormat="1"/>
    <row r="653" s="5" customFormat="1"/>
    <row r="654" s="5" customFormat="1"/>
    <row r="655" s="5" customFormat="1"/>
    <row r="656" s="5" customFormat="1"/>
    <row r="657" s="5" customFormat="1"/>
    <row r="658" s="5" customFormat="1"/>
    <row r="659" s="5" customFormat="1"/>
    <row r="660" s="5" customFormat="1"/>
    <row r="661" s="5" customFormat="1"/>
    <row r="662" s="5" customFormat="1"/>
    <row r="663" s="5" customFormat="1"/>
    <row r="664" s="5" customFormat="1"/>
    <row r="665" s="5" customFormat="1"/>
    <row r="666" s="5" customFormat="1"/>
    <row r="667" s="5" customFormat="1"/>
    <row r="668" s="5" customFormat="1"/>
    <row r="669" s="5" customFormat="1"/>
    <row r="670" s="5" customFormat="1"/>
    <row r="671" s="5" customFormat="1"/>
    <row r="672" s="5" customFormat="1"/>
    <row r="673" s="5" customFormat="1"/>
    <row r="674" s="5" customFormat="1"/>
    <row r="675" s="5" customFormat="1"/>
    <row r="676" s="5" customFormat="1"/>
    <row r="677" s="5" customFormat="1"/>
    <row r="678" s="5" customFormat="1"/>
    <row r="679" s="5" customFormat="1"/>
    <row r="680" s="5" customFormat="1"/>
    <row r="681" s="5" customFormat="1"/>
    <row r="682" s="5" customFormat="1"/>
    <row r="683" s="5" customFormat="1"/>
    <row r="684" s="5" customFormat="1"/>
    <row r="685" s="5" customFormat="1"/>
    <row r="686" s="5" customFormat="1"/>
    <row r="687" s="5" customFormat="1"/>
    <row r="688" s="5" customFormat="1"/>
    <row r="689" s="5" customFormat="1"/>
    <row r="690" s="5" customFormat="1"/>
    <row r="691" s="5" customFormat="1"/>
    <row r="692" s="5" customFormat="1"/>
    <row r="693" s="5" customFormat="1"/>
    <row r="694" s="5" customFormat="1"/>
    <row r="695" s="5" customFormat="1"/>
    <row r="696" s="5" customFormat="1"/>
    <row r="697" s="5" customFormat="1"/>
    <row r="698" s="5" customFormat="1"/>
    <row r="699" s="5" customFormat="1"/>
    <row r="700" s="5" customFormat="1"/>
    <row r="701" s="5" customFormat="1"/>
    <row r="702" s="5" customFormat="1"/>
    <row r="703" s="5" customFormat="1"/>
    <row r="704" s="5" customFormat="1"/>
    <row r="705" s="5" customFormat="1"/>
    <row r="706" s="5" customFormat="1"/>
    <row r="707" s="5" customFormat="1"/>
    <row r="708" s="5" customFormat="1"/>
    <row r="709" s="5" customFormat="1"/>
    <row r="710" s="5" customFormat="1"/>
    <row r="711" s="5" customFormat="1"/>
    <row r="712" s="5" customFormat="1"/>
    <row r="713" s="5" customFormat="1"/>
    <row r="714" s="5" customFormat="1"/>
    <row r="715" s="5" customFormat="1"/>
    <row r="716" s="5" customFormat="1"/>
    <row r="717" s="5" customFormat="1"/>
    <row r="718" s="5" customFormat="1"/>
    <row r="719" s="5" customFormat="1"/>
    <row r="720" s="5" customFormat="1"/>
    <row r="721" s="5" customFormat="1"/>
    <row r="722" s="5" customFormat="1"/>
    <row r="723" s="5" customFormat="1"/>
    <row r="724" s="5" customFormat="1"/>
    <row r="725" s="5" customFormat="1"/>
    <row r="726" s="5" customFormat="1"/>
    <row r="727" s="5" customFormat="1"/>
    <row r="728" s="5" customFormat="1"/>
    <row r="729" s="5" customFormat="1"/>
    <row r="730" s="5" customFormat="1"/>
    <row r="731" s="5" customFormat="1"/>
    <row r="732" s="5" customFormat="1"/>
    <row r="733" s="5" customFormat="1"/>
    <row r="734" s="5" customFormat="1"/>
    <row r="735" s="5" customFormat="1"/>
    <row r="736" s="5" customFormat="1"/>
    <row r="737" s="5" customFormat="1"/>
    <row r="738" s="5" customFormat="1"/>
    <row r="739" s="5" customFormat="1"/>
    <row r="740" s="5" customFormat="1"/>
    <row r="741" s="5" customFormat="1"/>
    <row r="742" s="5" customFormat="1"/>
    <row r="743" s="5" customFormat="1"/>
    <row r="744" s="5" customFormat="1"/>
    <row r="745" s="5" customFormat="1"/>
    <row r="746" s="5" customFormat="1"/>
    <row r="747" s="5" customFormat="1"/>
    <row r="748" s="5" customFormat="1"/>
    <row r="749" s="5" customFormat="1"/>
    <row r="750" s="5" customFormat="1"/>
    <row r="751" s="5" customFormat="1"/>
    <row r="752" s="5" customFormat="1"/>
    <row r="753" s="5" customFormat="1"/>
    <row r="754" s="5" customFormat="1"/>
    <row r="755" s="5" customFormat="1"/>
    <row r="756" s="5" customFormat="1"/>
    <row r="757" s="5" customFormat="1"/>
    <row r="758" s="5" customFormat="1"/>
    <row r="759" s="5" customFormat="1"/>
    <row r="760" s="5" customFormat="1"/>
    <row r="761" s="5" customFormat="1"/>
    <row r="762" s="5" customFormat="1"/>
    <row r="763" s="5" customFormat="1"/>
    <row r="764" s="5" customFormat="1"/>
    <row r="765" s="5" customFormat="1"/>
    <row r="766" s="5" customFormat="1"/>
    <row r="767" s="5" customFormat="1"/>
    <row r="768" s="5" customFormat="1"/>
    <row r="769" s="5" customFormat="1"/>
    <row r="770" s="5" customFormat="1"/>
    <row r="771" s="5" customFormat="1"/>
    <row r="772" s="5" customFormat="1"/>
    <row r="773" s="5" customFormat="1"/>
    <row r="774" s="5" customFormat="1"/>
    <row r="775" s="5" customFormat="1"/>
    <row r="776" s="5" customFormat="1"/>
    <row r="777" s="5" customFormat="1"/>
    <row r="778" s="5" customFormat="1"/>
    <row r="779" s="5" customFormat="1"/>
    <row r="780" s="5" customFormat="1"/>
    <row r="781" s="5" customFormat="1"/>
    <row r="782" s="5" customFormat="1"/>
    <row r="783" s="5" customFormat="1"/>
    <row r="784" s="5" customFormat="1"/>
    <row r="785" s="5" customFormat="1"/>
    <row r="786" s="5" customFormat="1"/>
    <row r="787" s="5" customFormat="1"/>
    <row r="788" s="5" customFormat="1"/>
    <row r="789" s="5" customFormat="1"/>
    <row r="790" s="5" customFormat="1"/>
    <row r="791" s="5" customFormat="1"/>
    <row r="792" s="5" customFormat="1"/>
    <row r="793" s="5" customFormat="1"/>
    <row r="794" s="5" customFormat="1"/>
    <row r="795" s="5" customFormat="1"/>
    <row r="796" s="5" customFormat="1"/>
    <row r="797" s="5" customFormat="1"/>
    <row r="798" s="5" customFormat="1"/>
    <row r="799" s="5" customFormat="1"/>
    <row r="800" s="5" customFormat="1"/>
  </sheetData>
  <mergeCells count="2">
    <mergeCell ref="A1:G1"/>
    <mergeCell ref="A493:AW49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02E5-32BC-4133-B904-8BFBB3C6BED5}">
  <dimension ref="A1:CF50"/>
  <sheetViews>
    <sheetView rightToLeft="1" workbookViewId="0">
      <selection sqref="A1:G1"/>
    </sheetView>
  </sheetViews>
  <sheetFormatPr defaultRowHeight="14.5"/>
  <sheetData>
    <row r="1" spans="1:84">
      <c r="A1" s="19" t="s">
        <v>453</v>
      </c>
      <c r="B1" s="19"/>
      <c r="C1" s="19"/>
      <c r="D1" s="19"/>
      <c r="E1" s="20"/>
      <c r="F1" s="19" t="s">
        <v>454</v>
      </c>
      <c r="G1" s="19"/>
      <c r="H1" s="3"/>
      <c r="I1" s="3"/>
      <c r="K1" s="3" t="s">
        <v>455</v>
      </c>
      <c r="L1" s="3"/>
      <c r="M1" s="3"/>
      <c r="N1" s="3"/>
      <c r="P1" s="3" t="s">
        <v>456</v>
      </c>
      <c r="Q1" s="3"/>
      <c r="R1" s="3"/>
      <c r="S1" s="3"/>
      <c r="U1" s="3" t="s">
        <v>457</v>
      </c>
      <c r="V1" s="3"/>
      <c r="W1" s="3"/>
      <c r="X1" s="3"/>
      <c r="Z1" s="3" t="s">
        <v>458</v>
      </c>
      <c r="AA1" s="3"/>
      <c r="AB1" s="3"/>
      <c r="AC1" s="3"/>
      <c r="AE1" s="3" t="s">
        <v>459</v>
      </c>
      <c r="AF1" s="3"/>
      <c r="AG1" s="3"/>
      <c r="AH1" s="3"/>
      <c r="AJ1" s="3" t="s">
        <v>460</v>
      </c>
      <c r="AK1" s="3"/>
      <c r="AL1" s="3"/>
      <c r="AM1" s="3"/>
      <c r="AO1" s="3" t="s">
        <v>461</v>
      </c>
      <c r="AP1" s="3"/>
      <c r="AQ1" s="3"/>
      <c r="AR1" s="3"/>
      <c r="AT1" s="3" t="s">
        <v>462</v>
      </c>
      <c r="AU1" s="3"/>
      <c r="AV1" s="3"/>
      <c r="AW1" s="3"/>
      <c r="AY1" s="3" t="s">
        <v>463</v>
      </c>
      <c r="AZ1" s="3"/>
      <c r="BA1" s="3"/>
      <c r="BB1" s="3"/>
      <c r="BD1" s="3" t="s">
        <v>464</v>
      </c>
      <c r="BE1" s="3"/>
      <c r="BF1" s="3"/>
      <c r="BG1" s="3"/>
      <c r="BI1" s="3" t="s">
        <v>465</v>
      </c>
      <c r="BJ1" s="3"/>
      <c r="BK1" s="3"/>
      <c r="BL1" s="3"/>
      <c r="BN1" s="3" t="s">
        <v>466</v>
      </c>
      <c r="BO1" s="3"/>
      <c r="BP1" s="3"/>
      <c r="BQ1" s="3"/>
      <c r="BS1" s="3" t="s">
        <v>467</v>
      </c>
      <c r="BT1" s="3"/>
      <c r="BU1" s="3"/>
      <c r="BV1" s="3"/>
      <c r="BX1" s="3" t="s">
        <v>468</v>
      </c>
      <c r="BY1" s="3"/>
      <c r="BZ1" s="3"/>
      <c r="CA1" s="3"/>
      <c r="CC1" s="3" t="s">
        <v>469</v>
      </c>
      <c r="CD1" s="3"/>
      <c r="CE1" s="3"/>
      <c r="CF1" s="3"/>
    </row>
    <row r="2" spans="1:84">
      <c r="A2" s="1" t="s">
        <v>33</v>
      </c>
      <c r="B2" s="1" t="s">
        <v>34</v>
      </c>
      <c r="C2" s="1" t="s">
        <v>35</v>
      </c>
      <c r="D2" s="1" t="s">
        <v>36</v>
      </c>
      <c r="F2" s="1" t="s">
        <v>33</v>
      </c>
      <c r="G2" s="1" t="s">
        <v>34</v>
      </c>
      <c r="H2" s="1" t="s">
        <v>35</v>
      </c>
      <c r="I2" s="1" t="s">
        <v>36</v>
      </c>
      <c r="K2" s="1" t="s">
        <v>33</v>
      </c>
      <c r="L2" s="1" t="s">
        <v>34</v>
      </c>
      <c r="M2" s="1" t="s">
        <v>35</v>
      </c>
      <c r="N2" s="1" t="s">
        <v>36</v>
      </c>
      <c r="P2" s="1" t="s">
        <v>33</v>
      </c>
      <c r="Q2" s="1" t="s">
        <v>34</v>
      </c>
      <c r="R2" s="1" t="s">
        <v>35</v>
      </c>
      <c r="S2" s="1" t="s">
        <v>36</v>
      </c>
      <c r="U2" s="1" t="s">
        <v>33</v>
      </c>
      <c r="V2" s="1" t="s">
        <v>34</v>
      </c>
      <c r="W2" s="1" t="s">
        <v>35</v>
      </c>
      <c r="X2" s="1" t="s">
        <v>36</v>
      </c>
      <c r="Z2" s="1" t="s">
        <v>33</v>
      </c>
      <c r="AA2" s="1" t="s">
        <v>34</v>
      </c>
      <c r="AB2" s="1" t="s">
        <v>35</v>
      </c>
      <c r="AC2" s="1" t="s">
        <v>36</v>
      </c>
      <c r="AE2" s="1" t="s">
        <v>33</v>
      </c>
      <c r="AF2" s="1" t="s">
        <v>34</v>
      </c>
      <c r="AG2" s="1" t="s">
        <v>35</v>
      </c>
      <c r="AH2" s="1" t="s">
        <v>36</v>
      </c>
      <c r="AJ2" s="1" t="s">
        <v>33</v>
      </c>
      <c r="AK2" s="1" t="s">
        <v>34</v>
      </c>
      <c r="AL2" s="1" t="s">
        <v>35</v>
      </c>
      <c r="AM2" s="1" t="s">
        <v>36</v>
      </c>
      <c r="AO2" s="1" t="s">
        <v>33</v>
      </c>
      <c r="AP2" s="1" t="s">
        <v>34</v>
      </c>
      <c r="AQ2" s="1" t="s">
        <v>35</v>
      </c>
      <c r="AR2" s="1" t="s">
        <v>36</v>
      </c>
      <c r="AT2" s="1" t="s">
        <v>33</v>
      </c>
      <c r="AU2" s="1" t="s">
        <v>34</v>
      </c>
      <c r="AV2" s="1" t="s">
        <v>35</v>
      </c>
      <c r="AW2" s="1" t="s">
        <v>36</v>
      </c>
      <c r="AY2" s="1" t="s">
        <v>33</v>
      </c>
      <c r="AZ2" s="1" t="s">
        <v>34</v>
      </c>
      <c r="BA2" s="1" t="s">
        <v>35</v>
      </c>
      <c r="BB2" s="1" t="s">
        <v>36</v>
      </c>
      <c r="BD2" s="1" t="s">
        <v>33</v>
      </c>
      <c r="BE2" s="1" t="s">
        <v>34</v>
      </c>
      <c r="BF2" s="1" t="s">
        <v>35</v>
      </c>
      <c r="BG2" s="1" t="s">
        <v>36</v>
      </c>
      <c r="BI2" s="1" t="s">
        <v>33</v>
      </c>
      <c r="BJ2" s="1" t="s">
        <v>34</v>
      </c>
      <c r="BK2" s="1" t="s">
        <v>35</v>
      </c>
      <c r="BL2" s="1" t="s">
        <v>36</v>
      </c>
      <c r="BN2" s="1" t="s">
        <v>33</v>
      </c>
      <c r="BO2" s="1" t="s">
        <v>34</v>
      </c>
      <c r="BP2" s="1" t="s">
        <v>35</v>
      </c>
      <c r="BQ2" s="1" t="s">
        <v>36</v>
      </c>
      <c r="BS2" s="1" t="s">
        <v>33</v>
      </c>
      <c r="BT2" s="1" t="s">
        <v>34</v>
      </c>
      <c r="BU2" s="1" t="s">
        <v>35</v>
      </c>
      <c r="BV2" s="1" t="s">
        <v>36</v>
      </c>
      <c r="BX2" s="1" t="s">
        <v>33</v>
      </c>
      <c r="BY2" s="1" t="s">
        <v>34</v>
      </c>
      <c r="BZ2" s="1" t="s">
        <v>35</v>
      </c>
      <c r="CA2" s="1" t="s">
        <v>36</v>
      </c>
      <c r="CC2" s="1" t="s">
        <v>33</v>
      </c>
      <c r="CD2" s="1" t="s">
        <v>34</v>
      </c>
      <c r="CE2" s="1" t="s">
        <v>35</v>
      </c>
      <c r="CF2" s="1" t="s">
        <v>36</v>
      </c>
    </row>
    <row r="3" spans="1:84">
      <c r="A3" s="2">
        <v>1</v>
      </c>
      <c r="B3" s="2" t="str">
        <f t="shared" ref="B3:B8" si="0">"المجموعة 1"</f>
        <v>المجموعة 1</v>
      </c>
      <c r="C3" s="2">
        <f>COUNTIF('6 فرق'!$D$4:$D$63,A3&amp;" ضد *")+COUNTIF('6 فرق'!$D$4:$D$63,"* ضد "&amp;A3)</f>
        <v>20</v>
      </c>
      <c r="D3" s="2">
        <f t="shared" ref="D3:D8" si="1">COUNTIF($B$3:$B$8,B3)-1</f>
        <v>5</v>
      </c>
      <c r="F3" s="2">
        <v>1</v>
      </c>
      <c r="G3" s="2" t="str">
        <f t="shared" ref="G3:G9" si="2">"المجموعة 1"</f>
        <v>المجموعة 1</v>
      </c>
      <c r="H3" s="2">
        <f>COUNTIF('7 فرق'!$D$4:$D$66,F3&amp;" ضد *")+COUNTIF('7 فرق'!$D$4:$D$66,"* ضد "&amp;F3)</f>
        <v>18</v>
      </c>
      <c r="I3" s="2">
        <f t="shared" ref="I3:I9" si="3">COUNTIF($G$3:$G$9,G3)-1</f>
        <v>6</v>
      </c>
      <c r="K3" s="2">
        <v>1</v>
      </c>
      <c r="L3" s="2" t="str">
        <f t="shared" ref="L3:L10" si="4">"المجموعة 1"</f>
        <v>المجموعة 1</v>
      </c>
      <c r="M3" s="2">
        <f>COUNTIF('8 فرق'!$D$4:$D$87,K3&amp;" ضد *")+COUNTIF('8 فرق'!$D$4:$D$87,"* ضد "&amp;K3)</f>
        <v>21</v>
      </c>
      <c r="N3" s="2">
        <f t="shared" ref="N3:N10" si="5">COUNTIF($L$3:$L$10,L3)-1</f>
        <v>7</v>
      </c>
      <c r="P3" s="2">
        <v>1</v>
      </c>
      <c r="Q3" s="2" t="str">
        <f t="shared" ref="Q3:Q12" si="6">"المجموعة 1"</f>
        <v>المجموعة 1</v>
      </c>
      <c r="R3" s="2">
        <f>COUNTIF('10 فرق'!$D$4:$D$93,P3&amp;" ضد *")+COUNTIF('10 فرق'!$D$4:$D$93,"* ضد "&amp;P3)</f>
        <v>18</v>
      </c>
      <c r="S3" s="2">
        <f t="shared" ref="S3:S12" si="7">COUNTIF($Q$3:$Q$12,Q3)-1</f>
        <v>9</v>
      </c>
      <c r="U3" s="2">
        <v>1</v>
      </c>
      <c r="V3" s="2" t="str">
        <f>IFERROR(INDEX('13 فريقًا'!$D$4:$D$127,MATCH(U3&amp;" ضد *",'13 فريقًا'!$E$4:$E$127,0)),INDEX('13 فريقًا'!$D$4:$D$127,MATCH("* ضد "&amp;U3,'13 فريقًا'!$E$4:$E$127,0)))</f>
        <v>المجموعة 1</v>
      </c>
      <c r="W3" s="2">
        <f>COUNTIF('13 فريقًا'!$E$4:$E$127,U3&amp;" ضد *")+COUNTIF('13 فريقًا'!$E$4:$E$127,"* ضد "&amp;U3)</f>
        <v>18</v>
      </c>
      <c r="X3" s="2">
        <f t="shared" ref="X3:X15" si="8">COUNTIF($V$3:$V$15,V3)-1</f>
        <v>6</v>
      </c>
      <c r="Z3" s="2">
        <v>1</v>
      </c>
      <c r="AA3" s="2" t="str">
        <f>IFERROR(INDEX('14 فريقًا'!$D$4:$D$130,MATCH(Z3&amp;" ضد *",'14 فريقًا'!$E$4:$E$130,0)),INDEX('14 فريقًا'!$D$4:$D$130,MATCH("* ضد "&amp;Z3,'14 فريقًا'!$E$4:$E$130,0)))</f>
        <v>المجموعة 1</v>
      </c>
      <c r="AB3" s="2">
        <f>COUNTIF('14 فريقًا'!$E$4:$E$130,Z3&amp;" ضد *")+COUNTIF('14 فريقًا'!$E$4:$E$130,"* ضد "&amp;Z3)</f>
        <v>18</v>
      </c>
      <c r="AC3" s="2">
        <f t="shared" ref="AC3:AC16" si="9">COUNTIF($AA$3:$AA$16,AA3)-1</f>
        <v>6</v>
      </c>
      <c r="AE3" s="2">
        <v>1</v>
      </c>
      <c r="AF3" s="2" t="str">
        <f>IFERROR(INDEX('15 فريقًا'!$D$4:$D$151,MATCH(AE3&amp;" ضد *",'15 فريقًا'!$E$4:$E$151,0)),INDEX('15 فريقًا'!$D$4:$D$151,MATCH("* ضد "&amp;AE3,'15 فريقًا'!$E$4:$E$151,0)))</f>
        <v>المجموعة 1</v>
      </c>
      <c r="AG3" s="2">
        <f>COUNTIF('15 فريقًا'!$E$4:$E$151,AE3&amp;" ضد *")+COUNTIF('15 فريقًا'!$E$4:$E$151,"* ضد "&amp;AE3)</f>
        <v>21</v>
      </c>
      <c r="AH3" s="2">
        <f t="shared" ref="AH3:AH17" si="10">COUNTIF($AF$3:$AF$17,AF3)-1</f>
        <v>7</v>
      </c>
      <c r="AJ3" s="2">
        <v>1</v>
      </c>
      <c r="AK3" s="2" t="str">
        <f>IFERROR(INDEX('16 فريقًا'!$D$4:$D$172,MATCH(AJ3&amp;" ضد *",'16 فريقًا'!$E$4:$E$172,0)),INDEX('16 فريقًا'!$D$4:$D$172,MATCH("* ضد "&amp;AJ3,'16 فريقًا'!$E$4:$E$172,0)))</f>
        <v>المجموعة 1</v>
      </c>
      <c r="AL3" s="2">
        <f>COUNTIF('16 فريقًا'!$E$4:$E$172,AJ3&amp;" ضد *")+COUNTIF('16 فريقًا'!$E$4:$E$172,"* ضد "&amp;AJ3)</f>
        <v>21</v>
      </c>
      <c r="AM3" s="2">
        <f t="shared" ref="AM3:AM18" si="11">COUNTIF($AK$3:$AK$18,AK3)-1</f>
        <v>7</v>
      </c>
      <c r="AO3" s="2">
        <v>1</v>
      </c>
      <c r="AP3" s="2" t="str">
        <f>IFERROR(INDEX('18 فريقًا'!$D$4:$D$186,MATCH(AO3&amp;" ضد *",'18 فريقًا'!$E$4:$E$186,0)),INDEX('18 فريقًا'!$D$4:$D$186,MATCH("* ضد "&amp;AO3,'18 فريقًا'!$E$4:$E$186,0)))</f>
        <v>المجموعة 1</v>
      </c>
      <c r="AQ3" s="2">
        <f>COUNTIF('18 فريقًا'!$E$4:$E$186,AO3&amp;" ضد *")+COUNTIF('18 فريقًا'!$E$4:$E$186,"* ضد "&amp;AO3)</f>
        <v>20</v>
      </c>
      <c r="AR3" s="2">
        <f t="shared" ref="AR3:AR20" si="12">COUNTIF($AP$3:$AP$20,AP3)-1</f>
        <v>5</v>
      </c>
      <c r="AT3" s="2">
        <v>1</v>
      </c>
      <c r="AU3" s="2" t="str">
        <f t="shared" ref="AU3:AU21" si="13">"المجموعة 1"</f>
        <v>المجموعة 1</v>
      </c>
      <c r="AV3" s="2">
        <f>COUNTIF('19 فريقًا'!$D$4:$D$174,AT3&amp;" ضد *")+COUNTIF('19 فريقًا'!$D$4:$D$174,"* ضد "&amp;AT3)</f>
        <v>18</v>
      </c>
      <c r="AW3" s="2">
        <f t="shared" ref="AW3:AW21" si="14">COUNTIF($AU$3:$AU$21,AU3)-1</f>
        <v>18</v>
      </c>
      <c r="AY3" s="2">
        <v>1</v>
      </c>
      <c r="AZ3" s="2" t="str">
        <f t="shared" ref="AZ3:AZ22" si="15">"المجموعة 1"</f>
        <v>المجموعة 1</v>
      </c>
      <c r="BA3" s="2">
        <f>COUNTIF('20 فريقًا'!$D$4:$D$193,AY3&amp;" ضد *")+COUNTIF('20 فريقًا'!$D$4:$D$193,"* ضد "&amp;AY3)</f>
        <v>19</v>
      </c>
      <c r="BB3" s="2">
        <f t="shared" ref="BB3:BB22" si="16">COUNTIF($AZ$3:$AZ$22,AZ3)-1</f>
        <v>19</v>
      </c>
      <c r="BD3" s="2">
        <v>1</v>
      </c>
      <c r="BE3" s="2" t="str">
        <f t="shared" ref="BE3:BE23" si="17">"المجموعة 1"</f>
        <v>المجموعة 1</v>
      </c>
      <c r="BF3" s="2">
        <f>COUNTIF('21 فريقًا'!$D$4:$D$213,BD3&amp;" ضد *")+COUNTIF('21 فريقًا'!$D$4:$D$213,"* ضد "&amp;BD3)</f>
        <v>20</v>
      </c>
      <c r="BG3" s="2">
        <f t="shared" ref="BG3:BG23" si="18">COUNTIF($BE$3:$BE$23,BE3)-1</f>
        <v>20</v>
      </c>
      <c r="BI3" s="2">
        <v>1</v>
      </c>
      <c r="BJ3" s="2" t="str">
        <f t="shared" ref="BJ3:BJ24" si="19">"المجموعة 1"</f>
        <v>المجموعة 1</v>
      </c>
      <c r="BK3" s="2">
        <f>COUNTIF('22 فريقًا'!$D$4:$D$234,BI3&amp;" ضد *")+COUNTIF('22 فريقًا'!$D$4:$D$234,"* ضد "&amp;BI3)</f>
        <v>21</v>
      </c>
      <c r="BL3" s="2">
        <f t="shared" ref="BL3:BL24" si="20">COUNTIF($BJ$3:$BJ$24,BJ3)-1</f>
        <v>21</v>
      </c>
      <c r="BN3" s="2">
        <v>1</v>
      </c>
      <c r="BO3" s="2" t="str">
        <f>IFERROR(INDEX('23 فريقًا'!$D$4:$D$237,MATCH(BN3&amp;" ضد *",'23 فريقًا'!$E$4:$E$237,0)),INDEX('23 فريقًا'!$D$4:$D$237,MATCH("* ضد "&amp;BN3,'23 فريقًا'!$E$4:$E$237,0)))</f>
        <v>المجموعة 1</v>
      </c>
      <c r="BP3" s="2">
        <f>COUNTIF('23 فريقًا'!$E$4:$E$237,BN3&amp;" ضد *")+COUNTIF('23 فريقًا'!$E$4:$E$237,"* ضد "&amp;BN3)</f>
        <v>21</v>
      </c>
      <c r="BQ3" s="2">
        <f t="shared" ref="BQ3:BQ25" si="21">COUNTIF($BO$3:$BO$25,BO3)-1</f>
        <v>7</v>
      </c>
      <c r="BS3" s="2">
        <v>1</v>
      </c>
      <c r="BT3" s="2" t="str">
        <f>IFERROR(INDEX('31 فريقًا'!$D$4:$D$321,MATCH(BS3&amp;" ضد *",'31 فريقًا'!$E$4:$E$321,0)),INDEX('31 فريقًا'!$D$4:$D$321,MATCH("* ضد "&amp;BS3,'31 فريقًا'!$E$4:$E$321,0)))</f>
        <v>المجموعة 1</v>
      </c>
      <c r="BU3" s="2">
        <f>COUNTIF('31 فريقًا'!$E$4:$E$321,BS3&amp;" ضد *")+COUNTIF('31 فريقًا'!$E$4:$E$321,"* ضد "&amp;BS3)</f>
        <v>21</v>
      </c>
      <c r="BV3" s="2">
        <f t="shared" ref="BV3:BV33" si="22">COUNTIF($BT$3:$BT$33,BT3)-1</f>
        <v>7</v>
      </c>
      <c r="BX3" s="2">
        <v>1</v>
      </c>
      <c r="BY3" s="2" t="str">
        <f>IFERROR(INDEX('35 فريقًا'!$D$4:$D$325,MATCH(BX3&amp;" ضد *",'35 فريقًا'!$E$4:$E$325,0)),INDEX('35 فريقًا'!$D$4:$D$325,MATCH("* ضد "&amp;BX3,'35 فريقًا'!$E$4:$E$325,0)))</f>
        <v>المجموعة 1</v>
      </c>
      <c r="BZ3" s="2">
        <f>COUNTIF('35 فريقًا'!$E$4:$E$325,BX3&amp;" ضد *")+COUNTIF('35 فريقًا'!$E$4:$E$325,"* ضد "&amp;BX3)</f>
        <v>18</v>
      </c>
      <c r="CA3" s="2">
        <f t="shared" ref="CA3:CA37" si="23">COUNTIF($BY$3:$BY$37,BY3)-1</f>
        <v>6</v>
      </c>
      <c r="CC3" s="2">
        <v>1</v>
      </c>
      <c r="CD3" s="2" t="str">
        <f>IFERROR(INDEX('48 فريقًا'!$D$4:$D$490,MATCH(CC3&amp;" ضد *",'48 فريقًا'!$E$4:$E$490,0)),INDEX('48 فريقًا'!$D$4:$D$490,MATCH("* ضد "&amp;CC3,'48 فريقًا'!$E$4:$E$490,0)))</f>
        <v>المجموعة 1</v>
      </c>
      <c r="CE3" s="2">
        <f>COUNTIF('48 فريقًا'!$E$4:$E$490,CC3&amp;" ضد *")+COUNTIF('48 فريقًا'!$E$4:$E$490,"* ضد "&amp;CC3)</f>
        <v>20</v>
      </c>
      <c r="CF3" s="2">
        <f t="shared" ref="CF3:CF50" si="24">COUNTIF($CD$3:$CD$50,CD3)-1</f>
        <v>5</v>
      </c>
    </row>
    <row r="4" spans="1:84">
      <c r="A4" s="2">
        <v>2</v>
      </c>
      <c r="B4" s="2" t="str">
        <f t="shared" si="0"/>
        <v>المجموعة 1</v>
      </c>
      <c r="C4" s="2">
        <f>COUNTIF('6 فرق'!$D$4:$D$63,A4&amp;" ضد *")+COUNTIF('6 فرق'!$D$4:$D$63,"* ضد "&amp;A4)</f>
        <v>20</v>
      </c>
      <c r="D4" s="2">
        <f t="shared" si="1"/>
        <v>5</v>
      </c>
      <c r="F4" s="2">
        <v>2</v>
      </c>
      <c r="G4" s="2" t="str">
        <f t="shared" si="2"/>
        <v>المجموعة 1</v>
      </c>
      <c r="H4" s="2">
        <f>COUNTIF('7 فرق'!$D$4:$D$66,F4&amp;" ضد *")+COUNTIF('7 فرق'!$D$4:$D$66,"* ضد "&amp;F4)</f>
        <v>18</v>
      </c>
      <c r="I4" s="2">
        <f t="shared" si="3"/>
        <v>6</v>
      </c>
      <c r="K4" s="2">
        <v>2</v>
      </c>
      <c r="L4" s="2" t="str">
        <f t="shared" si="4"/>
        <v>المجموعة 1</v>
      </c>
      <c r="M4" s="2">
        <f>COUNTIF('8 فرق'!$D$4:$D$87,K4&amp;" ضد *")+COUNTIF('8 فرق'!$D$4:$D$87,"* ضد "&amp;K4)</f>
        <v>21</v>
      </c>
      <c r="N4" s="2">
        <f t="shared" si="5"/>
        <v>7</v>
      </c>
      <c r="P4" s="2">
        <v>2</v>
      </c>
      <c r="Q4" s="2" t="str">
        <f t="shared" si="6"/>
        <v>المجموعة 1</v>
      </c>
      <c r="R4" s="2">
        <f>COUNTIF('10 فرق'!$D$4:$D$93,P4&amp;" ضد *")+COUNTIF('10 فرق'!$D$4:$D$93,"* ضد "&amp;P4)</f>
        <v>18</v>
      </c>
      <c r="S4" s="2">
        <f t="shared" si="7"/>
        <v>9</v>
      </c>
      <c r="U4" s="2">
        <v>2</v>
      </c>
      <c r="V4" s="2" t="str">
        <f>IFERROR(INDEX('13 فريقًا'!$D$4:$D$127,MATCH(U4&amp;" ضد *",'13 فريقًا'!$E$4:$E$127,0)),INDEX('13 فريقًا'!$D$4:$D$127,MATCH("* ضد "&amp;U4,'13 فريقًا'!$E$4:$E$127,0)))</f>
        <v>المجموعة 1</v>
      </c>
      <c r="W4" s="2">
        <f>COUNTIF('13 فريقًا'!$E$4:$E$127,U4&amp;" ضد *")+COUNTIF('13 فريقًا'!$E$4:$E$127,"* ضد "&amp;U4)</f>
        <v>18</v>
      </c>
      <c r="X4" s="2">
        <f t="shared" si="8"/>
        <v>6</v>
      </c>
      <c r="Z4" s="2">
        <v>2</v>
      </c>
      <c r="AA4" s="2" t="str">
        <f>IFERROR(INDEX('14 فريقًا'!$D$4:$D$130,MATCH(Z4&amp;" ضد *",'14 فريقًا'!$E$4:$E$130,0)),INDEX('14 فريقًا'!$D$4:$D$130,MATCH("* ضد "&amp;Z4,'14 فريقًا'!$E$4:$E$130,0)))</f>
        <v>المجموعة 1</v>
      </c>
      <c r="AB4" s="2">
        <f>COUNTIF('14 فريقًا'!$E$4:$E$130,Z4&amp;" ضد *")+COUNTIF('14 فريقًا'!$E$4:$E$130,"* ضد "&amp;Z4)</f>
        <v>18</v>
      </c>
      <c r="AC4" s="2">
        <f t="shared" si="9"/>
        <v>6</v>
      </c>
      <c r="AE4" s="2">
        <v>2</v>
      </c>
      <c r="AF4" s="2" t="str">
        <f>IFERROR(INDEX('15 فريقًا'!$D$4:$D$151,MATCH(AE4&amp;" ضد *",'15 فريقًا'!$E$4:$E$151,0)),INDEX('15 فريقًا'!$D$4:$D$151,MATCH("* ضد "&amp;AE4,'15 فريقًا'!$E$4:$E$151,0)))</f>
        <v>المجموعة 1</v>
      </c>
      <c r="AG4" s="2">
        <f>COUNTIF('15 فريقًا'!$E$4:$E$151,AE4&amp;" ضد *")+COUNTIF('15 فريقًا'!$E$4:$E$151,"* ضد "&amp;AE4)</f>
        <v>21</v>
      </c>
      <c r="AH4" s="2">
        <f t="shared" si="10"/>
        <v>7</v>
      </c>
      <c r="AJ4" s="2">
        <v>2</v>
      </c>
      <c r="AK4" s="2" t="str">
        <f>IFERROR(INDEX('16 فريقًا'!$D$4:$D$172,MATCH(AJ4&amp;" ضد *",'16 فريقًا'!$E$4:$E$172,0)),INDEX('16 فريقًا'!$D$4:$D$172,MATCH("* ضد "&amp;AJ4,'16 فريقًا'!$E$4:$E$172,0)))</f>
        <v>المجموعة 1</v>
      </c>
      <c r="AL4" s="2">
        <f>COUNTIF('16 فريقًا'!$E$4:$E$172,AJ4&amp;" ضد *")+COUNTIF('16 فريقًا'!$E$4:$E$172,"* ضد "&amp;AJ4)</f>
        <v>21</v>
      </c>
      <c r="AM4" s="2">
        <f t="shared" si="11"/>
        <v>7</v>
      </c>
      <c r="AO4" s="2">
        <v>2</v>
      </c>
      <c r="AP4" s="2" t="str">
        <f>IFERROR(INDEX('18 فريقًا'!$D$4:$D$186,MATCH(AO4&amp;" ضد *",'18 فريقًا'!$E$4:$E$186,0)),INDEX('18 فريقًا'!$D$4:$D$186,MATCH("* ضد "&amp;AO4,'18 فريقًا'!$E$4:$E$186,0)))</f>
        <v>المجموعة 1</v>
      </c>
      <c r="AQ4" s="2">
        <f>COUNTIF('18 فريقًا'!$E$4:$E$186,AO4&amp;" ضد *")+COUNTIF('18 فريقًا'!$E$4:$E$186,"* ضد "&amp;AO4)</f>
        <v>20</v>
      </c>
      <c r="AR4" s="2">
        <f t="shared" si="12"/>
        <v>5</v>
      </c>
      <c r="AT4" s="2">
        <v>2</v>
      </c>
      <c r="AU4" s="2" t="str">
        <f t="shared" si="13"/>
        <v>المجموعة 1</v>
      </c>
      <c r="AV4" s="2">
        <f>COUNTIF('19 فريقًا'!$D$4:$D$174,AT4&amp;" ضد *")+COUNTIF('19 فريقًا'!$D$4:$D$174,"* ضد "&amp;AT4)</f>
        <v>18</v>
      </c>
      <c r="AW4" s="2">
        <f t="shared" si="14"/>
        <v>18</v>
      </c>
      <c r="AY4" s="2">
        <v>2</v>
      </c>
      <c r="AZ4" s="2" t="str">
        <f t="shared" si="15"/>
        <v>المجموعة 1</v>
      </c>
      <c r="BA4" s="2">
        <f>COUNTIF('20 فريقًا'!$D$4:$D$193,AY4&amp;" ضد *")+COUNTIF('20 فريقًا'!$D$4:$D$193,"* ضد "&amp;AY4)</f>
        <v>19</v>
      </c>
      <c r="BB4" s="2">
        <f t="shared" si="16"/>
        <v>19</v>
      </c>
      <c r="BD4" s="2">
        <v>2</v>
      </c>
      <c r="BE4" s="2" t="str">
        <f t="shared" si="17"/>
        <v>المجموعة 1</v>
      </c>
      <c r="BF4" s="2">
        <f>COUNTIF('21 فريقًا'!$D$4:$D$213,BD4&amp;" ضد *")+COUNTIF('21 فريقًا'!$D$4:$D$213,"* ضد "&amp;BD4)</f>
        <v>20</v>
      </c>
      <c r="BG4" s="2">
        <f t="shared" si="18"/>
        <v>20</v>
      </c>
      <c r="BI4" s="2">
        <v>2</v>
      </c>
      <c r="BJ4" s="2" t="str">
        <f t="shared" si="19"/>
        <v>المجموعة 1</v>
      </c>
      <c r="BK4" s="2">
        <f>COUNTIF('22 فريقًا'!$D$4:$D$234,BI4&amp;" ضد *")+COUNTIF('22 فريقًا'!$D$4:$D$234,"* ضد "&amp;BI4)</f>
        <v>21</v>
      </c>
      <c r="BL4" s="2">
        <f t="shared" si="20"/>
        <v>21</v>
      </c>
      <c r="BN4" s="2">
        <v>2</v>
      </c>
      <c r="BO4" s="2" t="str">
        <f>IFERROR(INDEX('23 فريقًا'!$D$4:$D$237,MATCH(BN4&amp;" ضد *",'23 فريقًا'!$E$4:$E$237,0)),INDEX('23 فريقًا'!$D$4:$D$237,MATCH("* ضد "&amp;BN4,'23 فريقًا'!$E$4:$E$237,0)))</f>
        <v>المجموعة 1</v>
      </c>
      <c r="BP4" s="2">
        <f>COUNTIF('23 فريقًا'!$E$4:$E$237,BN4&amp;" ضد *")+COUNTIF('23 فريقًا'!$E$4:$E$237,"* ضد "&amp;BN4)</f>
        <v>21</v>
      </c>
      <c r="BQ4" s="2">
        <f t="shared" si="21"/>
        <v>7</v>
      </c>
      <c r="BS4" s="2">
        <v>2</v>
      </c>
      <c r="BT4" s="2" t="str">
        <f>IFERROR(INDEX('31 فريقًا'!$D$4:$D$321,MATCH(BS4&amp;" ضد *",'31 فريقًا'!$E$4:$E$321,0)),INDEX('31 فريقًا'!$D$4:$D$321,MATCH("* ضد "&amp;BS4,'31 فريقًا'!$E$4:$E$321,0)))</f>
        <v>المجموعة 1</v>
      </c>
      <c r="BU4" s="2">
        <f>COUNTIF('31 فريقًا'!$E$4:$E$321,BS4&amp;" ضد *")+COUNTIF('31 فريقًا'!$E$4:$E$321,"* ضد "&amp;BS4)</f>
        <v>21</v>
      </c>
      <c r="BV4" s="2">
        <f t="shared" si="22"/>
        <v>7</v>
      </c>
      <c r="BX4" s="2">
        <v>2</v>
      </c>
      <c r="BY4" s="2" t="str">
        <f>IFERROR(INDEX('35 فريقًا'!$D$4:$D$325,MATCH(BX4&amp;" ضد *",'35 فريقًا'!$E$4:$E$325,0)),INDEX('35 فريقًا'!$D$4:$D$325,MATCH("* ضد "&amp;BX4,'35 فريقًا'!$E$4:$E$325,0)))</f>
        <v>المجموعة 1</v>
      </c>
      <c r="BZ4" s="2">
        <f>COUNTIF('35 فريقًا'!$E$4:$E$325,BX4&amp;" ضد *")+COUNTIF('35 فريقًا'!$E$4:$E$325,"* ضد "&amp;BX4)</f>
        <v>18</v>
      </c>
      <c r="CA4" s="2">
        <f t="shared" si="23"/>
        <v>6</v>
      </c>
      <c r="CC4" s="2">
        <v>2</v>
      </c>
      <c r="CD4" s="2" t="str">
        <f>IFERROR(INDEX('48 فريقًا'!$D$4:$D$490,MATCH(CC4&amp;" ضد *",'48 فريقًا'!$E$4:$E$490,0)),INDEX('48 فريقًا'!$D$4:$D$490,MATCH("* ضد "&amp;CC4,'48 فريقًا'!$E$4:$E$490,0)))</f>
        <v>المجموعة 1</v>
      </c>
      <c r="CE4" s="2">
        <f>COUNTIF('48 فريقًا'!$E$4:$E$490,CC4&amp;" ضد *")+COUNTIF('48 فريقًا'!$E$4:$E$490,"* ضد "&amp;CC4)</f>
        <v>20</v>
      </c>
      <c r="CF4" s="2">
        <f t="shared" si="24"/>
        <v>5</v>
      </c>
    </row>
    <row r="5" spans="1:84">
      <c r="A5" s="2">
        <v>3</v>
      </c>
      <c r="B5" s="2" t="str">
        <f t="shared" si="0"/>
        <v>المجموعة 1</v>
      </c>
      <c r="C5" s="2">
        <f>COUNTIF('6 فرق'!$D$4:$D$63,A5&amp;" ضد *")+COUNTIF('6 فرق'!$D$4:$D$63,"* ضد "&amp;A5)</f>
        <v>20</v>
      </c>
      <c r="D5" s="2">
        <f t="shared" si="1"/>
        <v>5</v>
      </c>
      <c r="F5" s="2">
        <v>3</v>
      </c>
      <c r="G5" s="2" t="str">
        <f t="shared" si="2"/>
        <v>المجموعة 1</v>
      </c>
      <c r="H5" s="2">
        <f>COUNTIF('7 فرق'!$D$4:$D$66,F5&amp;" ضد *")+COUNTIF('7 فرق'!$D$4:$D$66,"* ضد "&amp;F5)</f>
        <v>18</v>
      </c>
      <c r="I5" s="2">
        <f t="shared" si="3"/>
        <v>6</v>
      </c>
      <c r="K5" s="2">
        <v>3</v>
      </c>
      <c r="L5" s="2" t="str">
        <f t="shared" si="4"/>
        <v>المجموعة 1</v>
      </c>
      <c r="M5" s="2">
        <f>COUNTIF('8 فرق'!$D$4:$D$87,K5&amp;" ضد *")+COUNTIF('8 فرق'!$D$4:$D$87,"* ضد "&amp;K5)</f>
        <v>21</v>
      </c>
      <c r="N5" s="2">
        <f t="shared" si="5"/>
        <v>7</v>
      </c>
      <c r="P5" s="2">
        <v>3</v>
      </c>
      <c r="Q5" s="2" t="str">
        <f t="shared" si="6"/>
        <v>المجموعة 1</v>
      </c>
      <c r="R5" s="2">
        <f>COUNTIF('10 فرق'!$D$4:$D$93,P5&amp;" ضد *")+COUNTIF('10 فرق'!$D$4:$D$93,"* ضد "&amp;P5)</f>
        <v>18</v>
      </c>
      <c r="S5" s="2">
        <f t="shared" si="7"/>
        <v>9</v>
      </c>
      <c r="U5" s="2">
        <v>3</v>
      </c>
      <c r="V5" s="2" t="str">
        <f>IFERROR(INDEX('13 فريقًا'!$D$4:$D$127,MATCH(U5&amp;" ضد *",'13 فريقًا'!$E$4:$E$127,0)),INDEX('13 فريقًا'!$D$4:$D$127,MATCH("* ضد "&amp;U5,'13 فريقًا'!$E$4:$E$127,0)))</f>
        <v>المجموعة 1</v>
      </c>
      <c r="W5" s="2">
        <f>COUNTIF('13 فريقًا'!$E$4:$E$127,U5&amp;" ضد *")+COUNTIF('13 فريقًا'!$E$4:$E$127,"* ضد "&amp;U5)</f>
        <v>18</v>
      </c>
      <c r="X5" s="2">
        <f t="shared" si="8"/>
        <v>6</v>
      </c>
      <c r="Z5" s="2">
        <v>3</v>
      </c>
      <c r="AA5" s="2" t="str">
        <f>IFERROR(INDEX('14 فريقًا'!$D$4:$D$130,MATCH(Z5&amp;" ضد *",'14 فريقًا'!$E$4:$E$130,0)),INDEX('14 فريقًا'!$D$4:$D$130,MATCH("* ضد "&amp;Z5,'14 فريقًا'!$E$4:$E$130,0)))</f>
        <v>المجموعة 1</v>
      </c>
      <c r="AB5" s="2">
        <f>COUNTIF('14 فريقًا'!$E$4:$E$130,Z5&amp;" ضد *")+COUNTIF('14 فريقًا'!$E$4:$E$130,"* ضد "&amp;Z5)</f>
        <v>18</v>
      </c>
      <c r="AC5" s="2">
        <f t="shared" si="9"/>
        <v>6</v>
      </c>
      <c r="AE5" s="2">
        <v>3</v>
      </c>
      <c r="AF5" s="2" t="str">
        <f>IFERROR(INDEX('15 فريقًا'!$D$4:$D$151,MATCH(AE5&amp;" ضد *",'15 فريقًا'!$E$4:$E$151,0)),INDEX('15 فريقًا'!$D$4:$D$151,MATCH("* ضد "&amp;AE5,'15 فريقًا'!$E$4:$E$151,0)))</f>
        <v>المجموعة 1</v>
      </c>
      <c r="AG5" s="2">
        <f>COUNTIF('15 فريقًا'!$E$4:$E$151,AE5&amp;" ضد *")+COUNTIF('15 فريقًا'!$E$4:$E$151,"* ضد "&amp;AE5)</f>
        <v>21</v>
      </c>
      <c r="AH5" s="2">
        <f t="shared" si="10"/>
        <v>7</v>
      </c>
      <c r="AJ5" s="2">
        <v>3</v>
      </c>
      <c r="AK5" s="2" t="str">
        <f>IFERROR(INDEX('16 فريقًا'!$D$4:$D$172,MATCH(AJ5&amp;" ضد *",'16 فريقًا'!$E$4:$E$172,0)),INDEX('16 فريقًا'!$D$4:$D$172,MATCH("* ضد "&amp;AJ5,'16 فريقًا'!$E$4:$E$172,0)))</f>
        <v>المجموعة 1</v>
      </c>
      <c r="AL5" s="2">
        <f>COUNTIF('16 فريقًا'!$E$4:$E$172,AJ5&amp;" ضد *")+COUNTIF('16 فريقًا'!$E$4:$E$172,"* ضد "&amp;AJ5)</f>
        <v>21</v>
      </c>
      <c r="AM5" s="2">
        <f t="shared" si="11"/>
        <v>7</v>
      </c>
      <c r="AO5" s="2">
        <v>3</v>
      </c>
      <c r="AP5" s="2" t="str">
        <f>IFERROR(INDEX('18 فريقًا'!$D$4:$D$186,MATCH(AO5&amp;" ضد *",'18 فريقًا'!$E$4:$E$186,0)),INDEX('18 فريقًا'!$D$4:$D$186,MATCH("* ضد "&amp;AO5,'18 فريقًا'!$E$4:$E$186,0)))</f>
        <v>المجموعة 1</v>
      </c>
      <c r="AQ5" s="2">
        <f>COUNTIF('18 فريقًا'!$E$4:$E$186,AO5&amp;" ضد *")+COUNTIF('18 فريقًا'!$E$4:$E$186,"* ضد "&amp;AO5)</f>
        <v>20</v>
      </c>
      <c r="AR5" s="2">
        <f t="shared" si="12"/>
        <v>5</v>
      </c>
      <c r="AT5" s="2">
        <v>3</v>
      </c>
      <c r="AU5" s="2" t="str">
        <f t="shared" si="13"/>
        <v>المجموعة 1</v>
      </c>
      <c r="AV5" s="2">
        <f>COUNTIF('19 فريقًا'!$D$4:$D$174,AT5&amp;" ضد *")+COUNTIF('19 فريقًا'!$D$4:$D$174,"* ضد "&amp;AT5)</f>
        <v>18</v>
      </c>
      <c r="AW5" s="2">
        <f t="shared" si="14"/>
        <v>18</v>
      </c>
      <c r="AY5" s="2">
        <v>3</v>
      </c>
      <c r="AZ5" s="2" t="str">
        <f t="shared" si="15"/>
        <v>المجموعة 1</v>
      </c>
      <c r="BA5" s="2">
        <f>COUNTIF('20 فريقًا'!$D$4:$D$193,AY5&amp;" ضد *")+COUNTIF('20 فريقًا'!$D$4:$D$193,"* ضد "&amp;AY5)</f>
        <v>19</v>
      </c>
      <c r="BB5" s="2">
        <f t="shared" si="16"/>
        <v>19</v>
      </c>
      <c r="BD5" s="2">
        <v>3</v>
      </c>
      <c r="BE5" s="2" t="str">
        <f t="shared" si="17"/>
        <v>المجموعة 1</v>
      </c>
      <c r="BF5" s="2">
        <f>COUNTIF('21 فريقًا'!$D$4:$D$213,BD5&amp;" ضد *")+COUNTIF('21 فريقًا'!$D$4:$D$213,"* ضد "&amp;BD5)</f>
        <v>20</v>
      </c>
      <c r="BG5" s="2">
        <f t="shared" si="18"/>
        <v>20</v>
      </c>
      <c r="BI5" s="2">
        <v>3</v>
      </c>
      <c r="BJ5" s="2" t="str">
        <f t="shared" si="19"/>
        <v>المجموعة 1</v>
      </c>
      <c r="BK5" s="2">
        <f>COUNTIF('22 فريقًا'!$D$4:$D$234,BI5&amp;" ضد *")+COUNTIF('22 فريقًا'!$D$4:$D$234,"* ضد "&amp;BI5)</f>
        <v>21</v>
      </c>
      <c r="BL5" s="2">
        <f t="shared" si="20"/>
        <v>21</v>
      </c>
      <c r="BN5" s="2">
        <v>3</v>
      </c>
      <c r="BO5" s="2" t="str">
        <f>IFERROR(INDEX('23 فريقًا'!$D$4:$D$237,MATCH(BN5&amp;" ضد *",'23 فريقًا'!$E$4:$E$237,0)),INDEX('23 فريقًا'!$D$4:$D$237,MATCH("* ضد "&amp;BN5,'23 فريقًا'!$E$4:$E$237,0)))</f>
        <v>المجموعة 1</v>
      </c>
      <c r="BP5" s="2">
        <f>COUNTIF('23 فريقًا'!$E$4:$E$237,BN5&amp;" ضد *")+COUNTIF('23 فريقًا'!$E$4:$E$237,"* ضد "&amp;BN5)</f>
        <v>21</v>
      </c>
      <c r="BQ5" s="2">
        <f t="shared" si="21"/>
        <v>7</v>
      </c>
      <c r="BS5" s="2">
        <v>3</v>
      </c>
      <c r="BT5" s="2" t="str">
        <f>IFERROR(INDEX('31 فريقًا'!$D$4:$D$321,MATCH(BS5&amp;" ضد *",'31 فريقًا'!$E$4:$E$321,0)),INDEX('31 فريقًا'!$D$4:$D$321,MATCH("* ضد "&amp;BS5,'31 فريقًا'!$E$4:$E$321,0)))</f>
        <v>المجموعة 1</v>
      </c>
      <c r="BU5" s="2">
        <f>COUNTIF('31 فريقًا'!$E$4:$E$321,BS5&amp;" ضد *")+COUNTIF('31 فريقًا'!$E$4:$E$321,"* ضد "&amp;BS5)</f>
        <v>21</v>
      </c>
      <c r="BV5" s="2">
        <f t="shared" si="22"/>
        <v>7</v>
      </c>
      <c r="BX5" s="2">
        <v>3</v>
      </c>
      <c r="BY5" s="2" t="str">
        <f>IFERROR(INDEX('35 فريقًا'!$D$4:$D$325,MATCH(BX5&amp;" ضد *",'35 فريقًا'!$E$4:$E$325,0)),INDEX('35 فريقًا'!$D$4:$D$325,MATCH("* ضد "&amp;BX5,'35 فريقًا'!$E$4:$E$325,0)))</f>
        <v>المجموعة 1</v>
      </c>
      <c r="BZ5" s="2">
        <f>COUNTIF('35 فريقًا'!$E$4:$E$325,BX5&amp;" ضد *")+COUNTIF('35 فريقًا'!$E$4:$E$325,"* ضد "&amp;BX5)</f>
        <v>18</v>
      </c>
      <c r="CA5" s="2">
        <f t="shared" si="23"/>
        <v>6</v>
      </c>
      <c r="CC5" s="2">
        <v>3</v>
      </c>
      <c r="CD5" s="2" t="str">
        <f>IFERROR(INDEX('48 فريقًا'!$D$4:$D$490,MATCH(CC5&amp;" ضد *",'48 فريقًا'!$E$4:$E$490,0)),INDEX('48 فريقًا'!$D$4:$D$490,MATCH("* ضد "&amp;CC5,'48 فريقًا'!$E$4:$E$490,0)))</f>
        <v>المجموعة 1</v>
      </c>
      <c r="CE5" s="2">
        <f>COUNTIF('48 فريقًا'!$E$4:$E$490,CC5&amp;" ضد *")+COUNTIF('48 فريقًا'!$E$4:$E$490,"* ضد "&amp;CC5)</f>
        <v>20</v>
      </c>
      <c r="CF5" s="2">
        <f t="shared" si="24"/>
        <v>5</v>
      </c>
    </row>
    <row r="6" spans="1:84">
      <c r="A6" s="2">
        <v>4</v>
      </c>
      <c r="B6" s="2" t="str">
        <f t="shared" si="0"/>
        <v>المجموعة 1</v>
      </c>
      <c r="C6" s="2">
        <f>COUNTIF('6 فرق'!$D$4:$D$63,A6&amp;" ضد *")+COUNTIF('6 فرق'!$D$4:$D$63,"* ضد "&amp;A6)</f>
        <v>20</v>
      </c>
      <c r="D6" s="2">
        <f t="shared" si="1"/>
        <v>5</v>
      </c>
      <c r="F6" s="2">
        <v>4</v>
      </c>
      <c r="G6" s="2" t="str">
        <f t="shared" si="2"/>
        <v>المجموعة 1</v>
      </c>
      <c r="H6" s="2">
        <f>COUNTIF('7 فرق'!$D$4:$D$66,F6&amp;" ضد *")+COUNTIF('7 فرق'!$D$4:$D$66,"* ضد "&amp;F6)</f>
        <v>18</v>
      </c>
      <c r="I6" s="2">
        <f t="shared" si="3"/>
        <v>6</v>
      </c>
      <c r="K6" s="2">
        <v>4</v>
      </c>
      <c r="L6" s="2" t="str">
        <f t="shared" si="4"/>
        <v>المجموعة 1</v>
      </c>
      <c r="M6" s="2">
        <f>COUNTIF('8 فرق'!$D$4:$D$87,K6&amp;" ضد *")+COUNTIF('8 فرق'!$D$4:$D$87,"* ضد "&amp;K6)</f>
        <v>21</v>
      </c>
      <c r="N6" s="2">
        <f t="shared" si="5"/>
        <v>7</v>
      </c>
      <c r="P6" s="2">
        <v>4</v>
      </c>
      <c r="Q6" s="2" t="str">
        <f t="shared" si="6"/>
        <v>المجموعة 1</v>
      </c>
      <c r="R6" s="2">
        <f>COUNTIF('10 فرق'!$D$4:$D$93,P6&amp;" ضد *")+COUNTIF('10 فرق'!$D$4:$D$93,"* ضد "&amp;P6)</f>
        <v>18</v>
      </c>
      <c r="S6" s="2">
        <f t="shared" si="7"/>
        <v>9</v>
      </c>
      <c r="U6" s="2">
        <v>4</v>
      </c>
      <c r="V6" s="2" t="str">
        <f>IFERROR(INDEX('13 فريقًا'!$D$4:$D$127,MATCH(U6&amp;" ضد *",'13 فريقًا'!$E$4:$E$127,0)),INDEX('13 فريقًا'!$D$4:$D$127,MATCH("* ضد "&amp;U6,'13 فريقًا'!$E$4:$E$127,0)))</f>
        <v>المجموعة 1</v>
      </c>
      <c r="W6" s="2">
        <f>COUNTIF('13 فريقًا'!$E$4:$E$127,U6&amp;" ضد *")+COUNTIF('13 فريقًا'!$E$4:$E$127,"* ضد "&amp;U6)</f>
        <v>18</v>
      </c>
      <c r="X6" s="2">
        <f t="shared" si="8"/>
        <v>6</v>
      </c>
      <c r="Z6" s="2">
        <v>4</v>
      </c>
      <c r="AA6" s="2" t="str">
        <f>IFERROR(INDEX('14 فريقًا'!$D$4:$D$130,MATCH(Z6&amp;" ضد *",'14 فريقًا'!$E$4:$E$130,0)),INDEX('14 فريقًا'!$D$4:$D$130,MATCH("* ضد "&amp;Z6,'14 فريقًا'!$E$4:$E$130,0)))</f>
        <v>المجموعة 1</v>
      </c>
      <c r="AB6" s="2">
        <f>COUNTIF('14 فريقًا'!$E$4:$E$130,Z6&amp;" ضد *")+COUNTIF('14 فريقًا'!$E$4:$E$130,"* ضد "&amp;Z6)</f>
        <v>18</v>
      </c>
      <c r="AC6" s="2">
        <f t="shared" si="9"/>
        <v>6</v>
      </c>
      <c r="AE6" s="2">
        <v>4</v>
      </c>
      <c r="AF6" s="2" t="str">
        <f>IFERROR(INDEX('15 فريقًا'!$D$4:$D$151,MATCH(AE6&amp;" ضد *",'15 فريقًا'!$E$4:$E$151,0)),INDEX('15 فريقًا'!$D$4:$D$151,MATCH("* ضد "&amp;AE6,'15 فريقًا'!$E$4:$E$151,0)))</f>
        <v>المجموعة 1</v>
      </c>
      <c r="AG6" s="2">
        <f>COUNTIF('15 فريقًا'!$E$4:$E$151,AE6&amp;" ضد *")+COUNTIF('15 فريقًا'!$E$4:$E$151,"* ضد "&amp;AE6)</f>
        <v>21</v>
      </c>
      <c r="AH6" s="2">
        <f t="shared" si="10"/>
        <v>7</v>
      </c>
      <c r="AJ6" s="2">
        <v>4</v>
      </c>
      <c r="AK6" s="2" t="str">
        <f>IFERROR(INDEX('16 فريقًا'!$D$4:$D$172,MATCH(AJ6&amp;" ضد *",'16 فريقًا'!$E$4:$E$172,0)),INDEX('16 فريقًا'!$D$4:$D$172,MATCH("* ضد "&amp;AJ6,'16 فريقًا'!$E$4:$E$172,0)))</f>
        <v>المجموعة 1</v>
      </c>
      <c r="AL6" s="2">
        <f>COUNTIF('16 فريقًا'!$E$4:$E$172,AJ6&amp;" ضد *")+COUNTIF('16 فريقًا'!$E$4:$E$172,"* ضد "&amp;AJ6)</f>
        <v>21</v>
      </c>
      <c r="AM6" s="2">
        <f t="shared" si="11"/>
        <v>7</v>
      </c>
      <c r="AO6" s="2">
        <v>4</v>
      </c>
      <c r="AP6" s="2" t="str">
        <f>IFERROR(INDEX('18 فريقًا'!$D$4:$D$186,MATCH(AO6&amp;" ضد *",'18 فريقًا'!$E$4:$E$186,0)),INDEX('18 فريقًا'!$D$4:$D$186,MATCH("* ضد "&amp;AO6,'18 فريقًا'!$E$4:$E$186,0)))</f>
        <v>المجموعة 1</v>
      </c>
      <c r="AQ6" s="2">
        <f>COUNTIF('18 فريقًا'!$E$4:$E$186,AO6&amp;" ضد *")+COUNTIF('18 فريقًا'!$E$4:$E$186,"* ضد "&amp;AO6)</f>
        <v>20</v>
      </c>
      <c r="AR6" s="2">
        <f t="shared" si="12"/>
        <v>5</v>
      </c>
      <c r="AT6" s="2">
        <v>4</v>
      </c>
      <c r="AU6" s="2" t="str">
        <f t="shared" si="13"/>
        <v>المجموعة 1</v>
      </c>
      <c r="AV6" s="2">
        <f>COUNTIF('19 فريقًا'!$D$4:$D$174,AT6&amp;" ضد *")+COUNTIF('19 فريقًا'!$D$4:$D$174,"* ضد "&amp;AT6)</f>
        <v>18</v>
      </c>
      <c r="AW6" s="2">
        <f t="shared" si="14"/>
        <v>18</v>
      </c>
      <c r="AY6" s="2">
        <v>4</v>
      </c>
      <c r="AZ6" s="2" t="str">
        <f t="shared" si="15"/>
        <v>المجموعة 1</v>
      </c>
      <c r="BA6" s="2">
        <f>COUNTIF('20 فريقًا'!$D$4:$D$193,AY6&amp;" ضد *")+COUNTIF('20 فريقًا'!$D$4:$D$193,"* ضد "&amp;AY6)</f>
        <v>19</v>
      </c>
      <c r="BB6" s="2">
        <f t="shared" si="16"/>
        <v>19</v>
      </c>
      <c r="BD6" s="2">
        <v>4</v>
      </c>
      <c r="BE6" s="2" t="str">
        <f t="shared" si="17"/>
        <v>المجموعة 1</v>
      </c>
      <c r="BF6" s="2">
        <f>COUNTIF('21 فريقًا'!$D$4:$D$213,BD6&amp;" ضد *")+COUNTIF('21 فريقًا'!$D$4:$D$213,"* ضد "&amp;BD6)</f>
        <v>20</v>
      </c>
      <c r="BG6" s="2">
        <f t="shared" si="18"/>
        <v>20</v>
      </c>
      <c r="BI6" s="2">
        <v>4</v>
      </c>
      <c r="BJ6" s="2" t="str">
        <f t="shared" si="19"/>
        <v>المجموعة 1</v>
      </c>
      <c r="BK6" s="2">
        <f>COUNTIF('22 فريقًا'!$D$4:$D$234,BI6&amp;" ضد *")+COUNTIF('22 فريقًا'!$D$4:$D$234,"* ضد "&amp;BI6)</f>
        <v>21</v>
      </c>
      <c r="BL6" s="2">
        <f t="shared" si="20"/>
        <v>21</v>
      </c>
      <c r="BN6" s="2">
        <v>4</v>
      </c>
      <c r="BO6" s="2" t="str">
        <f>IFERROR(INDEX('23 فريقًا'!$D$4:$D$237,MATCH(BN6&amp;" ضد *",'23 فريقًا'!$E$4:$E$237,0)),INDEX('23 فريقًا'!$D$4:$D$237,MATCH("* ضد "&amp;BN6,'23 فريقًا'!$E$4:$E$237,0)))</f>
        <v>المجموعة 1</v>
      </c>
      <c r="BP6" s="2">
        <f>COUNTIF('23 فريقًا'!$E$4:$E$237,BN6&amp;" ضد *")+COUNTIF('23 فريقًا'!$E$4:$E$237,"* ضد "&amp;BN6)</f>
        <v>21</v>
      </c>
      <c r="BQ6" s="2">
        <f t="shared" si="21"/>
        <v>7</v>
      </c>
      <c r="BS6" s="2">
        <v>4</v>
      </c>
      <c r="BT6" s="2" t="str">
        <f>IFERROR(INDEX('31 فريقًا'!$D$4:$D$321,MATCH(BS6&amp;" ضد *",'31 فريقًا'!$E$4:$E$321,0)),INDEX('31 فريقًا'!$D$4:$D$321,MATCH("* ضد "&amp;BS6,'31 فريقًا'!$E$4:$E$321,0)))</f>
        <v>المجموعة 1</v>
      </c>
      <c r="BU6" s="2">
        <f>COUNTIF('31 فريقًا'!$E$4:$E$321,BS6&amp;" ضد *")+COUNTIF('31 فريقًا'!$E$4:$E$321,"* ضد "&amp;BS6)</f>
        <v>21</v>
      </c>
      <c r="BV6" s="2">
        <f t="shared" si="22"/>
        <v>7</v>
      </c>
      <c r="BX6" s="2">
        <v>4</v>
      </c>
      <c r="BY6" s="2" t="str">
        <f>IFERROR(INDEX('35 فريقًا'!$D$4:$D$325,MATCH(BX6&amp;" ضد *",'35 فريقًا'!$E$4:$E$325,0)),INDEX('35 فريقًا'!$D$4:$D$325,MATCH("* ضد "&amp;BX6,'35 فريقًا'!$E$4:$E$325,0)))</f>
        <v>المجموعة 1</v>
      </c>
      <c r="BZ6" s="2">
        <f>COUNTIF('35 فريقًا'!$E$4:$E$325,BX6&amp;" ضد *")+COUNTIF('35 فريقًا'!$E$4:$E$325,"* ضد "&amp;BX6)</f>
        <v>18</v>
      </c>
      <c r="CA6" s="2">
        <f t="shared" si="23"/>
        <v>6</v>
      </c>
      <c r="CC6" s="2">
        <v>4</v>
      </c>
      <c r="CD6" s="2" t="str">
        <f>IFERROR(INDEX('48 فريقًا'!$D$4:$D$490,MATCH(CC6&amp;" ضد *",'48 فريقًا'!$E$4:$E$490,0)),INDEX('48 فريقًا'!$D$4:$D$490,MATCH("* ضد "&amp;CC6,'48 فريقًا'!$E$4:$E$490,0)))</f>
        <v>المجموعة 1</v>
      </c>
      <c r="CE6" s="2">
        <f>COUNTIF('48 فريقًا'!$E$4:$E$490,CC6&amp;" ضد *")+COUNTIF('48 فريقًا'!$E$4:$E$490,"* ضد "&amp;CC6)</f>
        <v>20</v>
      </c>
      <c r="CF6" s="2">
        <f t="shared" si="24"/>
        <v>5</v>
      </c>
    </row>
    <row r="7" spans="1:84">
      <c r="A7" s="2">
        <v>5</v>
      </c>
      <c r="B7" s="2" t="str">
        <f t="shared" si="0"/>
        <v>المجموعة 1</v>
      </c>
      <c r="C7" s="2">
        <f>COUNTIF('6 فرق'!$D$4:$D$63,A7&amp;" ضد *")+COUNTIF('6 فرق'!$D$4:$D$63,"* ضد "&amp;A7)</f>
        <v>20</v>
      </c>
      <c r="D7" s="2">
        <f t="shared" si="1"/>
        <v>5</v>
      </c>
      <c r="F7" s="2">
        <v>5</v>
      </c>
      <c r="G7" s="2" t="str">
        <f t="shared" si="2"/>
        <v>المجموعة 1</v>
      </c>
      <c r="H7" s="2">
        <f>COUNTIF('7 فرق'!$D$4:$D$66,F7&amp;" ضد *")+COUNTIF('7 فرق'!$D$4:$D$66,"* ضد "&amp;F7)</f>
        <v>18</v>
      </c>
      <c r="I7" s="2">
        <f t="shared" si="3"/>
        <v>6</v>
      </c>
      <c r="K7" s="2">
        <v>5</v>
      </c>
      <c r="L7" s="2" t="str">
        <f t="shared" si="4"/>
        <v>المجموعة 1</v>
      </c>
      <c r="M7" s="2">
        <f>COUNTIF('8 فرق'!$D$4:$D$87,K7&amp;" ضد *")+COUNTIF('8 فرق'!$D$4:$D$87,"* ضد "&amp;K7)</f>
        <v>21</v>
      </c>
      <c r="N7" s="2">
        <f t="shared" si="5"/>
        <v>7</v>
      </c>
      <c r="P7" s="2">
        <v>5</v>
      </c>
      <c r="Q7" s="2" t="str">
        <f t="shared" si="6"/>
        <v>المجموعة 1</v>
      </c>
      <c r="R7" s="2">
        <f>COUNTIF('10 فرق'!$D$4:$D$93,P7&amp;" ضد *")+COUNTIF('10 فرق'!$D$4:$D$93,"* ضد "&amp;P7)</f>
        <v>18</v>
      </c>
      <c r="S7" s="2">
        <f t="shared" si="7"/>
        <v>9</v>
      </c>
      <c r="U7" s="2">
        <v>5</v>
      </c>
      <c r="V7" s="2" t="str">
        <f>IFERROR(INDEX('13 فريقًا'!$D$4:$D$127,MATCH(U7&amp;" ضد *",'13 فريقًا'!$E$4:$E$127,0)),INDEX('13 فريقًا'!$D$4:$D$127,MATCH("* ضد "&amp;U7,'13 فريقًا'!$E$4:$E$127,0)))</f>
        <v>المجموعة 1</v>
      </c>
      <c r="W7" s="2">
        <f>COUNTIF('13 فريقًا'!$E$4:$E$127,U7&amp;" ضد *")+COUNTIF('13 فريقًا'!$E$4:$E$127,"* ضد "&amp;U7)</f>
        <v>18</v>
      </c>
      <c r="X7" s="2">
        <f t="shared" si="8"/>
        <v>6</v>
      </c>
      <c r="Z7" s="2">
        <v>5</v>
      </c>
      <c r="AA7" s="2" t="str">
        <f>IFERROR(INDEX('14 فريقًا'!$D$4:$D$130,MATCH(Z7&amp;" ضد *",'14 فريقًا'!$E$4:$E$130,0)),INDEX('14 فريقًا'!$D$4:$D$130,MATCH("* ضد "&amp;Z7,'14 فريقًا'!$E$4:$E$130,0)))</f>
        <v>المجموعة 1</v>
      </c>
      <c r="AB7" s="2">
        <f>COUNTIF('14 فريقًا'!$E$4:$E$130,Z7&amp;" ضد *")+COUNTIF('14 فريقًا'!$E$4:$E$130,"* ضد "&amp;Z7)</f>
        <v>18</v>
      </c>
      <c r="AC7" s="2">
        <f t="shared" si="9"/>
        <v>6</v>
      </c>
      <c r="AE7" s="2">
        <v>5</v>
      </c>
      <c r="AF7" s="2" t="str">
        <f>IFERROR(INDEX('15 فريقًا'!$D$4:$D$151,MATCH(AE7&amp;" ضد *",'15 فريقًا'!$E$4:$E$151,0)),INDEX('15 فريقًا'!$D$4:$D$151,MATCH("* ضد "&amp;AE7,'15 فريقًا'!$E$4:$E$151,0)))</f>
        <v>المجموعة 1</v>
      </c>
      <c r="AG7" s="2">
        <f>COUNTIF('15 فريقًا'!$E$4:$E$151,AE7&amp;" ضد *")+COUNTIF('15 فريقًا'!$E$4:$E$151,"* ضد "&amp;AE7)</f>
        <v>21</v>
      </c>
      <c r="AH7" s="2">
        <f t="shared" si="10"/>
        <v>7</v>
      </c>
      <c r="AJ7" s="2">
        <v>5</v>
      </c>
      <c r="AK7" s="2" t="str">
        <f>IFERROR(INDEX('16 فريقًا'!$D$4:$D$172,MATCH(AJ7&amp;" ضد *",'16 فريقًا'!$E$4:$E$172,0)),INDEX('16 فريقًا'!$D$4:$D$172,MATCH("* ضد "&amp;AJ7,'16 فريقًا'!$E$4:$E$172,0)))</f>
        <v>المجموعة 1</v>
      </c>
      <c r="AL7" s="2">
        <f>COUNTIF('16 فريقًا'!$E$4:$E$172,AJ7&amp;" ضد *")+COUNTIF('16 فريقًا'!$E$4:$E$172,"* ضد "&amp;AJ7)</f>
        <v>21</v>
      </c>
      <c r="AM7" s="2">
        <f t="shared" si="11"/>
        <v>7</v>
      </c>
      <c r="AO7" s="2">
        <v>5</v>
      </c>
      <c r="AP7" s="2" t="str">
        <f>IFERROR(INDEX('18 فريقًا'!$D$4:$D$186,MATCH(AO7&amp;" ضد *",'18 فريقًا'!$E$4:$E$186,0)),INDEX('18 فريقًا'!$D$4:$D$186,MATCH("* ضد "&amp;AO7,'18 فريقًا'!$E$4:$E$186,0)))</f>
        <v>المجموعة 1</v>
      </c>
      <c r="AQ7" s="2">
        <f>COUNTIF('18 فريقًا'!$E$4:$E$186,AO7&amp;" ضد *")+COUNTIF('18 فريقًا'!$E$4:$E$186,"* ضد "&amp;AO7)</f>
        <v>20</v>
      </c>
      <c r="AR7" s="2">
        <f t="shared" si="12"/>
        <v>5</v>
      </c>
      <c r="AT7" s="2">
        <v>5</v>
      </c>
      <c r="AU7" s="2" t="str">
        <f t="shared" si="13"/>
        <v>المجموعة 1</v>
      </c>
      <c r="AV7" s="2">
        <f>COUNTIF('19 فريقًا'!$D$4:$D$174,AT7&amp;" ضد *")+COUNTIF('19 فريقًا'!$D$4:$D$174,"* ضد "&amp;AT7)</f>
        <v>18</v>
      </c>
      <c r="AW7" s="2">
        <f t="shared" si="14"/>
        <v>18</v>
      </c>
      <c r="AY7" s="2">
        <v>5</v>
      </c>
      <c r="AZ7" s="2" t="str">
        <f t="shared" si="15"/>
        <v>المجموعة 1</v>
      </c>
      <c r="BA7" s="2">
        <f>COUNTIF('20 فريقًا'!$D$4:$D$193,AY7&amp;" ضد *")+COUNTIF('20 فريقًا'!$D$4:$D$193,"* ضد "&amp;AY7)</f>
        <v>19</v>
      </c>
      <c r="BB7" s="2">
        <f t="shared" si="16"/>
        <v>19</v>
      </c>
      <c r="BD7" s="2">
        <v>5</v>
      </c>
      <c r="BE7" s="2" t="str">
        <f t="shared" si="17"/>
        <v>المجموعة 1</v>
      </c>
      <c r="BF7" s="2">
        <f>COUNTIF('21 فريقًا'!$D$4:$D$213,BD7&amp;" ضد *")+COUNTIF('21 فريقًا'!$D$4:$D$213,"* ضد "&amp;BD7)</f>
        <v>20</v>
      </c>
      <c r="BG7" s="2">
        <f t="shared" si="18"/>
        <v>20</v>
      </c>
      <c r="BI7" s="2">
        <v>5</v>
      </c>
      <c r="BJ7" s="2" t="str">
        <f t="shared" si="19"/>
        <v>المجموعة 1</v>
      </c>
      <c r="BK7" s="2">
        <f>COUNTIF('22 فريقًا'!$D$4:$D$234,BI7&amp;" ضد *")+COUNTIF('22 فريقًا'!$D$4:$D$234,"* ضد "&amp;BI7)</f>
        <v>21</v>
      </c>
      <c r="BL7" s="2">
        <f t="shared" si="20"/>
        <v>21</v>
      </c>
      <c r="BN7" s="2">
        <v>5</v>
      </c>
      <c r="BO7" s="2" t="str">
        <f>IFERROR(INDEX('23 فريقًا'!$D$4:$D$237,MATCH(BN7&amp;" ضد *",'23 فريقًا'!$E$4:$E$237,0)),INDEX('23 فريقًا'!$D$4:$D$237,MATCH("* ضد "&amp;BN7,'23 فريقًا'!$E$4:$E$237,0)))</f>
        <v>المجموعة 1</v>
      </c>
      <c r="BP7" s="2">
        <f>COUNTIF('23 فريقًا'!$E$4:$E$237,BN7&amp;" ضد *")+COUNTIF('23 فريقًا'!$E$4:$E$237,"* ضد "&amp;BN7)</f>
        <v>21</v>
      </c>
      <c r="BQ7" s="2">
        <f t="shared" si="21"/>
        <v>7</v>
      </c>
      <c r="BS7" s="2">
        <v>5</v>
      </c>
      <c r="BT7" s="2" t="str">
        <f>IFERROR(INDEX('31 فريقًا'!$D$4:$D$321,MATCH(BS7&amp;" ضد *",'31 فريقًا'!$E$4:$E$321,0)),INDEX('31 فريقًا'!$D$4:$D$321,MATCH("* ضد "&amp;BS7,'31 فريقًا'!$E$4:$E$321,0)))</f>
        <v>المجموعة 1</v>
      </c>
      <c r="BU7" s="2">
        <f>COUNTIF('31 فريقًا'!$E$4:$E$321,BS7&amp;" ضد *")+COUNTIF('31 فريقًا'!$E$4:$E$321,"* ضد "&amp;BS7)</f>
        <v>21</v>
      </c>
      <c r="BV7" s="2">
        <f t="shared" si="22"/>
        <v>7</v>
      </c>
      <c r="BX7" s="2">
        <v>5</v>
      </c>
      <c r="BY7" s="2" t="str">
        <f>IFERROR(INDEX('35 فريقًا'!$D$4:$D$325,MATCH(BX7&amp;" ضد *",'35 فريقًا'!$E$4:$E$325,0)),INDEX('35 فريقًا'!$D$4:$D$325,MATCH("* ضد "&amp;BX7,'35 فريقًا'!$E$4:$E$325,0)))</f>
        <v>المجموعة 1</v>
      </c>
      <c r="BZ7" s="2">
        <f>COUNTIF('35 فريقًا'!$E$4:$E$325,BX7&amp;" ضد *")+COUNTIF('35 فريقًا'!$E$4:$E$325,"* ضد "&amp;BX7)</f>
        <v>18</v>
      </c>
      <c r="CA7" s="2">
        <f t="shared" si="23"/>
        <v>6</v>
      </c>
      <c r="CC7" s="2">
        <v>5</v>
      </c>
      <c r="CD7" s="2" t="str">
        <f>IFERROR(INDEX('48 فريقًا'!$D$4:$D$490,MATCH(CC7&amp;" ضد *",'48 فريقًا'!$E$4:$E$490,0)),INDEX('48 فريقًا'!$D$4:$D$490,MATCH("* ضد "&amp;CC7,'48 فريقًا'!$E$4:$E$490,0)))</f>
        <v>المجموعة 1</v>
      </c>
      <c r="CE7" s="2">
        <f>COUNTIF('48 فريقًا'!$E$4:$E$490,CC7&amp;" ضد *")+COUNTIF('48 فريقًا'!$E$4:$E$490,"* ضد "&amp;CC7)</f>
        <v>20</v>
      </c>
      <c r="CF7" s="2">
        <f t="shared" si="24"/>
        <v>5</v>
      </c>
    </row>
    <row r="8" spans="1:84">
      <c r="A8" s="2">
        <v>6</v>
      </c>
      <c r="B8" s="2" t="str">
        <f t="shared" si="0"/>
        <v>المجموعة 1</v>
      </c>
      <c r="C8" s="2">
        <f>COUNTIF('6 فرق'!$D$4:$D$63,A8&amp;" ضد *")+COUNTIF('6 فرق'!$D$4:$D$63,"* ضد "&amp;A8)</f>
        <v>20</v>
      </c>
      <c r="D8" s="2">
        <f t="shared" si="1"/>
        <v>5</v>
      </c>
      <c r="F8" s="2">
        <v>6</v>
      </c>
      <c r="G8" s="2" t="str">
        <f t="shared" si="2"/>
        <v>المجموعة 1</v>
      </c>
      <c r="H8" s="2">
        <f>COUNTIF('7 فرق'!$D$4:$D$66,F8&amp;" ضد *")+COUNTIF('7 فرق'!$D$4:$D$66,"* ضد "&amp;F8)</f>
        <v>18</v>
      </c>
      <c r="I8" s="2">
        <f t="shared" si="3"/>
        <v>6</v>
      </c>
      <c r="K8" s="2">
        <v>6</v>
      </c>
      <c r="L8" s="2" t="str">
        <f t="shared" si="4"/>
        <v>المجموعة 1</v>
      </c>
      <c r="M8" s="2">
        <f>COUNTIF('8 فرق'!$D$4:$D$87,K8&amp;" ضد *")+COUNTIF('8 فرق'!$D$4:$D$87,"* ضد "&amp;K8)</f>
        <v>21</v>
      </c>
      <c r="N8" s="2">
        <f t="shared" si="5"/>
        <v>7</v>
      </c>
      <c r="P8" s="2">
        <v>6</v>
      </c>
      <c r="Q8" s="2" t="str">
        <f t="shared" si="6"/>
        <v>المجموعة 1</v>
      </c>
      <c r="R8" s="2">
        <f>COUNTIF('10 فرق'!$D$4:$D$93,P8&amp;" ضد *")+COUNTIF('10 فرق'!$D$4:$D$93,"* ضد "&amp;P8)</f>
        <v>18</v>
      </c>
      <c r="S8" s="2">
        <f t="shared" si="7"/>
        <v>9</v>
      </c>
      <c r="U8" s="2">
        <v>6</v>
      </c>
      <c r="V8" s="2" t="str">
        <f>IFERROR(INDEX('13 فريقًا'!$D$4:$D$127,MATCH(U8&amp;" ضد *",'13 فريقًا'!$E$4:$E$127,0)),INDEX('13 فريقًا'!$D$4:$D$127,MATCH("* ضد "&amp;U8,'13 فريقًا'!$E$4:$E$127,0)))</f>
        <v>المجموعة 1</v>
      </c>
      <c r="W8" s="2">
        <f>COUNTIF('13 فريقًا'!$E$4:$E$127,U8&amp;" ضد *")+COUNTIF('13 فريقًا'!$E$4:$E$127,"* ضد "&amp;U8)</f>
        <v>18</v>
      </c>
      <c r="X8" s="2">
        <f t="shared" si="8"/>
        <v>6</v>
      </c>
      <c r="Z8" s="2">
        <v>6</v>
      </c>
      <c r="AA8" s="2" t="str">
        <f>IFERROR(INDEX('14 فريقًا'!$D$4:$D$130,MATCH(Z8&amp;" ضد *",'14 فريقًا'!$E$4:$E$130,0)),INDEX('14 فريقًا'!$D$4:$D$130,MATCH("* ضد "&amp;Z8,'14 فريقًا'!$E$4:$E$130,0)))</f>
        <v>المجموعة 1</v>
      </c>
      <c r="AB8" s="2">
        <f>COUNTIF('14 فريقًا'!$E$4:$E$130,Z8&amp;" ضد *")+COUNTIF('14 فريقًا'!$E$4:$E$130,"* ضد "&amp;Z8)</f>
        <v>18</v>
      </c>
      <c r="AC8" s="2">
        <f t="shared" si="9"/>
        <v>6</v>
      </c>
      <c r="AE8" s="2">
        <v>6</v>
      </c>
      <c r="AF8" s="2" t="str">
        <f>IFERROR(INDEX('15 فريقًا'!$D$4:$D$151,MATCH(AE8&amp;" ضد *",'15 فريقًا'!$E$4:$E$151,0)),INDEX('15 فريقًا'!$D$4:$D$151,MATCH("* ضد "&amp;AE8,'15 فريقًا'!$E$4:$E$151,0)))</f>
        <v>المجموعة 1</v>
      </c>
      <c r="AG8" s="2">
        <f>COUNTIF('15 فريقًا'!$E$4:$E$151,AE8&amp;" ضد *")+COUNTIF('15 فريقًا'!$E$4:$E$151,"* ضد "&amp;AE8)</f>
        <v>21</v>
      </c>
      <c r="AH8" s="2">
        <f t="shared" si="10"/>
        <v>7</v>
      </c>
      <c r="AJ8" s="2">
        <v>6</v>
      </c>
      <c r="AK8" s="2" t="str">
        <f>IFERROR(INDEX('16 فريقًا'!$D$4:$D$172,MATCH(AJ8&amp;" ضد *",'16 فريقًا'!$E$4:$E$172,0)),INDEX('16 فريقًا'!$D$4:$D$172,MATCH("* ضد "&amp;AJ8,'16 فريقًا'!$E$4:$E$172,0)))</f>
        <v>المجموعة 1</v>
      </c>
      <c r="AL8" s="2">
        <f>COUNTIF('16 فريقًا'!$E$4:$E$172,AJ8&amp;" ضد *")+COUNTIF('16 فريقًا'!$E$4:$E$172,"* ضد "&amp;AJ8)</f>
        <v>21</v>
      </c>
      <c r="AM8" s="2">
        <f t="shared" si="11"/>
        <v>7</v>
      </c>
      <c r="AO8" s="2">
        <v>6</v>
      </c>
      <c r="AP8" s="2" t="str">
        <f>IFERROR(INDEX('18 فريقًا'!$D$4:$D$186,MATCH(AO8&amp;" ضد *",'18 فريقًا'!$E$4:$E$186,0)),INDEX('18 فريقًا'!$D$4:$D$186,MATCH("* ضد "&amp;AO8,'18 فريقًا'!$E$4:$E$186,0)))</f>
        <v>المجموعة 1</v>
      </c>
      <c r="AQ8" s="2">
        <f>COUNTIF('18 فريقًا'!$E$4:$E$186,AO8&amp;" ضد *")+COUNTIF('18 فريقًا'!$E$4:$E$186,"* ضد "&amp;AO8)</f>
        <v>20</v>
      </c>
      <c r="AR8" s="2">
        <f t="shared" si="12"/>
        <v>5</v>
      </c>
      <c r="AT8" s="2">
        <v>6</v>
      </c>
      <c r="AU8" s="2" t="str">
        <f t="shared" si="13"/>
        <v>المجموعة 1</v>
      </c>
      <c r="AV8" s="2">
        <f>COUNTIF('19 فريقًا'!$D$4:$D$174,AT8&amp;" ضد *")+COUNTIF('19 فريقًا'!$D$4:$D$174,"* ضد "&amp;AT8)</f>
        <v>18</v>
      </c>
      <c r="AW8" s="2">
        <f t="shared" si="14"/>
        <v>18</v>
      </c>
      <c r="AY8" s="2">
        <v>6</v>
      </c>
      <c r="AZ8" s="2" t="str">
        <f t="shared" si="15"/>
        <v>المجموعة 1</v>
      </c>
      <c r="BA8" s="2">
        <f>COUNTIF('20 فريقًا'!$D$4:$D$193,AY8&amp;" ضد *")+COUNTIF('20 فريقًا'!$D$4:$D$193,"* ضد "&amp;AY8)</f>
        <v>19</v>
      </c>
      <c r="BB8" s="2">
        <f t="shared" si="16"/>
        <v>19</v>
      </c>
      <c r="BD8" s="2">
        <v>6</v>
      </c>
      <c r="BE8" s="2" t="str">
        <f t="shared" si="17"/>
        <v>المجموعة 1</v>
      </c>
      <c r="BF8" s="2">
        <f>COUNTIF('21 فريقًا'!$D$4:$D$213,BD8&amp;" ضد *")+COUNTIF('21 فريقًا'!$D$4:$D$213,"* ضد "&amp;BD8)</f>
        <v>20</v>
      </c>
      <c r="BG8" s="2">
        <f t="shared" si="18"/>
        <v>20</v>
      </c>
      <c r="BI8" s="2">
        <v>6</v>
      </c>
      <c r="BJ8" s="2" t="str">
        <f t="shared" si="19"/>
        <v>المجموعة 1</v>
      </c>
      <c r="BK8" s="2">
        <f>COUNTIF('22 فريقًا'!$D$4:$D$234,BI8&amp;" ضد *")+COUNTIF('22 فريقًا'!$D$4:$D$234,"* ضد "&amp;BI8)</f>
        <v>21</v>
      </c>
      <c r="BL8" s="2">
        <f t="shared" si="20"/>
        <v>21</v>
      </c>
      <c r="BN8" s="2">
        <v>6</v>
      </c>
      <c r="BO8" s="2" t="str">
        <f>IFERROR(INDEX('23 فريقًا'!$D$4:$D$237,MATCH(BN8&amp;" ضد *",'23 فريقًا'!$E$4:$E$237,0)),INDEX('23 فريقًا'!$D$4:$D$237,MATCH("* ضد "&amp;BN8,'23 فريقًا'!$E$4:$E$237,0)))</f>
        <v>المجموعة 1</v>
      </c>
      <c r="BP8" s="2">
        <f>COUNTIF('23 فريقًا'!$E$4:$E$237,BN8&amp;" ضد *")+COUNTIF('23 فريقًا'!$E$4:$E$237,"* ضد "&amp;BN8)</f>
        <v>21</v>
      </c>
      <c r="BQ8" s="2">
        <f t="shared" si="21"/>
        <v>7</v>
      </c>
      <c r="BS8" s="2">
        <v>6</v>
      </c>
      <c r="BT8" s="2" t="str">
        <f>IFERROR(INDEX('31 فريقًا'!$D$4:$D$321,MATCH(BS8&amp;" ضد *",'31 فريقًا'!$E$4:$E$321,0)),INDEX('31 فريقًا'!$D$4:$D$321,MATCH("* ضد "&amp;BS8,'31 فريقًا'!$E$4:$E$321,0)))</f>
        <v>المجموعة 1</v>
      </c>
      <c r="BU8" s="2">
        <f>COUNTIF('31 فريقًا'!$E$4:$E$321,BS8&amp;" ضد *")+COUNTIF('31 فريقًا'!$E$4:$E$321,"* ضد "&amp;BS8)</f>
        <v>21</v>
      </c>
      <c r="BV8" s="2">
        <f t="shared" si="22"/>
        <v>7</v>
      </c>
      <c r="BX8" s="2">
        <v>6</v>
      </c>
      <c r="BY8" s="2" t="str">
        <f>IFERROR(INDEX('35 فريقًا'!$D$4:$D$325,MATCH(BX8&amp;" ضد *",'35 فريقًا'!$E$4:$E$325,0)),INDEX('35 فريقًا'!$D$4:$D$325,MATCH("* ضد "&amp;BX8,'35 فريقًا'!$E$4:$E$325,0)))</f>
        <v>المجموعة 1</v>
      </c>
      <c r="BZ8" s="2">
        <f>COUNTIF('35 فريقًا'!$E$4:$E$325,BX8&amp;" ضد *")+COUNTIF('35 فريقًا'!$E$4:$E$325,"* ضد "&amp;BX8)</f>
        <v>18</v>
      </c>
      <c r="CA8" s="2">
        <f t="shared" si="23"/>
        <v>6</v>
      </c>
      <c r="CC8" s="2">
        <v>6</v>
      </c>
      <c r="CD8" s="2" t="str">
        <f>IFERROR(INDEX('48 فريقًا'!$D$4:$D$490,MATCH(CC8&amp;" ضد *",'48 فريقًا'!$E$4:$E$490,0)),INDEX('48 فريقًا'!$D$4:$D$490,MATCH("* ضد "&amp;CC8,'48 فريقًا'!$E$4:$E$490,0)))</f>
        <v>المجموعة 1</v>
      </c>
      <c r="CE8" s="2">
        <f>COUNTIF('48 فريقًا'!$E$4:$E$490,CC8&amp;" ضد *")+COUNTIF('48 فريقًا'!$E$4:$E$490,"* ضد "&amp;CC8)</f>
        <v>20</v>
      </c>
      <c r="CF8" s="2">
        <f t="shared" si="24"/>
        <v>5</v>
      </c>
    </row>
    <row r="9" spans="1:84">
      <c r="F9" s="2">
        <v>7</v>
      </c>
      <c r="G9" s="2" t="str">
        <f t="shared" si="2"/>
        <v>المجموعة 1</v>
      </c>
      <c r="H9" s="2">
        <f>COUNTIF('7 فرق'!$D$4:$D$66,F9&amp;" ضد *")+COUNTIF('7 فرق'!$D$4:$D$66,"* ضد "&amp;F9)</f>
        <v>18</v>
      </c>
      <c r="I9" s="2">
        <f t="shared" si="3"/>
        <v>6</v>
      </c>
      <c r="K9" s="2">
        <v>7</v>
      </c>
      <c r="L9" s="2" t="str">
        <f t="shared" si="4"/>
        <v>المجموعة 1</v>
      </c>
      <c r="M9" s="2">
        <f>COUNTIF('8 فرق'!$D$4:$D$87,K9&amp;" ضد *")+COUNTIF('8 فرق'!$D$4:$D$87,"* ضد "&amp;K9)</f>
        <v>21</v>
      </c>
      <c r="N9" s="2">
        <f t="shared" si="5"/>
        <v>7</v>
      </c>
      <c r="P9" s="2">
        <v>7</v>
      </c>
      <c r="Q9" s="2" t="str">
        <f t="shared" si="6"/>
        <v>المجموعة 1</v>
      </c>
      <c r="R9" s="2">
        <f>COUNTIF('10 فرق'!$D$4:$D$93,P9&amp;" ضد *")+COUNTIF('10 فرق'!$D$4:$D$93,"* ضد "&amp;P9)</f>
        <v>18</v>
      </c>
      <c r="S9" s="2">
        <f t="shared" si="7"/>
        <v>9</v>
      </c>
      <c r="U9" s="2">
        <v>7</v>
      </c>
      <c r="V9" s="2" t="str">
        <f>IFERROR(INDEX('13 فريقًا'!$D$4:$D$127,MATCH(U9&amp;" ضد *",'13 فريقًا'!$E$4:$E$127,0)),INDEX('13 فريقًا'!$D$4:$D$127,MATCH("* ضد "&amp;U9,'13 فريقًا'!$E$4:$E$127,0)))</f>
        <v>المجموعة 1</v>
      </c>
      <c r="W9" s="2">
        <f>COUNTIF('13 فريقًا'!$E$4:$E$127,U9&amp;" ضد *")+COUNTIF('13 فريقًا'!$E$4:$E$127,"* ضد "&amp;U9)</f>
        <v>18</v>
      </c>
      <c r="X9" s="2">
        <f t="shared" si="8"/>
        <v>6</v>
      </c>
      <c r="Z9" s="2">
        <v>7</v>
      </c>
      <c r="AA9" s="2" t="str">
        <f>IFERROR(INDEX('14 فريقًا'!$D$4:$D$130,MATCH(Z9&amp;" ضد *",'14 فريقًا'!$E$4:$E$130,0)),INDEX('14 فريقًا'!$D$4:$D$130,MATCH("* ضد "&amp;Z9,'14 فريقًا'!$E$4:$E$130,0)))</f>
        <v>المجموعة 1</v>
      </c>
      <c r="AB9" s="2">
        <f>COUNTIF('14 فريقًا'!$E$4:$E$130,Z9&amp;" ضد *")+COUNTIF('14 فريقًا'!$E$4:$E$130,"* ضد "&amp;Z9)</f>
        <v>18</v>
      </c>
      <c r="AC9" s="2">
        <f t="shared" si="9"/>
        <v>6</v>
      </c>
      <c r="AE9" s="2">
        <v>7</v>
      </c>
      <c r="AF9" s="2" t="str">
        <f>IFERROR(INDEX('15 فريقًا'!$D$4:$D$151,MATCH(AE9&amp;" ضد *",'15 فريقًا'!$E$4:$E$151,0)),INDEX('15 فريقًا'!$D$4:$D$151,MATCH("* ضد "&amp;AE9,'15 فريقًا'!$E$4:$E$151,0)))</f>
        <v>المجموعة 1</v>
      </c>
      <c r="AG9" s="2">
        <f>COUNTIF('15 فريقًا'!$E$4:$E$151,AE9&amp;" ضد *")+COUNTIF('15 فريقًا'!$E$4:$E$151,"* ضد "&amp;AE9)</f>
        <v>21</v>
      </c>
      <c r="AH9" s="2">
        <f t="shared" si="10"/>
        <v>7</v>
      </c>
      <c r="AJ9" s="2">
        <v>7</v>
      </c>
      <c r="AK9" s="2" t="str">
        <f>IFERROR(INDEX('16 فريقًا'!$D$4:$D$172,MATCH(AJ9&amp;" ضد *",'16 فريقًا'!$E$4:$E$172,0)),INDEX('16 فريقًا'!$D$4:$D$172,MATCH("* ضد "&amp;AJ9,'16 فريقًا'!$E$4:$E$172,0)))</f>
        <v>المجموعة 1</v>
      </c>
      <c r="AL9" s="2">
        <f>COUNTIF('16 فريقًا'!$E$4:$E$172,AJ9&amp;" ضد *")+COUNTIF('16 فريقًا'!$E$4:$E$172,"* ضد "&amp;AJ9)</f>
        <v>21</v>
      </c>
      <c r="AM9" s="2">
        <f t="shared" si="11"/>
        <v>7</v>
      </c>
      <c r="AO9" s="2">
        <v>7</v>
      </c>
      <c r="AP9" s="2" t="str">
        <f>IFERROR(INDEX('18 فريقًا'!$D$4:$D$186,MATCH(AO9&amp;" ضد *",'18 فريقًا'!$E$4:$E$186,0)),INDEX('18 فريقًا'!$D$4:$D$186,MATCH("* ضد "&amp;AO9,'18 فريقًا'!$E$4:$E$186,0)))</f>
        <v>المجموعة 2</v>
      </c>
      <c r="AQ9" s="2">
        <f>COUNTIF('18 فريقًا'!$E$4:$E$186,AO9&amp;" ضد *")+COUNTIF('18 فريقًا'!$E$4:$E$186,"* ضد "&amp;AO9)</f>
        <v>20</v>
      </c>
      <c r="AR9" s="2">
        <f t="shared" si="12"/>
        <v>5</v>
      </c>
      <c r="AT9" s="2">
        <v>7</v>
      </c>
      <c r="AU9" s="2" t="str">
        <f t="shared" si="13"/>
        <v>المجموعة 1</v>
      </c>
      <c r="AV9" s="2">
        <f>COUNTIF('19 فريقًا'!$D$4:$D$174,AT9&amp;" ضد *")+COUNTIF('19 فريقًا'!$D$4:$D$174,"* ضد "&amp;AT9)</f>
        <v>18</v>
      </c>
      <c r="AW9" s="2">
        <f t="shared" si="14"/>
        <v>18</v>
      </c>
      <c r="AY9" s="2">
        <v>7</v>
      </c>
      <c r="AZ9" s="2" t="str">
        <f t="shared" si="15"/>
        <v>المجموعة 1</v>
      </c>
      <c r="BA9" s="2">
        <f>COUNTIF('20 فريقًا'!$D$4:$D$193,AY9&amp;" ضد *")+COUNTIF('20 فريقًا'!$D$4:$D$193,"* ضد "&amp;AY9)</f>
        <v>19</v>
      </c>
      <c r="BB9" s="2">
        <f t="shared" si="16"/>
        <v>19</v>
      </c>
      <c r="BD9" s="2">
        <v>7</v>
      </c>
      <c r="BE9" s="2" t="str">
        <f t="shared" si="17"/>
        <v>المجموعة 1</v>
      </c>
      <c r="BF9" s="2">
        <f>COUNTIF('21 فريقًا'!$D$4:$D$213,BD9&amp;" ضد *")+COUNTIF('21 فريقًا'!$D$4:$D$213,"* ضد "&amp;BD9)</f>
        <v>20</v>
      </c>
      <c r="BG9" s="2">
        <f t="shared" si="18"/>
        <v>20</v>
      </c>
      <c r="BI9" s="2">
        <v>7</v>
      </c>
      <c r="BJ9" s="2" t="str">
        <f t="shared" si="19"/>
        <v>المجموعة 1</v>
      </c>
      <c r="BK9" s="2">
        <f>COUNTIF('22 فريقًا'!$D$4:$D$234,BI9&amp;" ضد *")+COUNTIF('22 فريقًا'!$D$4:$D$234,"* ضد "&amp;BI9)</f>
        <v>21</v>
      </c>
      <c r="BL9" s="2">
        <f t="shared" si="20"/>
        <v>21</v>
      </c>
      <c r="BN9" s="2">
        <v>7</v>
      </c>
      <c r="BO9" s="2" t="str">
        <f>IFERROR(INDEX('23 فريقًا'!$D$4:$D$237,MATCH(BN9&amp;" ضد *",'23 فريقًا'!$E$4:$E$237,0)),INDEX('23 فريقًا'!$D$4:$D$237,MATCH("* ضد "&amp;BN9,'23 فريقًا'!$E$4:$E$237,0)))</f>
        <v>المجموعة 1</v>
      </c>
      <c r="BP9" s="2">
        <f>COUNTIF('23 فريقًا'!$E$4:$E$237,BN9&amp;" ضد *")+COUNTIF('23 فريقًا'!$E$4:$E$237,"* ضد "&amp;BN9)</f>
        <v>21</v>
      </c>
      <c r="BQ9" s="2">
        <f t="shared" si="21"/>
        <v>7</v>
      </c>
      <c r="BS9" s="2">
        <v>7</v>
      </c>
      <c r="BT9" s="2" t="str">
        <f>IFERROR(INDEX('31 فريقًا'!$D$4:$D$321,MATCH(BS9&amp;" ضد *",'31 فريقًا'!$E$4:$E$321,0)),INDEX('31 فريقًا'!$D$4:$D$321,MATCH("* ضد "&amp;BS9,'31 فريقًا'!$E$4:$E$321,0)))</f>
        <v>المجموعة 1</v>
      </c>
      <c r="BU9" s="2">
        <f>COUNTIF('31 فريقًا'!$E$4:$E$321,BS9&amp;" ضد *")+COUNTIF('31 فريقًا'!$E$4:$E$321,"* ضد "&amp;BS9)</f>
        <v>21</v>
      </c>
      <c r="BV9" s="2">
        <f t="shared" si="22"/>
        <v>7</v>
      </c>
      <c r="BX9" s="2">
        <v>7</v>
      </c>
      <c r="BY9" s="2" t="str">
        <f>IFERROR(INDEX('35 فريقًا'!$D$4:$D$325,MATCH(BX9&amp;" ضد *",'35 فريقًا'!$E$4:$E$325,0)),INDEX('35 فريقًا'!$D$4:$D$325,MATCH("* ضد "&amp;BX9,'35 فريقًا'!$E$4:$E$325,0)))</f>
        <v>المجموعة 1</v>
      </c>
      <c r="BZ9" s="2">
        <f>COUNTIF('35 فريقًا'!$E$4:$E$325,BX9&amp;" ضد *")+COUNTIF('35 فريقًا'!$E$4:$E$325,"* ضد "&amp;BX9)</f>
        <v>18</v>
      </c>
      <c r="CA9" s="2">
        <f t="shared" si="23"/>
        <v>6</v>
      </c>
      <c r="CC9" s="2">
        <v>7</v>
      </c>
      <c r="CD9" s="2" t="str">
        <f>IFERROR(INDEX('48 فريقًا'!$D$4:$D$490,MATCH(CC9&amp;" ضد *",'48 فريقًا'!$E$4:$E$490,0)),INDEX('48 فريقًا'!$D$4:$D$490,MATCH("* ضد "&amp;CC9,'48 فريقًا'!$E$4:$E$490,0)))</f>
        <v>المجموعة 2</v>
      </c>
      <c r="CE9" s="2">
        <f>COUNTIF('48 فريقًا'!$E$4:$E$490,CC9&amp;" ضد *")+COUNTIF('48 فريقًا'!$E$4:$E$490,"* ضد "&amp;CC9)</f>
        <v>20</v>
      </c>
      <c r="CF9" s="2">
        <f t="shared" si="24"/>
        <v>5</v>
      </c>
    </row>
    <row r="10" spans="1:84">
      <c r="K10" s="2">
        <v>8</v>
      </c>
      <c r="L10" s="2" t="str">
        <f t="shared" si="4"/>
        <v>المجموعة 1</v>
      </c>
      <c r="M10" s="2">
        <f>COUNTIF('8 فرق'!$D$4:$D$87,K10&amp;" ضد *")+COUNTIF('8 فرق'!$D$4:$D$87,"* ضد "&amp;K10)</f>
        <v>21</v>
      </c>
      <c r="N10" s="2">
        <f t="shared" si="5"/>
        <v>7</v>
      </c>
      <c r="P10" s="2">
        <v>8</v>
      </c>
      <c r="Q10" s="2" t="str">
        <f t="shared" si="6"/>
        <v>المجموعة 1</v>
      </c>
      <c r="R10" s="2">
        <f>COUNTIF('10 فرق'!$D$4:$D$93,P10&amp;" ضد *")+COUNTIF('10 فرق'!$D$4:$D$93,"* ضد "&amp;P10)</f>
        <v>18</v>
      </c>
      <c r="S10" s="2">
        <f t="shared" si="7"/>
        <v>9</v>
      </c>
      <c r="U10" s="2">
        <v>8</v>
      </c>
      <c r="V10" s="2" t="str">
        <f>IFERROR(INDEX('13 فريقًا'!$D$4:$D$127,MATCH(U10&amp;" ضد *",'13 فريقًا'!$E$4:$E$127,0)),INDEX('13 فريقًا'!$D$4:$D$127,MATCH("* ضد "&amp;U10,'13 فريقًا'!$E$4:$E$127,0)))</f>
        <v>المجموعة 2</v>
      </c>
      <c r="W10" s="2">
        <f>COUNTIF('13 فريقًا'!$E$4:$E$127,U10&amp;" ضد *")+COUNTIF('13 فريقًا'!$E$4:$E$127,"* ضد "&amp;U10)</f>
        <v>20</v>
      </c>
      <c r="X10" s="2">
        <f t="shared" si="8"/>
        <v>5</v>
      </c>
      <c r="Z10" s="2">
        <v>8</v>
      </c>
      <c r="AA10" s="2" t="str">
        <f>IFERROR(INDEX('14 فريقًا'!$D$4:$D$130,MATCH(Z10&amp;" ضد *",'14 فريقًا'!$E$4:$E$130,0)),INDEX('14 فريقًا'!$D$4:$D$130,MATCH("* ضد "&amp;Z10,'14 فريقًا'!$E$4:$E$130,0)))</f>
        <v>المجموعة 2</v>
      </c>
      <c r="AB10" s="2">
        <f>COUNTIF('14 فريقًا'!$E$4:$E$130,Z10&amp;" ضد *")+COUNTIF('14 فريقًا'!$E$4:$E$130,"* ضد "&amp;Z10)</f>
        <v>18</v>
      </c>
      <c r="AC10" s="2">
        <f t="shared" si="9"/>
        <v>6</v>
      </c>
      <c r="AE10" s="2">
        <v>8</v>
      </c>
      <c r="AF10" s="2" t="str">
        <f>IFERROR(INDEX('15 فريقًا'!$D$4:$D$151,MATCH(AE10&amp;" ضد *",'15 فريقًا'!$E$4:$E$151,0)),INDEX('15 فريقًا'!$D$4:$D$151,MATCH("* ضد "&amp;AE10,'15 فريقًا'!$E$4:$E$151,0)))</f>
        <v>المجموعة 1</v>
      </c>
      <c r="AG10" s="2">
        <f>COUNTIF('15 فريقًا'!$E$4:$E$151,AE10&amp;" ضد *")+COUNTIF('15 فريقًا'!$E$4:$E$151,"* ضد "&amp;AE10)</f>
        <v>21</v>
      </c>
      <c r="AH10" s="2">
        <f t="shared" si="10"/>
        <v>7</v>
      </c>
      <c r="AJ10" s="2">
        <v>8</v>
      </c>
      <c r="AK10" s="2" t="str">
        <f>IFERROR(INDEX('16 فريقًا'!$D$4:$D$172,MATCH(AJ10&amp;" ضد *",'16 فريقًا'!$E$4:$E$172,0)),INDEX('16 فريقًا'!$D$4:$D$172,MATCH("* ضد "&amp;AJ10,'16 فريقًا'!$E$4:$E$172,0)))</f>
        <v>المجموعة 1</v>
      </c>
      <c r="AL10" s="2">
        <f>COUNTIF('16 فريقًا'!$E$4:$E$172,AJ10&amp;" ضد *")+COUNTIF('16 فريقًا'!$E$4:$E$172,"* ضد "&amp;AJ10)</f>
        <v>21</v>
      </c>
      <c r="AM10" s="2">
        <f t="shared" si="11"/>
        <v>7</v>
      </c>
      <c r="AO10" s="2">
        <v>8</v>
      </c>
      <c r="AP10" s="2" t="str">
        <f>IFERROR(INDEX('18 فريقًا'!$D$4:$D$186,MATCH(AO10&amp;" ضد *",'18 فريقًا'!$E$4:$E$186,0)),INDEX('18 فريقًا'!$D$4:$D$186,MATCH("* ضد "&amp;AO10,'18 فريقًا'!$E$4:$E$186,0)))</f>
        <v>المجموعة 2</v>
      </c>
      <c r="AQ10" s="2">
        <f>COUNTIF('18 فريقًا'!$E$4:$E$186,AO10&amp;" ضد *")+COUNTIF('18 فريقًا'!$E$4:$E$186,"* ضد "&amp;AO10)</f>
        <v>20</v>
      </c>
      <c r="AR10" s="2">
        <f t="shared" si="12"/>
        <v>5</v>
      </c>
      <c r="AT10" s="2">
        <v>8</v>
      </c>
      <c r="AU10" s="2" t="str">
        <f t="shared" si="13"/>
        <v>المجموعة 1</v>
      </c>
      <c r="AV10" s="2">
        <f>COUNTIF('19 فريقًا'!$D$4:$D$174,AT10&amp;" ضد *")+COUNTIF('19 فريقًا'!$D$4:$D$174,"* ضد "&amp;AT10)</f>
        <v>18</v>
      </c>
      <c r="AW10" s="2">
        <f t="shared" si="14"/>
        <v>18</v>
      </c>
      <c r="AY10" s="2">
        <v>8</v>
      </c>
      <c r="AZ10" s="2" t="str">
        <f t="shared" si="15"/>
        <v>المجموعة 1</v>
      </c>
      <c r="BA10" s="2">
        <f>COUNTIF('20 فريقًا'!$D$4:$D$193,AY10&amp;" ضد *")+COUNTIF('20 فريقًا'!$D$4:$D$193,"* ضد "&amp;AY10)</f>
        <v>19</v>
      </c>
      <c r="BB10" s="2">
        <f t="shared" si="16"/>
        <v>19</v>
      </c>
      <c r="BD10" s="2">
        <v>8</v>
      </c>
      <c r="BE10" s="2" t="str">
        <f t="shared" si="17"/>
        <v>المجموعة 1</v>
      </c>
      <c r="BF10" s="2">
        <f>COUNTIF('21 فريقًا'!$D$4:$D$213,BD10&amp;" ضد *")+COUNTIF('21 فريقًا'!$D$4:$D$213,"* ضد "&amp;BD10)</f>
        <v>20</v>
      </c>
      <c r="BG10" s="2">
        <f t="shared" si="18"/>
        <v>20</v>
      </c>
      <c r="BI10" s="2">
        <v>8</v>
      </c>
      <c r="BJ10" s="2" t="str">
        <f t="shared" si="19"/>
        <v>المجموعة 1</v>
      </c>
      <c r="BK10" s="2">
        <f>COUNTIF('22 فريقًا'!$D$4:$D$234,BI10&amp;" ضد *")+COUNTIF('22 فريقًا'!$D$4:$D$234,"* ضد "&amp;BI10)</f>
        <v>21</v>
      </c>
      <c r="BL10" s="2">
        <f t="shared" si="20"/>
        <v>21</v>
      </c>
      <c r="BN10" s="2">
        <v>8</v>
      </c>
      <c r="BO10" s="2" t="str">
        <f>IFERROR(INDEX('23 فريقًا'!$D$4:$D$237,MATCH(BN10&amp;" ضد *",'23 فريقًا'!$E$4:$E$237,0)),INDEX('23 فريقًا'!$D$4:$D$237,MATCH("* ضد "&amp;BN10,'23 فريقًا'!$E$4:$E$237,0)))</f>
        <v>المجموعة 1</v>
      </c>
      <c r="BP10" s="2">
        <f>COUNTIF('23 فريقًا'!$E$4:$E$237,BN10&amp;" ضد *")+COUNTIF('23 فريقًا'!$E$4:$E$237,"* ضد "&amp;BN10)</f>
        <v>21</v>
      </c>
      <c r="BQ10" s="2">
        <f t="shared" si="21"/>
        <v>7</v>
      </c>
      <c r="BS10" s="2">
        <v>8</v>
      </c>
      <c r="BT10" s="2" t="str">
        <f>IFERROR(INDEX('31 فريقًا'!$D$4:$D$321,MATCH(BS10&amp;" ضد *",'31 فريقًا'!$E$4:$E$321,0)),INDEX('31 فريقًا'!$D$4:$D$321,MATCH("* ضد "&amp;BS10,'31 فريقًا'!$E$4:$E$321,0)))</f>
        <v>المجموعة 1</v>
      </c>
      <c r="BU10" s="2">
        <f>COUNTIF('31 فريقًا'!$E$4:$E$321,BS10&amp;" ضد *")+COUNTIF('31 فريقًا'!$E$4:$E$321,"* ضد "&amp;BS10)</f>
        <v>21</v>
      </c>
      <c r="BV10" s="2">
        <f t="shared" si="22"/>
        <v>7</v>
      </c>
      <c r="BX10" s="2">
        <v>8</v>
      </c>
      <c r="BY10" s="2" t="str">
        <f>IFERROR(INDEX('35 فريقًا'!$D$4:$D$325,MATCH(BX10&amp;" ضد *",'35 فريقًا'!$E$4:$E$325,0)),INDEX('35 فريقًا'!$D$4:$D$325,MATCH("* ضد "&amp;BX10,'35 فريقًا'!$E$4:$E$325,0)))</f>
        <v>المجموعة 2</v>
      </c>
      <c r="BZ10" s="2">
        <f>COUNTIF('35 فريقًا'!$E$4:$E$325,BX10&amp;" ضد *")+COUNTIF('35 فريقًا'!$E$4:$E$325,"* ضد "&amp;BX10)</f>
        <v>18</v>
      </c>
      <c r="CA10" s="2">
        <f t="shared" si="23"/>
        <v>6</v>
      </c>
      <c r="CC10" s="2">
        <v>8</v>
      </c>
      <c r="CD10" s="2" t="str">
        <f>IFERROR(INDEX('48 فريقًا'!$D$4:$D$490,MATCH(CC10&amp;" ضد *",'48 فريقًا'!$E$4:$E$490,0)),INDEX('48 فريقًا'!$D$4:$D$490,MATCH("* ضد "&amp;CC10,'48 فريقًا'!$E$4:$E$490,0)))</f>
        <v>المجموعة 2</v>
      </c>
      <c r="CE10" s="2">
        <f>COUNTIF('48 فريقًا'!$E$4:$E$490,CC10&amp;" ضد *")+COUNTIF('48 فريقًا'!$E$4:$E$490,"* ضد "&amp;CC10)</f>
        <v>20</v>
      </c>
      <c r="CF10" s="2">
        <f t="shared" si="24"/>
        <v>5</v>
      </c>
    </row>
    <row r="11" spans="1:84">
      <c r="P11" s="2">
        <v>9</v>
      </c>
      <c r="Q11" s="2" t="str">
        <f t="shared" si="6"/>
        <v>المجموعة 1</v>
      </c>
      <c r="R11" s="2">
        <f>COUNTIF('10 فرق'!$D$4:$D$93,P11&amp;" ضد *")+COUNTIF('10 فرق'!$D$4:$D$93,"* ضد "&amp;P11)</f>
        <v>18</v>
      </c>
      <c r="S11" s="2">
        <f t="shared" si="7"/>
        <v>9</v>
      </c>
      <c r="U11" s="2">
        <v>9</v>
      </c>
      <c r="V11" s="2" t="str">
        <f>IFERROR(INDEX('13 فريقًا'!$D$4:$D$127,MATCH(U11&amp;" ضد *",'13 فريقًا'!$E$4:$E$127,0)),INDEX('13 فريقًا'!$D$4:$D$127,MATCH("* ضد "&amp;U11,'13 فريقًا'!$E$4:$E$127,0)))</f>
        <v>المجموعة 2</v>
      </c>
      <c r="W11" s="2">
        <f>COUNTIF('13 فريقًا'!$E$4:$E$127,U11&amp;" ضد *")+COUNTIF('13 فريقًا'!$E$4:$E$127,"* ضد "&amp;U11)</f>
        <v>20</v>
      </c>
      <c r="X11" s="2">
        <f t="shared" si="8"/>
        <v>5</v>
      </c>
      <c r="Z11" s="2">
        <v>9</v>
      </c>
      <c r="AA11" s="2" t="str">
        <f>IFERROR(INDEX('14 فريقًا'!$D$4:$D$130,MATCH(Z11&amp;" ضد *",'14 فريقًا'!$E$4:$E$130,0)),INDEX('14 فريقًا'!$D$4:$D$130,MATCH("* ضد "&amp;Z11,'14 فريقًا'!$E$4:$E$130,0)))</f>
        <v>المجموعة 2</v>
      </c>
      <c r="AB11" s="2">
        <f>COUNTIF('14 فريقًا'!$E$4:$E$130,Z11&amp;" ضد *")+COUNTIF('14 فريقًا'!$E$4:$E$130,"* ضد "&amp;Z11)</f>
        <v>18</v>
      </c>
      <c r="AC11" s="2">
        <f t="shared" si="9"/>
        <v>6</v>
      </c>
      <c r="AE11" s="2">
        <v>9</v>
      </c>
      <c r="AF11" s="2" t="str">
        <f>IFERROR(INDEX('15 فريقًا'!$D$4:$D$151,MATCH(AE11&amp;" ضد *",'15 فريقًا'!$E$4:$E$151,0)),INDEX('15 فريقًا'!$D$4:$D$151,MATCH("* ضد "&amp;AE11,'15 فريقًا'!$E$4:$E$151,0)))</f>
        <v>المجموعة 2</v>
      </c>
      <c r="AG11" s="2">
        <f>COUNTIF('15 فريقًا'!$E$4:$E$151,AE11&amp;" ضد *")+COUNTIF('15 فريقًا'!$E$4:$E$151,"* ضد "&amp;AE11)</f>
        <v>18</v>
      </c>
      <c r="AH11" s="2">
        <f t="shared" si="10"/>
        <v>6</v>
      </c>
      <c r="AJ11" s="2">
        <v>9</v>
      </c>
      <c r="AK11" s="2" t="str">
        <f>IFERROR(INDEX('16 فريقًا'!$D$4:$D$172,MATCH(AJ11&amp;" ضد *",'16 فريقًا'!$E$4:$E$172,0)),INDEX('16 فريقًا'!$D$4:$D$172,MATCH("* ضد "&amp;AJ11,'16 فريقًا'!$E$4:$E$172,0)))</f>
        <v>المجموعة 2</v>
      </c>
      <c r="AL11" s="2">
        <f>COUNTIF('16 فريقًا'!$E$4:$E$172,AJ11&amp;" ضد *")+COUNTIF('16 فريقًا'!$E$4:$E$172,"* ضد "&amp;AJ11)</f>
        <v>21</v>
      </c>
      <c r="AM11" s="2">
        <f t="shared" si="11"/>
        <v>7</v>
      </c>
      <c r="AO11" s="2">
        <v>9</v>
      </c>
      <c r="AP11" s="2" t="str">
        <f>IFERROR(INDEX('18 فريقًا'!$D$4:$D$186,MATCH(AO11&amp;" ضد *",'18 فريقًا'!$E$4:$E$186,0)),INDEX('18 فريقًا'!$D$4:$D$186,MATCH("* ضد "&amp;AO11,'18 فريقًا'!$E$4:$E$186,0)))</f>
        <v>المجموعة 2</v>
      </c>
      <c r="AQ11" s="2">
        <f>COUNTIF('18 فريقًا'!$E$4:$E$186,AO11&amp;" ضد *")+COUNTIF('18 فريقًا'!$E$4:$E$186,"* ضد "&amp;AO11)</f>
        <v>20</v>
      </c>
      <c r="AR11" s="2">
        <f t="shared" si="12"/>
        <v>5</v>
      </c>
      <c r="AT11" s="2">
        <v>9</v>
      </c>
      <c r="AU11" s="2" t="str">
        <f t="shared" si="13"/>
        <v>المجموعة 1</v>
      </c>
      <c r="AV11" s="2">
        <f>COUNTIF('19 فريقًا'!$D$4:$D$174,AT11&amp;" ضد *")+COUNTIF('19 فريقًا'!$D$4:$D$174,"* ضد "&amp;AT11)</f>
        <v>18</v>
      </c>
      <c r="AW11" s="2">
        <f t="shared" si="14"/>
        <v>18</v>
      </c>
      <c r="AY11" s="2">
        <v>9</v>
      </c>
      <c r="AZ11" s="2" t="str">
        <f t="shared" si="15"/>
        <v>المجموعة 1</v>
      </c>
      <c r="BA11" s="2">
        <f>COUNTIF('20 فريقًا'!$D$4:$D$193,AY11&amp;" ضد *")+COUNTIF('20 فريقًا'!$D$4:$D$193,"* ضد "&amp;AY11)</f>
        <v>19</v>
      </c>
      <c r="BB11" s="2">
        <f t="shared" si="16"/>
        <v>19</v>
      </c>
      <c r="BD11" s="2">
        <v>9</v>
      </c>
      <c r="BE11" s="2" t="str">
        <f t="shared" si="17"/>
        <v>المجموعة 1</v>
      </c>
      <c r="BF11" s="2">
        <f>COUNTIF('21 فريقًا'!$D$4:$D$213,BD11&amp;" ضد *")+COUNTIF('21 فريقًا'!$D$4:$D$213,"* ضد "&amp;BD11)</f>
        <v>20</v>
      </c>
      <c r="BG11" s="2">
        <f t="shared" si="18"/>
        <v>20</v>
      </c>
      <c r="BI11" s="2">
        <v>9</v>
      </c>
      <c r="BJ11" s="2" t="str">
        <f t="shared" si="19"/>
        <v>المجموعة 1</v>
      </c>
      <c r="BK11" s="2">
        <f>COUNTIF('22 فريقًا'!$D$4:$D$234,BI11&amp;" ضد *")+COUNTIF('22 فريقًا'!$D$4:$D$234,"* ضد "&amp;BI11)</f>
        <v>21</v>
      </c>
      <c r="BL11" s="2">
        <f t="shared" si="20"/>
        <v>21</v>
      </c>
      <c r="BN11" s="2">
        <v>9</v>
      </c>
      <c r="BO11" s="2" t="str">
        <f>IFERROR(INDEX('23 فريقًا'!$D$4:$D$237,MATCH(BN11&amp;" ضد *",'23 فريقًا'!$E$4:$E$237,0)),INDEX('23 فريقًا'!$D$4:$D$237,MATCH("* ضد "&amp;BN11,'23 فريقًا'!$E$4:$E$237,0)))</f>
        <v>المجموعة 2</v>
      </c>
      <c r="BP11" s="2">
        <f>COUNTIF('23 فريقًا'!$E$4:$E$237,BN11&amp;" ضد *")+COUNTIF('23 فريقًا'!$E$4:$E$237,"* ضد "&amp;BN11)</f>
        <v>21</v>
      </c>
      <c r="BQ11" s="2">
        <f t="shared" si="21"/>
        <v>7</v>
      </c>
      <c r="BS11" s="2">
        <v>9</v>
      </c>
      <c r="BT11" s="2" t="str">
        <f>IFERROR(INDEX('31 فريقًا'!$D$4:$D$321,MATCH(BS11&amp;" ضد *",'31 فريقًا'!$E$4:$E$321,0)),INDEX('31 فريقًا'!$D$4:$D$321,MATCH("* ضد "&amp;BS11,'31 فريقًا'!$E$4:$E$321,0)))</f>
        <v>المجموعة 2</v>
      </c>
      <c r="BU11" s="2">
        <f>COUNTIF('31 فريقًا'!$E$4:$E$321,BS11&amp;" ضد *")+COUNTIF('31 فريقًا'!$E$4:$E$321,"* ضد "&amp;BS11)</f>
        <v>21</v>
      </c>
      <c r="BV11" s="2">
        <f t="shared" si="22"/>
        <v>7</v>
      </c>
      <c r="BX11" s="2">
        <v>9</v>
      </c>
      <c r="BY11" s="2" t="str">
        <f>IFERROR(INDEX('35 فريقًا'!$D$4:$D$325,MATCH(BX11&amp;" ضد *",'35 فريقًا'!$E$4:$E$325,0)),INDEX('35 فريقًا'!$D$4:$D$325,MATCH("* ضد "&amp;BX11,'35 فريقًا'!$E$4:$E$325,0)))</f>
        <v>المجموعة 2</v>
      </c>
      <c r="BZ11" s="2">
        <f>COUNTIF('35 فريقًا'!$E$4:$E$325,BX11&amp;" ضد *")+COUNTIF('35 فريقًا'!$E$4:$E$325,"* ضد "&amp;BX11)</f>
        <v>18</v>
      </c>
      <c r="CA11" s="2">
        <f t="shared" si="23"/>
        <v>6</v>
      </c>
      <c r="CC11" s="2">
        <v>9</v>
      </c>
      <c r="CD11" s="2" t="str">
        <f>IFERROR(INDEX('48 فريقًا'!$D$4:$D$490,MATCH(CC11&amp;" ضد *",'48 فريقًا'!$E$4:$E$490,0)),INDEX('48 فريقًا'!$D$4:$D$490,MATCH("* ضد "&amp;CC11,'48 فريقًا'!$E$4:$E$490,0)))</f>
        <v>المجموعة 2</v>
      </c>
      <c r="CE11" s="2">
        <f>COUNTIF('48 فريقًا'!$E$4:$E$490,CC11&amp;" ضد *")+COUNTIF('48 فريقًا'!$E$4:$E$490,"* ضد "&amp;CC11)</f>
        <v>20</v>
      </c>
      <c r="CF11" s="2">
        <f t="shared" si="24"/>
        <v>5</v>
      </c>
    </row>
    <row r="12" spans="1:84">
      <c r="P12" s="2">
        <v>10</v>
      </c>
      <c r="Q12" s="2" t="str">
        <f t="shared" si="6"/>
        <v>المجموعة 1</v>
      </c>
      <c r="R12" s="2">
        <f>COUNTIF('10 فرق'!$D$4:$D$93,P12&amp;" ضد *")+COUNTIF('10 فرق'!$D$4:$D$93,"* ضد "&amp;P12)</f>
        <v>18</v>
      </c>
      <c r="S12" s="2">
        <f t="shared" si="7"/>
        <v>9</v>
      </c>
      <c r="U12" s="2">
        <v>10</v>
      </c>
      <c r="V12" s="2" t="str">
        <f>IFERROR(INDEX('13 فريقًا'!$D$4:$D$127,MATCH(U12&amp;" ضد *",'13 فريقًا'!$E$4:$E$127,0)),INDEX('13 فريقًا'!$D$4:$D$127,MATCH("* ضد "&amp;U12,'13 فريقًا'!$E$4:$E$127,0)))</f>
        <v>المجموعة 2</v>
      </c>
      <c r="W12" s="2">
        <f>COUNTIF('13 فريقًا'!$E$4:$E$127,U12&amp;" ضد *")+COUNTIF('13 فريقًا'!$E$4:$E$127,"* ضد "&amp;U12)</f>
        <v>20</v>
      </c>
      <c r="X12" s="2">
        <f t="shared" si="8"/>
        <v>5</v>
      </c>
      <c r="Z12" s="2">
        <v>10</v>
      </c>
      <c r="AA12" s="2" t="str">
        <f>IFERROR(INDEX('14 فريقًا'!$D$4:$D$130,MATCH(Z12&amp;" ضد *",'14 فريقًا'!$E$4:$E$130,0)),INDEX('14 فريقًا'!$D$4:$D$130,MATCH("* ضد "&amp;Z12,'14 فريقًا'!$E$4:$E$130,0)))</f>
        <v>المجموعة 2</v>
      </c>
      <c r="AB12" s="2">
        <f>COUNTIF('14 فريقًا'!$E$4:$E$130,Z12&amp;" ضد *")+COUNTIF('14 فريقًا'!$E$4:$E$130,"* ضد "&amp;Z12)</f>
        <v>18</v>
      </c>
      <c r="AC12" s="2">
        <f t="shared" si="9"/>
        <v>6</v>
      </c>
      <c r="AE12" s="2">
        <v>10</v>
      </c>
      <c r="AF12" s="2" t="str">
        <f>IFERROR(INDEX('15 فريقًا'!$D$4:$D$151,MATCH(AE12&amp;" ضد *",'15 فريقًا'!$E$4:$E$151,0)),INDEX('15 فريقًا'!$D$4:$D$151,MATCH("* ضد "&amp;AE12,'15 فريقًا'!$E$4:$E$151,0)))</f>
        <v>المجموعة 2</v>
      </c>
      <c r="AG12" s="2">
        <f>COUNTIF('15 فريقًا'!$E$4:$E$151,AE12&amp;" ضد *")+COUNTIF('15 فريقًا'!$E$4:$E$151,"* ضد "&amp;AE12)</f>
        <v>18</v>
      </c>
      <c r="AH12" s="2">
        <f t="shared" si="10"/>
        <v>6</v>
      </c>
      <c r="AJ12" s="2">
        <v>10</v>
      </c>
      <c r="AK12" s="2" t="str">
        <f>IFERROR(INDEX('16 فريقًا'!$D$4:$D$172,MATCH(AJ12&amp;" ضد *",'16 فريقًا'!$E$4:$E$172,0)),INDEX('16 فريقًا'!$D$4:$D$172,MATCH("* ضد "&amp;AJ12,'16 فريقًا'!$E$4:$E$172,0)))</f>
        <v>المجموعة 2</v>
      </c>
      <c r="AL12" s="2">
        <f>COUNTIF('16 فريقًا'!$E$4:$E$172,AJ12&amp;" ضد *")+COUNTIF('16 فريقًا'!$E$4:$E$172,"* ضد "&amp;AJ12)</f>
        <v>21</v>
      </c>
      <c r="AM12" s="2">
        <f t="shared" si="11"/>
        <v>7</v>
      </c>
      <c r="AO12" s="2">
        <v>10</v>
      </c>
      <c r="AP12" s="2" t="str">
        <f>IFERROR(INDEX('18 فريقًا'!$D$4:$D$186,MATCH(AO12&amp;" ضد *",'18 فريقًا'!$E$4:$E$186,0)),INDEX('18 فريقًا'!$D$4:$D$186,MATCH("* ضد "&amp;AO12,'18 فريقًا'!$E$4:$E$186,0)))</f>
        <v>المجموعة 2</v>
      </c>
      <c r="AQ12" s="2">
        <f>COUNTIF('18 فريقًا'!$E$4:$E$186,AO12&amp;" ضد *")+COUNTIF('18 فريقًا'!$E$4:$E$186,"* ضد "&amp;AO12)</f>
        <v>20</v>
      </c>
      <c r="AR12" s="2">
        <f t="shared" si="12"/>
        <v>5</v>
      </c>
      <c r="AT12" s="2">
        <v>10</v>
      </c>
      <c r="AU12" s="2" t="str">
        <f t="shared" si="13"/>
        <v>المجموعة 1</v>
      </c>
      <c r="AV12" s="2">
        <f>COUNTIF('19 فريقًا'!$D$4:$D$174,AT12&amp;" ضد *")+COUNTIF('19 فريقًا'!$D$4:$D$174,"* ضد "&amp;AT12)</f>
        <v>18</v>
      </c>
      <c r="AW12" s="2">
        <f t="shared" si="14"/>
        <v>18</v>
      </c>
      <c r="AY12" s="2">
        <v>10</v>
      </c>
      <c r="AZ12" s="2" t="str">
        <f t="shared" si="15"/>
        <v>المجموعة 1</v>
      </c>
      <c r="BA12" s="2">
        <f>COUNTIF('20 فريقًا'!$D$4:$D$193,AY12&amp;" ضد *")+COUNTIF('20 فريقًا'!$D$4:$D$193,"* ضد "&amp;AY12)</f>
        <v>19</v>
      </c>
      <c r="BB12" s="2">
        <f t="shared" si="16"/>
        <v>19</v>
      </c>
      <c r="BD12" s="2">
        <v>10</v>
      </c>
      <c r="BE12" s="2" t="str">
        <f t="shared" si="17"/>
        <v>المجموعة 1</v>
      </c>
      <c r="BF12" s="2">
        <f>COUNTIF('21 فريقًا'!$D$4:$D$213,BD12&amp;" ضد *")+COUNTIF('21 فريقًا'!$D$4:$D$213,"* ضد "&amp;BD12)</f>
        <v>20</v>
      </c>
      <c r="BG12" s="2">
        <f t="shared" si="18"/>
        <v>20</v>
      </c>
      <c r="BI12" s="2">
        <v>10</v>
      </c>
      <c r="BJ12" s="2" t="str">
        <f t="shared" si="19"/>
        <v>المجموعة 1</v>
      </c>
      <c r="BK12" s="2">
        <f>COUNTIF('22 فريقًا'!$D$4:$D$234,BI12&amp;" ضد *")+COUNTIF('22 فريقًا'!$D$4:$D$234,"* ضد "&amp;BI12)</f>
        <v>21</v>
      </c>
      <c r="BL12" s="2">
        <f t="shared" si="20"/>
        <v>21</v>
      </c>
      <c r="BN12" s="2">
        <v>10</v>
      </c>
      <c r="BO12" s="2" t="str">
        <f>IFERROR(INDEX('23 فريقًا'!$D$4:$D$237,MATCH(BN12&amp;" ضد *",'23 فريقًا'!$E$4:$E$237,0)),INDEX('23 فريقًا'!$D$4:$D$237,MATCH("* ضد "&amp;BN12,'23 فريقًا'!$E$4:$E$237,0)))</f>
        <v>المجموعة 2</v>
      </c>
      <c r="BP12" s="2">
        <f>COUNTIF('23 فريقًا'!$E$4:$E$237,BN12&amp;" ضد *")+COUNTIF('23 فريقًا'!$E$4:$E$237,"* ضد "&amp;BN12)</f>
        <v>21</v>
      </c>
      <c r="BQ12" s="2">
        <f t="shared" si="21"/>
        <v>7</v>
      </c>
      <c r="BS12" s="2">
        <v>10</v>
      </c>
      <c r="BT12" s="2" t="str">
        <f>IFERROR(INDEX('31 فريقًا'!$D$4:$D$321,MATCH(BS12&amp;" ضد *",'31 فريقًا'!$E$4:$E$321,0)),INDEX('31 فريقًا'!$D$4:$D$321,MATCH("* ضد "&amp;BS12,'31 فريقًا'!$E$4:$E$321,0)))</f>
        <v>المجموعة 2</v>
      </c>
      <c r="BU12" s="2">
        <f>COUNTIF('31 فريقًا'!$E$4:$E$321,BS12&amp;" ضد *")+COUNTIF('31 فريقًا'!$E$4:$E$321,"* ضد "&amp;BS12)</f>
        <v>21</v>
      </c>
      <c r="BV12" s="2">
        <f t="shared" si="22"/>
        <v>7</v>
      </c>
      <c r="BX12" s="2">
        <v>10</v>
      </c>
      <c r="BY12" s="2" t="str">
        <f>IFERROR(INDEX('35 فريقًا'!$D$4:$D$325,MATCH(BX12&amp;" ضد *",'35 فريقًا'!$E$4:$E$325,0)),INDEX('35 فريقًا'!$D$4:$D$325,MATCH("* ضد "&amp;BX12,'35 فريقًا'!$E$4:$E$325,0)))</f>
        <v>المجموعة 2</v>
      </c>
      <c r="BZ12" s="2">
        <f>COUNTIF('35 فريقًا'!$E$4:$E$325,BX12&amp;" ضد *")+COUNTIF('35 فريقًا'!$E$4:$E$325,"* ضد "&amp;BX12)</f>
        <v>18</v>
      </c>
      <c r="CA12" s="2">
        <f t="shared" si="23"/>
        <v>6</v>
      </c>
      <c r="CC12" s="2">
        <v>10</v>
      </c>
      <c r="CD12" s="2" t="str">
        <f>IFERROR(INDEX('48 فريقًا'!$D$4:$D$490,MATCH(CC12&amp;" ضد *",'48 فريقًا'!$E$4:$E$490,0)),INDEX('48 فريقًا'!$D$4:$D$490,MATCH("* ضد "&amp;CC12,'48 فريقًا'!$E$4:$E$490,0)))</f>
        <v>المجموعة 2</v>
      </c>
      <c r="CE12" s="2">
        <f>COUNTIF('48 فريقًا'!$E$4:$E$490,CC12&amp;" ضد *")+COUNTIF('48 فريقًا'!$E$4:$E$490,"* ضد "&amp;CC12)</f>
        <v>20</v>
      </c>
      <c r="CF12" s="2">
        <f t="shared" si="24"/>
        <v>5</v>
      </c>
    </row>
    <row r="13" spans="1:84">
      <c r="U13" s="2">
        <v>11</v>
      </c>
      <c r="V13" s="2" t="str">
        <f>IFERROR(INDEX('13 فريقًا'!$D$4:$D$127,MATCH(U13&amp;" ضد *",'13 فريقًا'!$E$4:$E$127,0)),INDEX('13 فريقًا'!$D$4:$D$127,MATCH("* ضد "&amp;U13,'13 فريقًا'!$E$4:$E$127,0)))</f>
        <v>المجموعة 2</v>
      </c>
      <c r="W13" s="2">
        <f>COUNTIF('13 فريقًا'!$E$4:$E$127,U13&amp;" ضد *")+COUNTIF('13 فريقًا'!$E$4:$E$127,"* ضد "&amp;U13)</f>
        <v>20</v>
      </c>
      <c r="X13" s="2">
        <f t="shared" si="8"/>
        <v>5</v>
      </c>
      <c r="Z13" s="2">
        <v>11</v>
      </c>
      <c r="AA13" s="2" t="str">
        <f>IFERROR(INDEX('14 فريقًا'!$D$4:$D$130,MATCH(Z13&amp;" ضد *",'14 فريقًا'!$E$4:$E$130,0)),INDEX('14 فريقًا'!$D$4:$D$130,MATCH("* ضد "&amp;Z13,'14 فريقًا'!$E$4:$E$130,0)))</f>
        <v>المجموعة 2</v>
      </c>
      <c r="AB13" s="2">
        <f>COUNTIF('14 فريقًا'!$E$4:$E$130,Z13&amp;" ضد *")+COUNTIF('14 فريقًا'!$E$4:$E$130,"* ضد "&amp;Z13)</f>
        <v>18</v>
      </c>
      <c r="AC13" s="2">
        <f t="shared" si="9"/>
        <v>6</v>
      </c>
      <c r="AE13" s="2">
        <v>11</v>
      </c>
      <c r="AF13" s="2" t="str">
        <f>IFERROR(INDEX('15 فريقًا'!$D$4:$D$151,MATCH(AE13&amp;" ضد *",'15 فريقًا'!$E$4:$E$151,0)),INDEX('15 فريقًا'!$D$4:$D$151,MATCH("* ضد "&amp;AE13,'15 فريقًا'!$E$4:$E$151,0)))</f>
        <v>المجموعة 2</v>
      </c>
      <c r="AG13" s="2">
        <f>COUNTIF('15 فريقًا'!$E$4:$E$151,AE13&amp;" ضد *")+COUNTIF('15 فريقًا'!$E$4:$E$151,"* ضد "&amp;AE13)</f>
        <v>18</v>
      </c>
      <c r="AH13" s="2">
        <f t="shared" si="10"/>
        <v>6</v>
      </c>
      <c r="AJ13" s="2">
        <v>11</v>
      </c>
      <c r="AK13" s="2" t="str">
        <f>IFERROR(INDEX('16 فريقًا'!$D$4:$D$172,MATCH(AJ13&amp;" ضد *",'16 فريقًا'!$E$4:$E$172,0)),INDEX('16 فريقًا'!$D$4:$D$172,MATCH("* ضد "&amp;AJ13,'16 فريقًا'!$E$4:$E$172,0)))</f>
        <v>المجموعة 2</v>
      </c>
      <c r="AL13" s="2">
        <f>COUNTIF('16 فريقًا'!$E$4:$E$172,AJ13&amp;" ضد *")+COUNTIF('16 فريقًا'!$E$4:$E$172,"* ضد "&amp;AJ13)</f>
        <v>21</v>
      </c>
      <c r="AM13" s="2">
        <f t="shared" si="11"/>
        <v>7</v>
      </c>
      <c r="AO13" s="2">
        <v>11</v>
      </c>
      <c r="AP13" s="2" t="str">
        <f>IFERROR(INDEX('18 فريقًا'!$D$4:$D$186,MATCH(AO13&amp;" ضد *",'18 فريقًا'!$E$4:$E$186,0)),INDEX('18 فريقًا'!$D$4:$D$186,MATCH("* ضد "&amp;AO13,'18 فريقًا'!$E$4:$E$186,0)))</f>
        <v>المجموعة 2</v>
      </c>
      <c r="AQ13" s="2">
        <f>COUNTIF('18 فريقًا'!$E$4:$E$186,AO13&amp;" ضد *")+COUNTIF('18 فريقًا'!$E$4:$E$186,"* ضد "&amp;AO13)</f>
        <v>20</v>
      </c>
      <c r="AR13" s="2">
        <f t="shared" si="12"/>
        <v>5</v>
      </c>
      <c r="AT13" s="2">
        <v>11</v>
      </c>
      <c r="AU13" s="2" t="str">
        <f t="shared" si="13"/>
        <v>المجموعة 1</v>
      </c>
      <c r="AV13" s="2">
        <f>COUNTIF('19 فريقًا'!$D$4:$D$174,AT13&amp;" ضد *")+COUNTIF('19 فريقًا'!$D$4:$D$174,"* ضد "&amp;AT13)</f>
        <v>18</v>
      </c>
      <c r="AW13" s="2">
        <f t="shared" si="14"/>
        <v>18</v>
      </c>
      <c r="AY13" s="2">
        <v>11</v>
      </c>
      <c r="AZ13" s="2" t="str">
        <f t="shared" si="15"/>
        <v>المجموعة 1</v>
      </c>
      <c r="BA13" s="2">
        <f>COUNTIF('20 فريقًا'!$D$4:$D$193,AY13&amp;" ضد *")+COUNTIF('20 فريقًا'!$D$4:$D$193,"* ضد "&amp;AY13)</f>
        <v>19</v>
      </c>
      <c r="BB13" s="2">
        <f t="shared" si="16"/>
        <v>19</v>
      </c>
      <c r="BD13" s="2">
        <v>11</v>
      </c>
      <c r="BE13" s="2" t="str">
        <f t="shared" si="17"/>
        <v>المجموعة 1</v>
      </c>
      <c r="BF13" s="2">
        <f>COUNTIF('21 فريقًا'!$D$4:$D$213,BD13&amp;" ضد *")+COUNTIF('21 فريقًا'!$D$4:$D$213,"* ضد "&amp;BD13)</f>
        <v>20</v>
      </c>
      <c r="BG13" s="2">
        <f t="shared" si="18"/>
        <v>20</v>
      </c>
      <c r="BI13" s="2">
        <v>11</v>
      </c>
      <c r="BJ13" s="2" t="str">
        <f t="shared" si="19"/>
        <v>المجموعة 1</v>
      </c>
      <c r="BK13" s="2">
        <f>COUNTIF('22 فريقًا'!$D$4:$D$234,BI13&amp;" ضد *")+COUNTIF('22 فريقًا'!$D$4:$D$234,"* ضد "&amp;BI13)</f>
        <v>21</v>
      </c>
      <c r="BL13" s="2">
        <f t="shared" si="20"/>
        <v>21</v>
      </c>
      <c r="BN13" s="2">
        <v>11</v>
      </c>
      <c r="BO13" s="2" t="str">
        <f>IFERROR(INDEX('23 فريقًا'!$D$4:$D$237,MATCH(BN13&amp;" ضد *",'23 فريقًا'!$E$4:$E$237,0)),INDEX('23 فريقًا'!$D$4:$D$237,MATCH("* ضد "&amp;BN13,'23 فريقًا'!$E$4:$E$237,0)))</f>
        <v>المجموعة 2</v>
      </c>
      <c r="BP13" s="2">
        <f>COUNTIF('23 فريقًا'!$E$4:$E$237,BN13&amp;" ضد *")+COUNTIF('23 فريقًا'!$E$4:$E$237,"* ضد "&amp;BN13)</f>
        <v>21</v>
      </c>
      <c r="BQ13" s="2">
        <f t="shared" si="21"/>
        <v>7</v>
      </c>
      <c r="BS13" s="2">
        <v>11</v>
      </c>
      <c r="BT13" s="2" t="str">
        <f>IFERROR(INDEX('31 فريقًا'!$D$4:$D$321,MATCH(BS13&amp;" ضد *",'31 فريقًا'!$E$4:$E$321,0)),INDEX('31 فريقًا'!$D$4:$D$321,MATCH("* ضد "&amp;BS13,'31 فريقًا'!$E$4:$E$321,0)))</f>
        <v>المجموعة 2</v>
      </c>
      <c r="BU13" s="2">
        <f>COUNTIF('31 فريقًا'!$E$4:$E$321,BS13&amp;" ضد *")+COUNTIF('31 فريقًا'!$E$4:$E$321,"* ضد "&amp;BS13)</f>
        <v>21</v>
      </c>
      <c r="BV13" s="2">
        <f t="shared" si="22"/>
        <v>7</v>
      </c>
      <c r="BX13" s="2">
        <v>11</v>
      </c>
      <c r="BY13" s="2" t="str">
        <f>IFERROR(INDEX('35 فريقًا'!$D$4:$D$325,MATCH(BX13&amp;" ضد *",'35 فريقًا'!$E$4:$E$325,0)),INDEX('35 فريقًا'!$D$4:$D$325,MATCH("* ضد "&amp;BX13,'35 فريقًا'!$E$4:$E$325,0)))</f>
        <v>المجموعة 2</v>
      </c>
      <c r="BZ13" s="2">
        <f>COUNTIF('35 فريقًا'!$E$4:$E$325,BX13&amp;" ضد *")+COUNTIF('35 فريقًا'!$E$4:$E$325,"* ضد "&amp;BX13)</f>
        <v>18</v>
      </c>
      <c r="CA13" s="2">
        <f t="shared" si="23"/>
        <v>6</v>
      </c>
      <c r="CC13" s="2">
        <v>11</v>
      </c>
      <c r="CD13" s="2" t="str">
        <f>IFERROR(INDEX('48 فريقًا'!$D$4:$D$490,MATCH(CC13&amp;" ضد *",'48 فريقًا'!$E$4:$E$490,0)),INDEX('48 فريقًا'!$D$4:$D$490,MATCH("* ضد "&amp;CC13,'48 فريقًا'!$E$4:$E$490,0)))</f>
        <v>المجموعة 2</v>
      </c>
      <c r="CE13" s="2">
        <f>COUNTIF('48 فريقًا'!$E$4:$E$490,CC13&amp;" ضد *")+COUNTIF('48 فريقًا'!$E$4:$E$490,"* ضد "&amp;CC13)</f>
        <v>20</v>
      </c>
      <c r="CF13" s="2">
        <f t="shared" si="24"/>
        <v>5</v>
      </c>
    </row>
    <row r="14" spans="1:84">
      <c r="U14" s="2">
        <v>12</v>
      </c>
      <c r="V14" s="2" t="str">
        <f>IFERROR(INDEX('13 فريقًا'!$D$4:$D$127,MATCH(U14&amp;" ضد *",'13 فريقًا'!$E$4:$E$127,0)),INDEX('13 فريقًا'!$D$4:$D$127,MATCH("* ضد "&amp;U14,'13 فريقًا'!$E$4:$E$127,0)))</f>
        <v>المجموعة 2</v>
      </c>
      <c r="W14" s="2">
        <f>COUNTIF('13 فريقًا'!$E$4:$E$127,U14&amp;" ضد *")+COUNTIF('13 فريقًا'!$E$4:$E$127,"* ضد "&amp;U14)</f>
        <v>20</v>
      </c>
      <c r="X14" s="2">
        <f t="shared" si="8"/>
        <v>5</v>
      </c>
      <c r="Z14" s="2">
        <v>12</v>
      </c>
      <c r="AA14" s="2" t="str">
        <f>IFERROR(INDEX('14 فريقًا'!$D$4:$D$130,MATCH(Z14&amp;" ضد *",'14 فريقًا'!$E$4:$E$130,0)),INDEX('14 فريقًا'!$D$4:$D$130,MATCH("* ضد "&amp;Z14,'14 فريقًا'!$E$4:$E$130,0)))</f>
        <v>المجموعة 2</v>
      </c>
      <c r="AB14" s="2">
        <f>COUNTIF('14 فريقًا'!$E$4:$E$130,Z14&amp;" ضد *")+COUNTIF('14 فريقًا'!$E$4:$E$130,"* ضد "&amp;Z14)</f>
        <v>18</v>
      </c>
      <c r="AC14" s="2">
        <f t="shared" si="9"/>
        <v>6</v>
      </c>
      <c r="AE14" s="2">
        <v>12</v>
      </c>
      <c r="AF14" s="2" t="str">
        <f>IFERROR(INDEX('15 فريقًا'!$D$4:$D$151,MATCH(AE14&amp;" ضد *",'15 فريقًا'!$E$4:$E$151,0)),INDEX('15 فريقًا'!$D$4:$D$151,MATCH("* ضد "&amp;AE14,'15 فريقًا'!$E$4:$E$151,0)))</f>
        <v>المجموعة 2</v>
      </c>
      <c r="AG14" s="2">
        <f>COUNTIF('15 فريقًا'!$E$4:$E$151,AE14&amp;" ضد *")+COUNTIF('15 فريقًا'!$E$4:$E$151,"* ضد "&amp;AE14)</f>
        <v>18</v>
      </c>
      <c r="AH14" s="2">
        <f t="shared" si="10"/>
        <v>6</v>
      </c>
      <c r="AJ14" s="2">
        <v>12</v>
      </c>
      <c r="AK14" s="2" t="str">
        <f>IFERROR(INDEX('16 فريقًا'!$D$4:$D$172,MATCH(AJ14&amp;" ضد *",'16 فريقًا'!$E$4:$E$172,0)),INDEX('16 فريقًا'!$D$4:$D$172,MATCH("* ضد "&amp;AJ14,'16 فريقًا'!$E$4:$E$172,0)))</f>
        <v>المجموعة 2</v>
      </c>
      <c r="AL14" s="2">
        <f>COUNTIF('16 فريقًا'!$E$4:$E$172,AJ14&amp;" ضد *")+COUNTIF('16 فريقًا'!$E$4:$E$172,"* ضد "&amp;AJ14)</f>
        <v>21</v>
      </c>
      <c r="AM14" s="2">
        <f t="shared" si="11"/>
        <v>7</v>
      </c>
      <c r="AO14" s="2">
        <v>12</v>
      </c>
      <c r="AP14" s="2" t="str">
        <f>IFERROR(INDEX('18 فريقًا'!$D$4:$D$186,MATCH(AO14&amp;" ضد *",'18 فريقًا'!$E$4:$E$186,0)),INDEX('18 فريقًا'!$D$4:$D$186,MATCH("* ضد "&amp;AO14,'18 فريقًا'!$E$4:$E$186,0)))</f>
        <v>المجموعة 2</v>
      </c>
      <c r="AQ14" s="2">
        <f>COUNTIF('18 فريقًا'!$E$4:$E$186,AO14&amp;" ضد *")+COUNTIF('18 فريقًا'!$E$4:$E$186,"* ضد "&amp;AO14)</f>
        <v>20</v>
      </c>
      <c r="AR14" s="2">
        <f t="shared" si="12"/>
        <v>5</v>
      </c>
      <c r="AT14" s="2">
        <v>12</v>
      </c>
      <c r="AU14" s="2" t="str">
        <f t="shared" si="13"/>
        <v>المجموعة 1</v>
      </c>
      <c r="AV14" s="2">
        <f>COUNTIF('19 فريقًا'!$D$4:$D$174,AT14&amp;" ضد *")+COUNTIF('19 فريقًا'!$D$4:$D$174,"* ضد "&amp;AT14)</f>
        <v>18</v>
      </c>
      <c r="AW14" s="2">
        <f t="shared" si="14"/>
        <v>18</v>
      </c>
      <c r="AY14" s="2">
        <v>12</v>
      </c>
      <c r="AZ14" s="2" t="str">
        <f t="shared" si="15"/>
        <v>المجموعة 1</v>
      </c>
      <c r="BA14" s="2">
        <f>COUNTIF('20 فريقًا'!$D$4:$D$193,AY14&amp;" ضد *")+COUNTIF('20 فريقًا'!$D$4:$D$193,"* ضد "&amp;AY14)</f>
        <v>19</v>
      </c>
      <c r="BB14" s="2">
        <f t="shared" si="16"/>
        <v>19</v>
      </c>
      <c r="BD14" s="2">
        <v>12</v>
      </c>
      <c r="BE14" s="2" t="str">
        <f t="shared" si="17"/>
        <v>المجموعة 1</v>
      </c>
      <c r="BF14" s="2">
        <f>COUNTIF('21 فريقًا'!$D$4:$D$213,BD14&amp;" ضد *")+COUNTIF('21 فريقًا'!$D$4:$D$213,"* ضد "&amp;BD14)</f>
        <v>20</v>
      </c>
      <c r="BG14" s="2">
        <f t="shared" si="18"/>
        <v>20</v>
      </c>
      <c r="BI14" s="2">
        <v>12</v>
      </c>
      <c r="BJ14" s="2" t="str">
        <f t="shared" si="19"/>
        <v>المجموعة 1</v>
      </c>
      <c r="BK14" s="2">
        <f>COUNTIF('22 فريقًا'!$D$4:$D$234,BI14&amp;" ضد *")+COUNTIF('22 فريقًا'!$D$4:$D$234,"* ضد "&amp;BI14)</f>
        <v>21</v>
      </c>
      <c r="BL14" s="2">
        <f t="shared" si="20"/>
        <v>21</v>
      </c>
      <c r="BN14" s="2">
        <v>12</v>
      </c>
      <c r="BO14" s="2" t="str">
        <f>IFERROR(INDEX('23 فريقًا'!$D$4:$D$237,MATCH(BN14&amp;" ضد *",'23 فريقًا'!$E$4:$E$237,0)),INDEX('23 فريقًا'!$D$4:$D$237,MATCH("* ضد "&amp;BN14,'23 فريقًا'!$E$4:$E$237,0)))</f>
        <v>المجموعة 2</v>
      </c>
      <c r="BP14" s="2">
        <f>COUNTIF('23 فريقًا'!$E$4:$E$237,BN14&amp;" ضد *")+COUNTIF('23 فريقًا'!$E$4:$E$237,"* ضد "&amp;BN14)</f>
        <v>21</v>
      </c>
      <c r="BQ14" s="2">
        <f t="shared" si="21"/>
        <v>7</v>
      </c>
      <c r="BS14" s="2">
        <v>12</v>
      </c>
      <c r="BT14" s="2" t="str">
        <f>IFERROR(INDEX('31 فريقًا'!$D$4:$D$321,MATCH(BS14&amp;" ضد *",'31 فريقًا'!$E$4:$E$321,0)),INDEX('31 فريقًا'!$D$4:$D$321,MATCH("* ضد "&amp;BS14,'31 فريقًا'!$E$4:$E$321,0)))</f>
        <v>المجموعة 2</v>
      </c>
      <c r="BU14" s="2">
        <f>COUNTIF('31 فريقًا'!$E$4:$E$321,BS14&amp;" ضد *")+COUNTIF('31 فريقًا'!$E$4:$E$321,"* ضد "&amp;BS14)</f>
        <v>21</v>
      </c>
      <c r="BV14" s="2">
        <f t="shared" si="22"/>
        <v>7</v>
      </c>
      <c r="BX14" s="2">
        <v>12</v>
      </c>
      <c r="BY14" s="2" t="str">
        <f>IFERROR(INDEX('35 فريقًا'!$D$4:$D$325,MATCH(BX14&amp;" ضد *",'35 فريقًا'!$E$4:$E$325,0)),INDEX('35 فريقًا'!$D$4:$D$325,MATCH("* ضد "&amp;BX14,'35 فريقًا'!$E$4:$E$325,0)))</f>
        <v>المجموعة 2</v>
      </c>
      <c r="BZ14" s="2">
        <f>COUNTIF('35 فريقًا'!$E$4:$E$325,BX14&amp;" ضد *")+COUNTIF('35 فريقًا'!$E$4:$E$325,"* ضد "&amp;BX14)</f>
        <v>18</v>
      </c>
      <c r="CA14" s="2">
        <f t="shared" si="23"/>
        <v>6</v>
      </c>
      <c r="CC14" s="2">
        <v>12</v>
      </c>
      <c r="CD14" s="2" t="str">
        <f>IFERROR(INDEX('48 فريقًا'!$D$4:$D$490,MATCH(CC14&amp;" ضد *",'48 فريقًا'!$E$4:$E$490,0)),INDEX('48 فريقًا'!$D$4:$D$490,MATCH("* ضد "&amp;CC14,'48 فريقًا'!$E$4:$E$490,0)))</f>
        <v>المجموعة 2</v>
      </c>
      <c r="CE14" s="2">
        <f>COUNTIF('48 فريقًا'!$E$4:$E$490,CC14&amp;" ضد *")+COUNTIF('48 فريقًا'!$E$4:$E$490,"* ضد "&amp;CC14)</f>
        <v>20</v>
      </c>
      <c r="CF14" s="2">
        <f t="shared" si="24"/>
        <v>5</v>
      </c>
    </row>
    <row r="15" spans="1:84">
      <c r="U15" s="2">
        <v>13</v>
      </c>
      <c r="V15" s="2" t="str">
        <f>IFERROR(INDEX('13 فريقًا'!$D$4:$D$127,MATCH(U15&amp;" ضد *",'13 فريقًا'!$E$4:$E$127,0)),INDEX('13 فريقًا'!$D$4:$D$127,MATCH("* ضد "&amp;U15,'13 فريقًا'!$E$4:$E$127,0)))</f>
        <v>المجموعة 2</v>
      </c>
      <c r="W15" s="2">
        <f>COUNTIF('13 فريقًا'!$E$4:$E$127,U15&amp;" ضد *")+COUNTIF('13 فريقًا'!$E$4:$E$127,"* ضد "&amp;U15)</f>
        <v>20</v>
      </c>
      <c r="X15" s="2">
        <f t="shared" si="8"/>
        <v>5</v>
      </c>
      <c r="Z15" s="2">
        <v>13</v>
      </c>
      <c r="AA15" s="2" t="str">
        <f>IFERROR(INDEX('14 فريقًا'!$D$4:$D$130,MATCH(Z15&amp;" ضد *",'14 فريقًا'!$E$4:$E$130,0)),INDEX('14 فريقًا'!$D$4:$D$130,MATCH("* ضد "&amp;Z15,'14 فريقًا'!$E$4:$E$130,0)))</f>
        <v>المجموعة 2</v>
      </c>
      <c r="AB15" s="2">
        <f>COUNTIF('14 فريقًا'!$E$4:$E$130,Z15&amp;" ضد *")+COUNTIF('14 فريقًا'!$E$4:$E$130,"* ضد "&amp;Z15)</f>
        <v>18</v>
      </c>
      <c r="AC15" s="2">
        <f t="shared" si="9"/>
        <v>6</v>
      </c>
      <c r="AE15" s="2">
        <v>13</v>
      </c>
      <c r="AF15" s="2" t="str">
        <f>IFERROR(INDEX('15 فريقًا'!$D$4:$D$151,MATCH(AE15&amp;" ضد *",'15 فريقًا'!$E$4:$E$151,0)),INDEX('15 فريقًا'!$D$4:$D$151,MATCH("* ضد "&amp;AE15,'15 فريقًا'!$E$4:$E$151,0)))</f>
        <v>المجموعة 2</v>
      </c>
      <c r="AG15" s="2">
        <f>COUNTIF('15 فريقًا'!$E$4:$E$151,AE15&amp;" ضد *")+COUNTIF('15 فريقًا'!$E$4:$E$151,"* ضد "&amp;AE15)</f>
        <v>18</v>
      </c>
      <c r="AH15" s="2">
        <f t="shared" si="10"/>
        <v>6</v>
      </c>
      <c r="AJ15" s="2">
        <v>13</v>
      </c>
      <c r="AK15" s="2" t="str">
        <f>IFERROR(INDEX('16 فريقًا'!$D$4:$D$172,MATCH(AJ15&amp;" ضد *",'16 فريقًا'!$E$4:$E$172,0)),INDEX('16 فريقًا'!$D$4:$D$172,MATCH("* ضد "&amp;AJ15,'16 فريقًا'!$E$4:$E$172,0)))</f>
        <v>المجموعة 2</v>
      </c>
      <c r="AL15" s="2">
        <f>COUNTIF('16 فريقًا'!$E$4:$E$172,AJ15&amp;" ضد *")+COUNTIF('16 فريقًا'!$E$4:$E$172,"* ضد "&amp;AJ15)</f>
        <v>21</v>
      </c>
      <c r="AM15" s="2">
        <f t="shared" si="11"/>
        <v>7</v>
      </c>
      <c r="AO15" s="2">
        <v>13</v>
      </c>
      <c r="AP15" s="2" t="str">
        <f>IFERROR(INDEX('18 فريقًا'!$D$4:$D$186,MATCH(AO15&amp;" ضد *",'18 فريقًا'!$E$4:$E$186,0)),INDEX('18 فريقًا'!$D$4:$D$186,MATCH("* ضد "&amp;AO15,'18 فريقًا'!$E$4:$E$186,0)))</f>
        <v>المجموعة 3</v>
      </c>
      <c r="AQ15" s="2">
        <f>COUNTIF('18 فريقًا'!$E$4:$E$186,AO15&amp;" ضد *")+COUNTIF('18 فريقًا'!$E$4:$E$186,"* ضد "&amp;AO15)</f>
        <v>20</v>
      </c>
      <c r="AR15" s="2">
        <f t="shared" si="12"/>
        <v>5</v>
      </c>
      <c r="AT15" s="2">
        <v>13</v>
      </c>
      <c r="AU15" s="2" t="str">
        <f t="shared" si="13"/>
        <v>المجموعة 1</v>
      </c>
      <c r="AV15" s="2">
        <f>COUNTIF('19 فريقًا'!$D$4:$D$174,AT15&amp;" ضد *")+COUNTIF('19 فريقًا'!$D$4:$D$174,"* ضد "&amp;AT15)</f>
        <v>18</v>
      </c>
      <c r="AW15" s="2">
        <f t="shared" si="14"/>
        <v>18</v>
      </c>
      <c r="AY15" s="2">
        <v>13</v>
      </c>
      <c r="AZ15" s="2" t="str">
        <f t="shared" si="15"/>
        <v>المجموعة 1</v>
      </c>
      <c r="BA15" s="2">
        <f>COUNTIF('20 فريقًا'!$D$4:$D$193,AY15&amp;" ضد *")+COUNTIF('20 فريقًا'!$D$4:$D$193,"* ضد "&amp;AY15)</f>
        <v>19</v>
      </c>
      <c r="BB15" s="2">
        <f t="shared" si="16"/>
        <v>19</v>
      </c>
      <c r="BD15" s="2">
        <v>13</v>
      </c>
      <c r="BE15" s="2" t="str">
        <f t="shared" si="17"/>
        <v>المجموعة 1</v>
      </c>
      <c r="BF15" s="2">
        <f>COUNTIF('21 فريقًا'!$D$4:$D$213,BD15&amp;" ضد *")+COUNTIF('21 فريقًا'!$D$4:$D$213,"* ضد "&amp;BD15)</f>
        <v>20</v>
      </c>
      <c r="BG15" s="2">
        <f t="shared" si="18"/>
        <v>20</v>
      </c>
      <c r="BI15" s="2">
        <v>13</v>
      </c>
      <c r="BJ15" s="2" t="str">
        <f t="shared" si="19"/>
        <v>المجموعة 1</v>
      </c>
      <c r="BK15" s="2">
        <f>COUNTIF('22 فريقًا'!$D$4:$D$234,BI15&amp;" ضد *")+COUNTIF('22 فريقًا'!$D$4:$D$234,"* ضد "&amp;BI15)</f>
        <v>21</v>
      </c>
      <c r="BL15" s="2">
        <f t="shared" si="20"/>
        <v>21</v>
      </c>
      <c r="BN15" s="2">
        <v>13</v>
      </c>
      <c r="BO15" s="2" t="str">
        <f>IFERROR(INDEX('23 فريقًا'!$D$4:$D$237,MATCH(BN15&amp;" ضد *",'23 فريقًا'!$E$4:$E$237,0)),INDEX('23 فريقًا'!$D$4:$D$237,MATCH("* ضد "&amp;BN15,'23 فريقًا'!$E$4:$E$237,0)))</f>
        <v>المجموعة 2</v>
      </c>
      <c r="BP15" s="2">
        <f>COUNTIF('23 فريقًا'!$E$4:$E$237,BN15&amp;" ضد *")+COUNTIF('23 فريقًا'!$E$4:$E$237,"* ضد "&amp;BN15)</f>
        <v>21</v>
      </c>
      <c r="BQ15" s="2">
        <f t="shared" si="21"/>
        <v>7</v>
      </c>
      <c r="BS15" s="2">
        <v>13</v>
      </c>
      <c r="BT15" s="2" t="str">
        <f>IFERROR(INDEX('31 فريقًا'!$D$4:$D$321,MATCH(BS15&amp;" ضد *",'31 فريقًا'!$E$4:$E$321,0)),INDEX('31 فريقًا'!$D$4:$D$321,MATCH("* ضد "&amp;BS15,'31 فريقًا'!$E$4:$E$321,0)))</f>
        <v>المجموعة 2</v>
      </c>
      <c r="BU15" s="2">
        <f>COUNTIF('31 فريقًا'!$E$4:$E$321,BS15&amp;" ضد *")+COUNTIF('31 فريقًا'!$E$4:$E$321,"* ضد "&amp;BS15)</f>
        <v>21</v>
      </c>
      <c r="BV15" s="2">
        <f t="shared" si="22"/>
        <v>7</v>
      </c>
      <c r="BX15" s="2">
        <v>13</v>
      </c>
      <c r="BY15" s="2" t="str">
        <f>IFERROR(INDEX('35 فريقًا'!$D$4:$D$325,MATCH(BX15&amp;" ضد *",'35 فريقًا'!$E$4:$E$325,0)),INDEX('35 فريقًا'!$D$4:$D$325,MATCH("* ضد "&amp;BX15,'35 فريقًا'!$E$4:$E$325,0)))</f>
        <v>المجموعة 2</v>
      </c>
      <c r="BZ15" s="2">
        <f>COUNTIF('35 فريقًا'!$E$4:$E$325,BX15&amp;" ضد *")+COUNTIF('35 فريقًا'!$E$4:$E$325,"* ضد "&amp;BX15)</f>
        <v>18</v>
      </c>
      <c r="CA15" s="2">
        <f t="shared" si="23"/>
        <v>6</v>
      </c>
      <c r="CC15" s="2">
        <v>13</v>
      </c>
      <c r="CD15" s="2" t="str">
        <f>IFERROR(INDEX('48 فريقًا'!$D$4:$D$490,MATCH(CC15&amp;" ضد *",'48 فريقًا'!$E$4:$E$490,0)),INDEX('48 فريقًا'!$D$4:$D$490,MATCH("* ضد "&amp;CC15,'48 فريقًا'!$E$4:$E$490,0)))</f>
        <v>المجموعة 3</v>
      </c>
      <c r="CE15" s="2">
        <f>COUNTIF('48 فريقًا'!$E$4:$E$490,CC15&amp;" ضد *")+COUNTIF('48 فريقًا'!$E$4:$E$490,"* ضد "&amp;CC15)</f>
        <v>20</v>
      </c>
      <c r="CF15" s="2">
        <f t="shared" si="24"/>
        <v>5</v>
      </c>
    </row>
    <row r="16" spans="1:84">
      <c r="Z16" s="2">
        <v>14</v>
      </c>
      <c r="AA16" s="2" t="str">
        <f>IFERROR(INDEX('14 فريقًا'!$D$4:$D$130,MATCH(Z16&amp;" ضد *",'14 فريقًا'!$E$4:$E$130,0)),INDEX('14 فريقًا'!$D$4:$D$130,MATCH("* ضد "&amp;Z16,'14 فريقًا'!$E$4:$E$130,0)))</f>
        <v>المجموعة 2</v>
      </c>
      <c r="AB16" s="2">
        <f>COUNTIF('14 فريقًا'!$E$4:$E$130,Z16&amp;" ضد *")+COUNTIF('14 فريقًا'!$E$4:$E$130,"* ضد "&amp;Z16)</f>
        <v>18</v>
      </c>
      <c r="AC16" s="2">
        <f t="shared" si="9"/>
        <v>6</v>
      </c>
      <c r="AE16" s="2">
        <v>14</v>
      </c>
      <c r="AF16" s="2" t="str">
        <f>IFERROR(INDEX('15 فريقًا'!$D$4:$D$151,MATCH(AE16&amp;" ضد *",'15 فريقًا'!$E$4:$E$151,0)),INDEX('15 فريقًا'!$D$4:$D$151,MATCH("* ضد "&amp;AE16,'15 فريقًا'!$E$4:$E$151,0)))</f>
        <v>المجموعة 2</v>
      </c>
      <c r="AG16" s="2">
        <f>COUNTIF('15 فريقًا'!$E$4:$E$151,AE16&amp;" ضد *")+COUNTIF('15 فريقًا'!$E$4:$E$151,"* ضد "&amp;AE16)</f>
        <v>18</v>
      </c>
      <c r="AH16" s="2">
        <f t="shared" si="10"/>
        <v>6</v>
      </c>
      <c r="AJ16" s="2">
        <v>14</v>
      </c>
      <c r="AK16" s="2" t="str">
        <f>IFERROR(INDEX('16 فريقًا'!$D$4:$D$172,MATCH(AJ16&amp;" ضد *",'16 فريقًا'!$E$4:$E$172,0)),INDEX('16 فريقًا'!$D$4:$D$172,MATCH("* ضد "&amp;AJ16,'16 فريقًا'!$E$4:$E$172,0)))</f>
        <v>المجموعة 2</v>
      </c>
      <c r="AL16" s="2">
        <f>COUNTIF('16 فريقًا'!$E$4:$E$172,AJ16&amp;" ضد *")+COUNTIF('16 فريقًا'!$E$4:$E$172,"* ضد "&amp;AJ16)</f>
        <v>21</v>
      </c>
      <c r="AM16" s="2">
        <f t="shared" si="11"/>
        <v>7</v>
      </c>
      <c r="AO16" s="2">
        <v>14</v>
      </c>
      <c r="AP16" s="2" t="str">
        <f>IFERROR(INDEX('18 فريقًا'!$D$4:$D$186,MATCH(AO16&amp;" ضد *",'18 فريقًا'!$E$4:$E$186,0)),INDEX('18 فريقًا'!$D$4:$D$186,MATCH("* ضد "&amp;AO16,'18 فريقًا'!$E$4:$E$186,0)))</f>
        <v>المجموعة 3</v>
      </c>
      <c r="AQ16" s="2">
        <f>COUNTIF('18 فريقًا'!$E$4:$E$186,AO16&amp;" ضد *")+COUNTIF('18 فريقًا'!$E$4:$E$186,"* ضد "&amp;AO16)</f>
        <v>20</v>
      </c>
      <c r="AR16" s="2">
        <f t="shared" si="12"/>
        <v>5</v>
      </c>
      <c r="AT16" s="2">
        <v>14</v>
      </c>
      <c r="AU16" s="2" t="str">
        <f t="shared" si="13"/>
        <v>المجموعة 1</v>
      </c>
      <c r="AV16" s="2">
        <f>COUNTIF('19 فريقًا'!$D$4:$D$174,AT16&amp;" ضد *")+COUNTIF('19 فريقًا'!$D$4:$D$174,"* ضد "&amp;AT16)</f>
        <v>18</v>
      </c>
      <c r="AW16" s="2">
        <f t="shared" si="14"/>
        <v>18</v>
      </c>
      <c r="AY16" s="2">
        <v>14</v>
      </c>
      <c r="AZ16" s="2" t="str">
        <f t="shared" si="15"/>
        <v>المجموعة 1</v>
      </c>
      <c r="BA16" s="2">
        <f>COUNTIF('20 فريقًا'!$D$4:$D$193,AY16&amp;" ضد *")+COUNTIF('20 فريقًا'!$D$4:$D$193,"* ضد "&amp;AY16)</f>
        <v>19</v>
      </c>
      <c r="BB16" s="2">
        <f t="shared" si="16"/>
        <v>19</v>
      </c>
      <c r="BD16" s="2">
        <v>14</v>
      </c>
      <c r="BE16" s="2" t="str">
        <f t="shared" si="17"/>
        <v>المجموعة 1</v>
      </c>
      <c r="BF16" s="2">
        <f>COUNTIF('21 فريقًا'!$D$4:$D$213,BD16&amp;" ضد *")+COUNTIF('21 فريقًا'!$D$4:$D$213,"* ضد "&amp;BD16)</f>
        <v>20</v>
      </c>
      <c r="BG16" s="2">
        <f t="shared" si="18"/>
        <v>20</v>
      </c>
      <c r="BI16" s="2">
        <v>14</v>
      </c>
      <c r="BJ16" s="2" t="str">
        <f t="shared" si="19"/>
        <v>المجموعة 1</v>
      </c>
      <c r="BK16" s="2">
        <f>COUNTIF('22 فريقًا'!$D$4:$D$234,BI16&amp;" ضد *")+COUNTIF('22 فريقًا'!$D$4:$D$234,"* ضد "&amp;BI16)</f>
        <v>21</v>
      </c>
      <c r="BL16" s="2">
        <f t="shared" si="20"/>
        <v>21</v>
      </c>
      <c r="BN16" s="2">
        <v>14</v>
      </c>
      <c r="BO16" s="2" t="str">
        <f>IFERROR(INDEX('23 فريقًا'!$D$4:$D$237,MATCH(BN16&amp;" ضد *",'23 فريقًا'!$E$4:$E$237,0)),INDEX('23 فريقًا'!$D$4:$D$237,MATCH("* ضد "&amp;BN16,'23 فريقًا'!$E$4:$E$237,0)))</f>
        <v>المجموعة 2</v>
      </c>
      <c r="BP16" s="2">
        <f>COUNTIF('23 فريقًا'!$E$4:$E$237,BN16&amp;" ضد *")+COUNTIF('23 فريقًا'!$E$4:$E$237,"* ضد "&amp;BN16)</f>
        <v>21</v>
      </c>
      <c r="BQ16" s="2">
        <f t="shared" si="21"/>
        <v>7</v>
      </c>
      <c r="BS16" s="2">
        <v>14</v>
      </c>
      <c r="BT16" s="2" t="str">
        <f>IFERROR(INDEX('31 فريقًا'!$D$4:$D$321,MATCH(BS16&amp;" ضد *",'31 فريقًا'!$E$4:$E$321,0)),INDEX('31 فريقًا'!$D$4:$D$321,MATCH("* ضد "&amp;BS16,'31 فريقًا'!$E$4:$E$321,0)))</f>
        <v>المجموعة 2</v>
      </c>
      <c r="BU16" s="2">
        <f>COUNTIF('31 فريقًا'!$E$4:$E$321,BS16&amp;" ضد *")+COUNTIF('31 فريقًا'!$E$4:$E$321,"* ضد "&amp;BS16)</f>
        <v>21</v>
      </c>
      <c r="BV16" s="2">
        <f t="shared" si="22"/>
        <v>7</v>
      </c>
      <c r="BX16" s="2">
        <v>14</v>
      </c>
      <c r="BY16" s="2" t="str">
        <f>IFERROR(INDEX('35 فريقًا'!$D$4:$D$325,MATCH(BX16&amp;" ضد *",'35 فريقًا'!$E$4:$E$325,0)),INDEX('35 فريقًا'!$D$4:$D$325,MATCH("* ضد "&amp;BX16,'35 فريقًا'!$E$4:$E$325,0)))</f>
        <v>المجموعة 2</v>
      </c>
      <c r="BZ16" s="2">
        <f>COUNTIF('35 فريقًا'!$E$4:$E$325,BX16&amp;" ضد *")+COUNTIF('35 فريقًا'!$E$4:$E$325,"* ضد "&amp;BX16)</f>
        <v>18</v>
      </c>
      <c r="CA16" s="2">
        <f t="shared" si="23"/>
        <v>6</v>
      </c>
      <c r="CC16" s="2">
        <v>14</v>
      </c>
      <c r="CD16" s="2" t="str">
        <f>IFERROR(INDEX('48 فريقًا'!$D$4:$D$490,MATCH(CC16&amp;" ضد *",'48 فريقًا'!$E$4:$E$490,0)),INDEX('48 فريقًا'!$D$4:$D$490,MATCH("* ضد "&amp;CC16,'48 فريقًا'!$E$4:$E$490,0)))</f>
        <v>المجموعة 3</v>
      </c>
      <c r="CE16" s="2">
        <f>COUNTIF('48 فريقًا'!$E$4:$E$490,CC16&amp;" ضد *")+COUNTIF('48 فريقًا'!$E$4:$E$490,"* ضد "&amp;CC16)</f>
        <v>20</v>
      </c>
      <c r="CF16" s="2">
        <f t="shared" si="24"/>
        <v>5</v>
      </c>
    </row>
    <row r="17" spans="31:84">
      <c r="AE17" s="2">
        <v>15</v>
      </c>
      <c r="AF17" s="2" t="str">
        <f>IFERROR(INDEX('15 فريقًا'!$D$4:$D$151,MATCH(AE17&amp;" ضد *",'15 فريقًا'!$E$4:$E$151,0)),INDEX('15 فريقًا'!$D$4:$D$151,MATCH("* ضد "&amp;AE17,'15 فريقًا'!$E$4:$E$151,0)))</f>
        <v>المجموعة 2</v>
      </c>
      <c r="AG17" s="2">
        <f>COUNTIF('15 فريقًا'!$E$4:$E$151,AE17&amp;" ضد *")+COUNTIF('15 فريقًا'!$E$4:$E$151,"* ضد "&amp;AE17)</f>
        <v>18</v>
      </c>
      <c r="AH17" s="2">
        <f t="shared" si="10"/>
        <v>6</v>
      </c>
      <c r="AJ17" s="2">
        <v>15</v>
      </c>
      <c r="AK17" s="2" t="str">
        <f>IFERROR(INDEX('16 فريقًا'!$D$4:$D$172,MATCH(AJ17&amp;" ضد *",'16 فريقًا'!$E$4:$E$172,0)),INDEX('16 فريقًا'!$D$4:$D$172,MATCH("* ضد "&amp;AJ17,'16 فريقًا'!$E$4:$E$172,0)))</f>
        <v>المجموعة 2</v>
      </c>
      <c r="AL17" s="2">
        <f>COUNTIF('16 فريقًا'!$E$4:$E$172,AJ17&amp;" ضد *")+COUNTIF('16 فريقًا'!$E$4:$E$172,"* ضد "&amp;AJ17)</f>
        <v>21</v>
      </c>
      <c r="AM17" s="2">
        <f t="shared" si="11"/>
        <v>7</v>
      </c>
      <c r="AO17" s="2">
        <v>15</v>
      </c>
      <c r="AP17" s="2" t="str">
        <f>IFERROR(INDEX('18 فريقًا'!$D$4:$D$186,MATCH(AO17&amp;" ضد *",'18 فريقًا'!$E$4:$E$186,0)),INDEX('18 فريقًا'!$D$4:$D$186,MATCH("* ضد "&amp;AO17,'18 فريقًا'!$E$4:$E$186,0)))</f>
        <v>المجموعة 3</v>
      </c>
      <c r="AQ17" s="2">
        <f>COUNTIF('18 فريقًا'!$E$4:$E$186,AO17&amp;" ضد *")+COUNTIF('18 فريقًا'!$E$4:$E$186,"* ضد "&amp;AO17)</f>
        <v>20</v>
      </c>
      <c r="AR17" s="2">
        <f t="shared" si="12"/>
        <v>5</v>
      </c>
      <c r="AT17" s="2">
        <v>15</v>
      </c>
      <c r="AU17" s="2" t="str">
        <f t="shared" si="13"/>
        <v>المجموعة 1</v>
      </c>
      <c r="AV17" s="2">
        <f>COUNTIF('19 فريقًا'!$D$4:$D$174,AT17&amp;" ضد *")+COUNTIF('19 فريقًا'!$D$4:$D$174,"* ضد "&amp;AT17)</f>
        <v>18</v>
      </c>
      <c r="AW17" s="2">
        <f t="shared" si="14"/>
        <v>18</v>
      </c>
      <c r="AY17" s="2">
        <v>15</v>
      </c>
      <c r="AZ17" s="2" t="str">
        <f t="shared" si="15"/>
        <v>المجموعة 1</v>
      </c>
      <c r="BA17" s="2">
        <f>COUNTIF('20 فريقًا'!$D$4:$D$193,AY17&amp;" ضد *")+COUNTIF('20 فريقًا'!$D$4:$D$193,"* ضد "&amp;AY17)</f>
        <v>19</v>
      </c>
      <c r="BB17" s="2">
        <f t="shared" si="16"/>
        <v>19</v>
      </c>
      <c r="BD17" s="2">
        <v>15</v>
      </c>
      <c r="BE17" s="2" t="str">
        <f t="shared" si="17"/>
        <v>المجموعة 1</v>
      </c>
      <c r="BF17" s="2">
        <f>COUNTIF('21 فريقًا'!$D$4:$D$213,BD17&amp;" ضد *")+COUNTIF('21 فريقًا'!$D$4:$D$213,"* ضد "&amp;BD17)</f>
        <v>20</v>
      </c>
      <c r="BG17" s="2">
        <f t="shared" si="18"/>
        <v>20</v>
      </c>
      <c r="BI17" s="2">
        <v>15</v>
      </c>
      <c r="BJ17" s="2" t="str">
        <f t="shared" si="19"/>
        <v>المجموعة 1</v>
      </c>
      <c r="BK17" s="2">
        <f>COUNTIF('22 فريقًا'!$D$4:$D$234,BI17&amp;" ضد *")+COUNTIF('22 فريقًا'!$D$4:$D$234,"* ضد "&amp;BI17)</f>
        <v>21</v>
      </c>
      <c r="BL17" s="2">
        <f t="shared" si="20"/>
        <v>21</v>
      </c>
      <c r="BN17" s="2">
        <v>15</v>
      </c>
      <c r="BO17" s="2" t="str">
        <f>IFERROR(INDEX('23 فريقًا'!$D$4:$D$237,MATCH(BN17&amp;" ضد *",'23 فريقًا'!$E$4:$E$237,0)),INDEX('23 فريقًا'!$D$4:$D$237,MATCH("* ضد "&amp;BN17,'23 فريقًا'!$E$4:$E$237,0)))</f>
        <v>المجموعة 2</v>
      </c>
      <c r="BP17" s="2">
        <f>COUNTIF('23 فريقًا'!$E$4:$E$237,BN17&amp;" ضد *")+COUNTIF('23 فريقًا'!$E$4:$E$237,"* ضد "&amp;BN17)</f>
        <v>21</v>
      </c>
      <c r="BQ17" s="2">
        <f t="shared" si="21"/>
        <v>7</v>
      </c>
      <c r="BS17" s="2">
        <v>15</v>
      </c>
      <c r="BT17" s="2" t="str">
        <f>IFERROR(INDEX('31 فريقًا'!$D$4:$D$321,MATCH(BS17&amp;" ضد *",'31 فريقًا'!$E$4:$E$321,0)),INDEX('31 فريقًا'!$D$4:$D$321,MATCH("* ضد "&amp;BS17,'31 فريقًا'!$E$4:$E$321,0)))</f>
        <v>المجموعة 2</v>
      </c>
      <c r="BU17" s="2">
        <f>COUNTIF('31 فريقًا'!$E$4:$E$321,BS17&amp;" ضد *")+COUNTIF('31 فريقًا'!$E$4:$E$321,"* ضد "&amp;BS17)</f>
        <v>21</v>
      </c>
      <c r="BV17" s="2">
        <f t="shared" si="22"/>
        <v>7</v>
      </c>
      <c r="BX17" s="2">
        <v>15</v>
      </c>
      <c r="BY17" s="2" t="str">
        <f>IFERROR(INDEX('35 فريقًا'!$D$4:$D$325,MATCH(BX17&amp;" ضد *",'35 فريقًا'!$E$4:$E$325,0)),INDEX('35 فريقًا'!$D$4:$D$325,MATCH("* ضد "&amp;BX17,'35 فريقًا'!$E$4:$E$325,0)))</f>
        <v>المجموعة 3</v>
      </c>
      <c r="BZ17" s="2">
        <f>COUNTIF('35 فريقًا'!$E$4:$E$325,BX17&amp;" ضد *")+COUNTIF('35 فريقًا'!$E$4:$E$325,"* ضد "&amp;BX17)</f>
        <v>18</v>
      </c>
      <c r="CA17" s="2">
        <f t="shared" si="23"/>
        <v>6</v>
      </c>
      <c r="CC17" s="2">
        <v>15</v>
      </c>
      <c r="CD17" s="2" t="str">
        <f>IFERROR(INDEX('48 فريقًا'!$D$4:$D$490,MATCH(CC17&amp;" ضد *",'48 فريقًا'!$E$4:$E$490,0)),INDEX('48 فريقًا'!$D$4:$D$490,MATCH("* ضد "&amp;CC17,'48 فريقًا'!$E$4:$E$490,0)))</f>
        <v>المجموعة 3</v>
      </c>
      <c r="CE17" s="2">
        <f>COUNTIF('48 فريقًا'!$E$4:$E$490,CC17&amp;" ضد *")+COUNTIF('48 فريقًا'!$E$4:$E$490,"* ضد "&amp;CC17)</f>
        <v>20</v>
      </c>
      <c r="CF17" s="2">
        <f t="shared" si="24"/>
        <v>5</v>
      </c>
    </row>
    <row r="18" spans="31:84">
      <c r="AJ18" s="2">
        <v>16</v>
      </c>
      <c r="AK18" s="2" t="str">
        <f>IFERROR(INDEX('16 فريقًا'!$D$4:$D$172,MATCH(AJ18&amp;" ضد *",'16 فريقًا'!$E$4:$E$172,0)),INDEX('16 فريقًا'!$D$4:$D$172,MATCH("* ضد "&amp;AJ18,'16 فريقًا'!$E$4:$E$172,0)))</f>
        <v>المجموعة 2</v>
      </c>
      <c r="AL18" s="2">
        <f>COUNTIF('16 فريقًا'!$E$4:$E$172,AJ18&amp;" ضد *")+COUNTIF('16 فريقًا'!$E$4:$E$172,"* ضد "&amp;AJ18)</f>
        <v>21</v>
      </c>
      <c r="AM18" s="2">
        <f t="shared" si="11"/>
        <v>7</v>
      </c>
      <c r="AO18" s="2">
        <v>16</v>
      </c>
      <c r="AP18" s="2" t="str">
        <f>IFERROR(INDEX('18 فريقًا'!$D$4:$D$186,MATCH(AO18&amp;" ضد *",'18 فريقًا'!$E$4:$E$186,0)),INDEX('18 فريقًا'!$D$4:$D$186,MATCH("* ضد "&amp;AO18,'18 فريقًا'!$E$4:$E$186,0)))</f>
        <v>المجموعة 3</v>
      </c>
      <c r="AQ18" s="2">
        <f>COUNTIF('18 فريقًا'!$E$4:$E$186,AO18&amp;" ضد *")+COUNTIF('18 فريقًا'!$E$4:$E$186,"* ضد "&amp;AO18)</f>
        <v>20</v>
      </c>
      <c r="AR18" s="2">
        <f t="shared" si="12"/>
        <v>5</v>
      </c>
      <c r="AT18" s="2">
        <v>16</v>
      </c>
      <c r="AU18" s="2" t="str">
        <f t="shared" si="13"/>
        <v>المجموعة 1</v>
      </c>
      <c r="AV18" s="2">
        <f>COUNTIF('19 فريقًا'!$D$4:$D$174,AT18&amp;" ضد *")+COUNTIF('19 فريقًا'!$D$4:$D$174,"* ضد "&amp;AT18)</f>
        <v>18</v>
      </c>
      <c r="AW18" s="2">
        <f t="shared" si="14"/>
        <v>18</v>
      </c>
      <c r="AY18" s="2">
        <v>16</v>
      </c>
      <c r="AZ18" s="2" t="str">
        <f t="shared" si="15"/>
        <v>المجموعة 1</v>
      </c>
      <c r="BA18" s="2">
        <f>COUNTIF('20 فريقًا'!$D$4:$D$193,AY18&amp;" ضد *")+COUNTIF('20 فريقًا'!$D$4:$D$193,"* ضد "&amp;AY18)</f>
        <v>19</v>
      </c>
      <c r="BB18" s="2">
        <f t="shared" si="16"/>
        <v>19</v>
      </c>
      <c r="BD18" s="2">
        <v>16</v>
      </c>
      <c r="BE18" s="2" t="str">
        <f t="shared" si="17"/>
        <v>المجموعة 1</v>
      </c>
      <c r="BF18" s="2">
        <f>COUNTIF('21 فريقًا'!$D$4:$D$213,BD18&amp;" ضد *")+COUNTIF('21 فريقًا'!$D$4:$D$213,"* ضد "&amp;BD18)</f>
        <v>20</v>
      </c>
      <c r="BG18" s="2">
        <f t="shared" si="18"/>
        <v>20</v>
      </c>
      <c r="BI18" s="2">
        <v>16</v>
      </c>
      <c r="BJ18" s="2" t="str">
        <f t="shared" si="19"/>
        <v>المجموعة 1</v>
      </c>
      <c r="BK18" s="2">
        <f>COUNTIF('22 فريقًا'!$D$4:$D$234,BI18&amp;" ضد *")+COUNTIF('22 فريقًا'!$D$4:$D$234,"* ضد "&amp;BI18)</f>
        <v>21</v>
      </c>
      <c r="BL18" s="2">
        <f t="shared" si="20"/>
        <v>21</v>
      </c>
      <c r="BN18" s="2">
        <v>16</v>
      </c>
      <c r="BO18" s="2" t="str">
        <f>IFERROR(INDEX('23 فريقًا'!$D$4:$D$237,MATCH(BN18&amp;" ضد *",'23 فريقًا'!$E$4:$E$237,0)),INDEX('23 فريقًا'!$D$4:$D$237,MATCH("* ضد "&amp;BN18,'23 فريقًا'!$E$4:$E$237,0)))</f>
        <v>المجموعة 2</v>
      </c>
      <c r="BP18" s="2">
        <f>COUNTIF('23 فريقًا'!$E$4:$E$237,BN18&amp;" ضد *")+COUNTIF('23 فريقًا'!$E$4:$E$237,"* ضد "&amp;BN18)</f>
        <v>21</v>
      </c>
      <c r="BQ18" s="2">
        <f t="shared" si="21"/>
        <v>7</v>
      </c>
      <c r="BS18" s="2">
        <v>16</v>
      </c>
      <c r="BT18" s="2" t="str">
        <f>IFERROR(INDEX('31 فريقًا'!$D$4:$D$321,MATCH(BS18&amp;" ضد *",'31 فريقًا'!$E$4:$E$321,0)),INDEX('31 فريقًا'!$D$4:$D$321,MATCH("* ضد "&amp;BS18,'31 فريقًا'!$E$4:$E$321,0)))</f>
        <v>المجموعة 2</v>
      </c>
      <c r="BU18" s="2">
        <f>COUNTIF('31 فريقًا'!$E$4:$E$321,BS18&amp;" ضد *")+COUNTIF('31 فريقًا'!$E$4:$E$321,"* ضد "&amp;BS18)</f>
        <v>21</v>
      </c>
      <c r="BV18" s="2">
        <f t="shared" si="22"/>
        <v>7</v>
      </c>
      <c r="BX18" s="2">
        <v>16</v>
      </c>
      <c r="BY18" s="2" t="str">
        <f>IFERROR(INDEX('35 فريقًا'!$D$4:$D$325,MATCH(BX18&amp;" ضد *",'35 فريقًا'!$E$4:$E$325,0)),INDEX('35 فريقًا'!$D$4:$D$325,MATCH("* ضد "&amp;BX18,'35 فريقًا'!$E$4:$E$325,0)))</f>
        <v>المجموعة 3</v>
      </c>
      <c r="BZ18" s="2">
        <f>COUNTIF('35 فريقًا'!$E$4:$E$325,BX18&amp;" ضد *")+COUNTIF('35 فريقًا'!$E$4:$E$325,"* ضد "&amp;BX18)</f>
        <v>18</v>
      </c>
      <c r="CA18" s="2">
        <f t="shared" si="23"/>
        <v>6</v>
      </c>
      <c r="CC18" s="2">
        <v>16</v>
      </c>
      <c r="CD18" s="2" t="str">
        <f>IFERROR(INDEX('48 فريقًا'!$D$4:$D$490,MATCH(CC18&amp;" ضد *",'48 فريقًا'!$E$4:$E$490,0)),INDEX('48 فريقًا'!$D$4:$D$490,MATCH("* ضد "&amp;CC18,'48 فريقًا'!$E$4:$E$490,0)))</f>
        <v>المجموعة 3</v>
      </c>
      <c r="CE18" s="2">
        <f>COUNTIF('48 فريقًا'!$E$4:$E$490,CC18&amp;" ضد *")+COUNTIF('48 فريقًا'!$E$4:$E$490,"* ضد "&amp;CC18)</f>
        <v>20</v>
      </c>
      <c r="CF18" s="2">
        <f t="shared" si="24"/>
        <v>5</v>
      </c>
    </row>
    <row r="19" spans="31:84">
      <c r="AO19" s="2">
        <v>17</v>
      </c>
      <c r="AP19" s="2" t="str">
        <f>IFERROR(INDEX('18 فريقًا'!$D$4:$D$186,MATCH(AO19&amp;" ضد *",'18 فريقًا'!$E$4:$E$186,0)),INDEX('18 فريقًا'!$D$4:$D$186,MATCH("* ضد "&amp;AO19,'18 فريقًا'!$E$4:$E$186,0)))</f>
        <v>المجموعة 3</v>
      </c>
      <c r="AQ19" s="2">
        <f>COUNTIF('18 فريقًا'!$E$4:$E$186,AO19&amp;" ضد *")+COUNTIF('18 فريقًا'!$E$4:$E$186,"* ضد "&amp;AO19)</f>
        <v>20</v>
      </c>
      <c r="AR19" s="2">
        <f t="shared" si="12"/>
        <v>5</v>
      </c>
      <c r="AT19" s="2">
        <v>17</v>
      </c>
      <c r="AU19" s="2" t="str">
        <f t="shared" si="13"/>
        <v>المجموعة 1</v>
      </c>
      <c r="AV19" s="2">
        <f>COUNTIF('19 فريقًا'!$D$4:$D$174,AT19&amp;" ضد *")+COUNTIF('19 فريقًا'!$D$4:$D$174,"* ضد "&amp;AT19)</f>
        <v>18</v>
      </c>
      <c r="AW19" s="2">
        <f t="shared" si="14"/>
        <v>18</v>
      </c>
      <c r="AY19" s="2">
        <v>17</v>
      </c>
      <c r="AZ19" s="2" t="str">
        <f t="shared" si="15"/>
        <v>المجموعة 1</v>
      </c>
      <c r="BA19" s="2">
        <f>COUNTIF('20 فريقًا'!$D$4:$D$193,AY19&amp;" ضد *")+COUNTIF('20 فريقًا'!$D$4:$D$193,"* ضد "&amp;AY19)</f>
        <v>19</v>
      </c>
      <c r="BB19" s="2">
        <f t="shared" si="16"/>
        <v>19</v>
      </c>
      <c r="BD19" s="2">
        <v>17</v>
      </c>
      <c r="BE19" s="2" t="str">
        <f t="shared" si="17"/>
        <v>المجموعة 1</v>
      </c>
      <c r="BF19" s="2">
        <f>COUNTIF('21 فريقًا'!$D$4:$D$213,BD19&amp;" ضد *")+COUNTIF('21 فريقًا'!$D$4:$D$213,"* ضد "&amp;BD19)</f>
        <v>20</v>
      </c>
      <c r="BG19" s="2">
        <f t="shared" si="18"/>
        <v>20</v>
      </c>
      <c r="BI19" s="2">
        <v>17</v>
      </c>
      <c r="BJ19" s="2" t="str">
        <f t="shared" si="19"/>
        <v>المجموعة 1</v>
      </c>
      <c r="BK19" s="2">
        <f>COUNTIF('22 فريقًا'!$D$4:$D$234,BI19&amp;" ضد *")+COUNTIF('22 فريقًا'!$D$4:$D$234,"* ضد "&amp;BI19)</f>
        <v>21</v>
      </c>
      <c r="BL19" s="2">
        <f t="shared" si="20"/>
        <v>21</v>
      </c>
      <c r="BN19" s="2">
        <v>17</v>
      </c>
      <c r="BO19" s="2" t="str">
        <f>IFERROR(INDEX('23 فريقًا'!$D$4:$D$237,MATCH(BN19&amp;" ضد *",'23 فريقًا'!$E$4:$E$237,0)),INDEX('23 فريقًا'!$D$4:$D$237,MATCH("* ضد "&amp;BN19,'23 فريقًا'!$E$4:$E$237,0)))</f>
        <v>المجموعة 3</v>
      </c>
      <c r="BP19" s="2">
        <f>COUNTIF('23 فريقًا'!$E$4:$E$237,BN19&amp;" ضد *")+COUNTIF('23 فريقًا'!$E$4:$E$237,"* ضد "&amp;BN19)</f>
        <v>18</v>
      </c>
      <c r="BQ19" s="2">
        <f t="shared" si="21"/>
        <v>6</v>
      </c>
      <c r="BS19" s="2">
        <v>17</v>
      </c>
      <c r="BT19" s="2" t="str">
        <f>IFERROR(INDEX('31 فريقًا'!$D$4:$D$321,MATCH(BS19&amp;" ضد *",'31 فريقًا'!$E$4:$E$321,0)),INDEX('31 فريقًا'!$D$4:$D$321,MATCH("* ضد "&amp;BS19,'31 فريقًا'!$E$4:$E$321,0)))</f>
        <v>المجموعة 3</v>
      </c>
      <c r="BU19" s="2">
        <f>COUNTIF('31 فريقًا'!$E$4:$E$321,BS19&amp;" ضد *")+COUNTIF('31 فريقًا'!$E$4:$E$321,"* ضد "&amp;BS19)</f>
        <v>21</v>
      </c>
      <c r="BV19" s="2">
        <f t="shared" si="22"/>
        <v>7</v>
      </c>
      <c r="BX19" s="2">
        <v>17</v>
      </c>
      <c r="BY19" s="2" t="str">
        <f>IFERROR(INDEX('35 فريقًا'!$D$4:$D$325,MATCH(BX19&amp;" ضد *",'35 فريقًا'!$E$4:$E$325,0)),INDEX('35 فريقًا'!$D$4:$D$325,MATCH("* ضد "&amp;BX19,'35 فريقًا'!$E$4:$E$325,0)))</f>
        <v>المجموعة 3</v>
      </c>
      <c r="BZ19" s="2">
        <f>COUNTIF('35 فريقًا'!$E$4:$E$325,BX19&amp;" ضد *")+COUNTIF('35 فريقًا'!$E$4:$E$325,"* ضد "&amp;BX19)</f>
        <v>18</v>
      </c>
      <c r="CA19" s="2">
        <f t="shared" si="23"/>
        <v>6</v>
      </c>
      <c r="CC19" s="2">
        <v>17</v>
      </c>
      <c r="CD19" s="2" t="str">
        <f>IFERROR(INDEX('48 فريقًا'!$D$4:$D$490,MATCH(CC19&amp;" ضد *",'48 فريقًا'!$E$4:$E$490,0)),INDEX('48 فريقًا'!$D$4:$D$490,MATCH("* ضد "&amp;CC19,'48 فريقًا'!$E$4:$E$490,0)))</f>
        <v>المجموعة 3</v>
      </c>
      <c r="CE19" s="2">
        <f>COUNTIF('48 فريقًا'!$E$4:$E$490,CC19&amp;" ضد *")+COUNTIF('48 فريقًا'!$E$4:$E$490,"* ضد "&amp;CC19)</f>
        <v>20</v>
      </c>
      <c r="CF19" s="2">
        <f t="shared" si="24"/>
        <v>5</v>
      </c>
    </row>
    <row r="20" spans="31:84">
      <c r="AO20" s="2">
        <v>18</v>
      </c>
      <c r="AP20" s="2" t="str">
        <f>IFERROR(INDEX('18 فريقًا'!$D$4:$D$186,MATCH(AO20&amp;" ضد *",'18 فريقًا'!$E$4:$E$186,0)),INDEX('18 فريقًا'!$D$4:$D$186,MATCH("* ضد "&amp;AO20,'18 فريقًا'!$E$4:$E$186,0)))</f>
        <v>المجموعة 3</v>
      </c>
      <c r="AQ20" s="2">
        <f>COUNTIF('18 فريقًا'!$E$4:$E$186,AO20&amp;" ضد *")+COUNTIF('18 فريقًا'!$E$4:$E$186,"* ضد "&amp;AO20)</f>
        <v>20</v>
      </c>
      <c r="AR20" s="2">
        <f t="shared" si="12"/>
        <v>5</v>
      </c>
      <c r="AT20" s="2">
        <v>18</v>
      </c>
      <c r="AU20" s="2" t="str">
        <f t="shared" si="13"/>
        <v>المجموعة 1</v>
      </c>
      <c r="AV20" s="2">
        <f>COUNTIF('19 فريقًا'!$D$4:$D$174,AT20&amp;" ضد *")+COUNTIF('19 فريقًا'!$D$4:$D$174,"* ضد "&amp;AT20)</f>
        <v>18</v>
      </c>
      <c r="AW20" s="2">
        <f t="shared" si="14"/>
        <v>18</v>
      </c>
      <c r="AY20" s="2">
        <v>18</v>
      </c>
      <c r="AZ20" s="2" t="str">
        <f t="shared" si="15"/>
        <v>المجموعة 1</v>
      </c>
      <c r="BA20" s="2">
        <f>COUNTIF('20 فريقًا'!$D$4:$D$193,AY20&amp;" ضد *")+COUNTIF('20 فريقًا'!$D$4:$D$193,"* ضد "&amp;AY20)</f>
        <v>19</v>
      </c>
      <c r="BB20" s="2">
        <f t="shared" si="16"/>
        <v>19</v>
      </c>
      <c r="BD20" s="2">
        <v>18</v>
      </c>
      <c r="BE20" s="2" t="str">
        <f t="shared" si="17"/>
        <v>المجموعة 1</v>
      </c>
      <c r="BF20" s="2">
        <f>COUNTIF('21 فريقًا'!$D$4:$D$213,BD20&amp;" ضد *")+COUNTIF('21 فريقًا'!$D$4:$D$213,"* ضد "&amp;BD20)</f>
        <v>20</v>
      </c>
      <c r="BG20" s="2">
        <f t="shared" si="18"/>
        <v>20</v>
      </c>
      <c r="BI20" s="2">
        <v>18</v>
      </c>
      <c r="BJ20" s="2" t="str">
        <f t="shared" si="19"/>
        <v>المجموعة 1</v>
      </c>
      <c r="BK20" s="2">
        <f>COUNTIF('22 فريقًا'!$D$4:$D$234,BI20&amp;" ضد *")+COUNTIF('22 فريقًا'!$D$4:$D$234,"* ضد "&amp;BI20)</f>
        <v>21</v>
      </c>
      <c r="BL20" s="2">
        <f t="shared" si="20"/>
        <v>21</v>
      </c>
      <c r="BN20" s="2">
        <v>18</v>
      </c>
      <c r="BO20" s="2" t="str">
        <f>IFERROR(INDEX('23 فريقًا'!$D$4:$D$237,MATCH(BN20&amp;" ضد *",'23 فريقًا'!$E$4:$E$237,0)),INDEX('23 فريقًا'!$D$4:$D$237,MATCH("* ضد "&amp;BN20,'23 فريقًا'!$E$4:$E$237,0)))</f>
        <v>المجموعة 3</v>
      </c>
      <c r="BP20" s="2">
        <f>COUNTIF('23 فريقًا'!$E$4:$E$237,BN20&amp;" ضد *")+COUNTIF('23 فريقًا'!$E$4:$E$237,"* ضد "&amp;BN20)</f>
        <v>18</v>
      </c>
      <c r="BQ20" s="2">
        <f t="shared" si="21"/>
        <v>6</v>
      </c>
      <c r="BS20" s="2">
        <v>18</v>
      </c>
      <c r="BT20" s="2" t="str">
        <f>IFERROR(INDEX('31 فريقًا'!$D$4:$D$321,MATCH(BS20&amp;" ضد *",'31 فريقًا'!$E$4:$E$321,0)),INDEX('31 فريقًا'!$D$4:$D$321,MATCH("* ضد "&amp;BS20,'31 فريقًا'!$E$4:$E$321,0)))</f>
        <v>المجموعة 3</v>
      </c>
      <c r="BU20" s="2">
        <f>COUNTIF('31 فريقًا'!$E$4:$E$321,BS20&amp;" ضد *")+COUNTIF('31 فريقًا'!$E$4:$E$321,"* ضد "&amp;BS20)</f>
        <v>21</v>
      </c>
      <c r="BV20" s="2">
        <f t="shared" si="22"/>
        <v>7</v>
      </c>
      <c r="BX20" s="2">
        <v>18</v>
      </c>
      <c r="BY20" s="2" t="str">
        <f>IFERROR(INDEX('35 فريقًا'!$D$4:$D$325,MATCH(BX20&amp;" ضد *",'35 فريقًا'!$E$4:$E$325,0)),INDEX('35 فريقًا'!$D$4:$D$325,MATCH("* ضد "&amp;BX20,'35 فريقًا'!$E$4:$E$325,0)))</f>
        <v>المجموعة 3</v>
      </c>
      <c r="BZ20" s="2">
        <f>COUNTIF('35 فريقًا'!$E$4:$E$325,BX20&amp;" ضد *")+COUNTIF('35 فريقًا'!$E$4:$E$325,"* ضد "&amp;BX20)</f>
        <v>18</v>
      </c>
      <c r="CA20" s="2">
        <f t="shared" si="23"/>
        <v>6</v>
      </c>
      <c r="CC20" s="2">
        <v>18</v>
      </c>
      <c r="CD20" s="2" t="str">
        <f>IFERROR(INDEX('48 فريقًا'!$D$4:$D$490,MATCH(CC20&amp;" ضد *",'48 فريقًا'!$E$4:$E$490,0)),INDEX('48 فريقًا'!$D$4:$D$490,MATCH("* ضد "&amp;CC20,'48 فريقًا'!$E$4:$E$490,0)))</f>
        <v>المجموعة 3</v>
      </c>
      <c r="CE20" s="2">
        <f>COUNTIF('48 فريقًا'!$E$4:$E$490,CC20&amp;" ضد *")+COUNTIF('48 فريقًا'!$E$4:$E$490,"* ضد "&amp;CC20)</f>
        <v>20</v>
      </c>
      <c r="CF20" s="2">
        <f t="shared" si="24"/>
        <v>5</v>
      </c>
    </row>
    <row r="21" spans="31:84">
      <c r="AT21" s="2">
        <v>19</v>
      </c>
      <c r="AU21" s="2" t="str">
        <f t="shared" si="13"/>
        <v>المجموعة 1</v>
      </c>
      <c r="AV21" s="2">
        <f>COUNTIF('19 فريقًا'!$D$4:$D$174,AT21&amp;" ضد *")+COUNTIF('19 فريقًا'!$D$4:$D$174,"* ضد "&amp;AT21)</f>
        <v>18</v>
      </c>
      <c r="AW21" s="2">
        <f t="shared" si="14"/>
        <v>18</v>
      </c>
      <c r="AY21" s="2">
        <v>19</v>
      </c>
      <c r="AZ21" s="2" t="str">
        <f t="shared" si="15"/>
        <v>المجموعة 1</v>
      </c>
      <c r="BA21" s="2">
        <f>COUNTIF('20 فريقًا'!$D$4:$D$193,AY21&amp;" ضد *")+COUNTIF('20 فريقًا'!$D$4:$D$193,"* ضد "&amp;AY21)</f>
        <v>19</v>
      </c>
      <c r="BB21" s="2">
        <f t="shared" si="16"/>
        <v>19</v>
      </c>
      <c r="BD21" s="2">
        <v>19</v>
      </c>
      <c r="BE21" s="2" t="str">
        <f t="shared" si="17"/>
        <v>المجموعة 1</v>
      </c>
      <c r="BF21" s="2">
        <f>COUNTIF('21 فريقًا'!$D$4:$D$213,BD21&amp;" ضد *")+COUNTIF('21 فريقًا'!$D$4:$D$213,"* ضد "&amp;BD21)</f>
        <v>20</v>
      </c>
      <c r="BG21" s="2">
        <f t="shared" si="18"/>
        <v>20</v>
      </c>
      <c r="BI21" s="2">
        <v>19</v>
      </c>
      <c r="BJ21" s="2" t="str">
        <f t="shared" si="19"/>
        <v>المجموعة 1</v>
      </c>
      <c r="BK21" s="2">
        <f>COUNTIF('22 فريقًا'!$D$4:$D$234,BI21&amp;" ضد *")+COUNTIF('22 فريقًا'!$D$4:$D$234,"* ضد "&amp;BI21)</f>
        <v>21</v>
      </c>
      <c r="BL21" s="2">
        <f t="shared" si="20"/>
        <v>21</v>
      </c>
      <c r="BN21" s="2">
        <v>19</v>
      </c>
      <c r="BO21" s="2" t="str">
        <f>IFERROR(INDEX('23 فريقًا'!$D$4:$D$237,MATCH(BN21&amp;" ضد *",'23 فريقًا'!$E$4:$E$237,0)),INDEX('23 فريقًا'!$D$4:$D$237,MATCH("* ضد "&amp;BN21,'23 فريقًا'!$E$4:$E$237,0)))</f>
        <v>المجموعة 3</v>
      </c>
      <c r="BP21" s="2">
        <f>COUNTIF('23 فريقًا'!$E$4:$E$237,BN21&amp;" ضد *")+COUNTIF('23 فريقًا'!$E$4:$E$237,"* ضد "&amp;BN21)</f>
        <v>18</v>
      </c>
      <c r="BQ21" s="2">
        <f t="shared" si="21"/>
        <v>6</v>
      </c>
      <c r="BS21" s="2">
        <v>19</v>
      </c>
      <c r="BT21" s="2" t="str">
        <f>IFERROR(INDEX('31 فريقًا'!$D$4:$D$321,MATCH(BS21&amp;" ضد *",'31 فريقًا'!$E$4:$E$321,0)),INDEX('31 فريقًا'!$D$4:$D$321,MATCH("* ضد "&amp;BS21,'31 فريقًا'!$E$4:$E$321,0)))</f>
        <v>المجموعة 3</v>
      </c>
      <c r="BU21" s="2">
        <f>COUNTIF('31 فريقًا'!$E$4:$E$321,BS21&amp;" ضد *")+COUNTIF('31 فريقًا'!$E$4:$E$321,"* ضد "&amp;BS21)</f>
        <v>21</v>
      </c>
      <c r="BV21" s="2">
        <f t="shared" si="22"/>
        <v>7</v>
      </c>
      <c r="BX21" s="2">
        <v>19</v>
      </c>
      <c r="BY21" s="2" t="str">
        <f>IFERROR(INDEX('35 فريقًا'!$D$4:$D$325,MATCH(BX21&amp;" ضد *",'35 فريقًا'!$E$4:$E$325,0)),INDEX('35 فريقًا'!$D$4:$D$325,MATCH("* ضد "&amp;BX21,'35 فريقًا'!$E$4:$E$325,0)))</f>
        <v>المجموعة 3</v>
      </c>
      <c r="BZ21" s="2">
        <f>COUNTIF('35 فريقًا'!$E$4:$E$325,BX21&amp;" ضد *")+COUNTIF('35 فريقًا'!$E$4:$E$325,"* ضد "&amp;BX21)</f>
        <v>18</v>
      </c>
      <c r="CA21" s="2">
        <f t="shared" si="23"/>
        <v>6</v>
      </c>
      <c r="CC21" s="2">
        <v>19</v>
      </c>
      <c r="CD21" s="2" t="str">
        <f>IFERROR(INDEX('48 فريقًا'!$D$4:$D$490,MATCH(CC21&amp;" ضد *",'48 فريقًا'!$E$4:$E$490,0)),INDEX('48 فريقًا'!$D$4:$D$490,MATCH("* ضد "&amp;CC21,'48 فريقًا'!$E$4:$E$490,0)))</f>
        <v>المجموعة 4</v>
      </c>
      <c r="CE21" s="2">
        <f>COUNTIF('48 فريقًا'!$E$4:$E$490,CC21&amp;" ضد *")+COUNTIF('48 فريقًا'!$E$4:$E$490,"* ضد "&amp;CC21)</f>
        <v>20</v>
      </c>
      <c r="CF21" s="2">
        <f t="shared" si="24"/>
        <v>5</v>
      </c>
    </row>
    <row r="22" spans="31:84">
      <c r="AY22" s="2">
        <v>20</v>
      </c>
      <c r="AZ22" s="2" t="str">
        <f t="shared" si="15"/>
        <v>المجموعة 1</v>
      </c>
      <c r="BA22" s="2">
        <f>COUNTIF('20 فريقًا'!$D$4:$D$193,AY22&amp;" ضد *")+COUNTIF('20 فريقًا'!$D$4:$D$193,"* ضد "&amp;AY22)</f>
        <v>19</v>
      </c>
      <c r="BB22" s="2">
        <f t="shared" si="16"/>
        <v>19</v>
      </c>
      <c r="BD22" s="2">
        <v>20</v>
      </c>
      <c r="BE22" s="2" t="str">
        <f t="shared" si="17"/>
        <v>المجموعة 1</v>
      </c>
      <c r="BF22" s="2">
        <f>COUNTIF('21 فريقًا'!$D$4:$D$213,BD22&amp;" ضد *")+COUNTIF('21 فريقًا'!$D$4:$D$213,"* ضد "&amp;BD22)</f>
        <v>20</v>
      </c>
      <c r="BG22" s="2">
        <f t="shared" si="18"/>
        <v>20</v>
      </c>
      <c r="BI22" s="2">
        <v>20</v>
      </c>
      <c r="BJ22" s="2" t="str">
        <f t="shared" si="19"/>
        <v>المجموعة 1</v>
      </c>
      <c r="BK22" s="2">
        <f>COUNTIF('22 فريقًا'!$D$4:$D$234,BI22&amp;" ضد *")+COUNTIF('22 فريقًا'!$D$4:$D$234,"* ضد "&amp;BI22)</f>
        <v>21</v>
      </c>
      <c r="BL22" s="2">
        <f t="shared" si="20"/>
        <v>21</v>
      </c>
      <c r="BN22" s="2">
        <v>20</v>
      </c>
      <c r="BO22" s="2" t="str">
        <f>IFERROR(INDEX('23 فريقًا'!$D$4:$D$237,MATCH(BN22&amp;" ضد *",'23 فريقًا'!$E$4:$E$237,0)),INDEX('23 فريقًا'!$D$4:$D$237,MATCH("* ضد "&amp;BN22,'23 فريقًا'!$E$4:$E$237,0)))</f>
        <v>المجموعة 3</v>
      </c>
      <c r="BP22" s="2">
        <f>COUNTIF('23 فريقًا'!$E$4:$E$237,BN22&amp;" ضد *")+COUNTIF('23 فريقًا'!$E$4:$E$237,"* ضد "&amp;BN22)</f>
        <v>18</v>
      </c>
      <c r="BQ22" s="2">
        <f t="shared" si="21"/>
        <v>6</v>
      </c>
      <c r="BS22" s="2">
        <v>20</v>
      </c>
      <c r="BT22" s="2" t="str">
        <f>IFERROR(INDEX('31 فريقًا'!$D$4:$D$321,MATCH(BS22&amp;" ضد *",'31 فريقًا'!$E$4:$E$321,0)),INDEX('31 فريقًا'!$D$4:$D$321,MATCH("* ضد "&amp;BS22,'31 فريقًا'!$E$4:$E$321,0)))</f>
        <v>المجموعة 3</v>
      </c>
      <c r="BU22" s="2">
        <f>COUNTIF('31 فريقًا'!$E$4:$E$321,BS22&amp;" ضد *")+COUNTIF('31 فريقًا'!$E$4:$E$321,"* ضد "&amp;BS22)</f>
        <v>21</v>
      </c>
      <c r="BV22" s="2">
        <f t="shared" si="22"/>
        <v>7</v>
      </c>
      <c r="BX22" s="2">
        <v>20</v>
      </c>
      <c r="BY22" s="2" t="str">
        <f>IFERROR(INDEX('35 فريقًا'!$D$4:$D$325,MATCH(BX22&amp;" ضد *",'35 فريقًا'!$E$4:$E$325,0)),INDEX('35 فريقًا'!$D$4:$D$325,MATCH("* ضد "&amp;BX22,'35 فريقًا'!$E$4:$E$325,0)))</f>
        <v>المجموعة 3</v>
      </c>
      <c r="BZ22" s="2">
        <f>COUNTIF('35 فريقًا'!$E$4:$E$325,BX22&amp;" ضد *")+COUNTIF('35 فريقًا'!$E$4:$E$325,"* ضد "&amp;BX22)</f>
        <v>18</v>
      </c>
      <c r="CA22" s="2">
        <f t="shared" si="23"/>
        <v>6</v>
      </c>
      <c r="CC22" s="2">
        <v>20</v>
      </c>
      <c r="CD22" s="2" t="str">
        <f>IFERROR(INDEX('48 فريقًا'!$D$4:$D$490,MATCH(CC22&amp;" ضد *",'48 فريقًا'!$E$4:$E$490,0)),INDEX('48 فريقًا'!$D$4:$D$490,MATCH("* ضد "&amp;CC22,'48 فريقًا'!$E$4:$E$490,0)))</f>
        <v>المجموعة 4</v>
      </c>
      <c r="CE22" s="2">
        <f>COUNTIF('48 فريقًا'!$E$4:$E$490,CC22&amp;" ضد *")+COUNTIF('48 فريقًا'!$E$4:$E$490,"* ضد "&amp;CC22)</f>
        <v>20</v>
      </c>
      <c r="CF22" s="2">
        <f t="shared" si="24"/>
        <v>5</v>
      </c>
    </row>
    <row r="23" spans="31:84">
      <c r="BD23" s="2">
        <v>21</v>
      </c>
      <c r="BE23" s="2" t="str">
        <f t="shared" si="17"/>
        <v>المجموعة 1</v>
      </c>
      <c r="BF23" s="2">
        <f>COUNTIF('21 فريقًا'!$D$4:$D$213,BD23&amp;" ضد *")+COUNTIF('21 فريقًا'!$D$4:$D$213,"* ضد "&amp;BD23)</f>
        <v>20</v>
      </c>
      <c r="BG23" s="2">
        <f t="shared" si="18"/>
        <v>20</v>
      </c>
      <c r="BI23" s="2">
        <v>21</v>
      </c>
      <c r="BJ23" s="2" t="str">
        <f t="shared" si="19"/>
        <v>المجموعة 1</v>
      </c>
      <c r="BK23" s="2">
        <f>COUNTIF('22 فريقًا'!$D$4:$D$234,BI23&amp;" ضد *")+COUNTIF('22 فريقًا'!$D$4:$D$234,"* ضد "&amp;BI23)</f>
        <v>21</v>
      </c>
      <c r="BL23" s="2">
        <f t="shared" si="20"/>
        <v>21</v>
      </c>
      <c r="BN23" s="2">
        <v>21</v>
      </c>
      <c r="BO23" s="2" t="str">
        <f>IFERROR(INDEX('23 فريقًا'!$D$4:$D$237,MATCH(BN23&amp;" ضد *",'23 فريقًا'!$E$4:$E$237,0)),INDEX('23 فريقًا'!$D$4:$D$237,MATCH("* ضد "&amp;BN23,'23 فريقًا'!$E$4:$E$237,0)))</f>
        <v>المجموعة 3</v>
      </c>
      <c r="BP23" s="2">
        <f>COUNTIF('23 فريقًا'!$E$4:$E$237,BN23&amp;" ضد *")+COUNTIF('23 فريقًا'!$E$4:$E$237,"* ضد "&amp;BN23)</f>
        <v>18</v>
      </c>
      <c r="BQ23" s="2">
        <f t="shared" si="21"/>
        <v>6</v>
      </c>
      <c r="BS23" s="2">
        <v>21</v>
      </c>
      <c r="BT23" s="2" t="str">
        <f>IFERROR(INDEX('31 فريقًا'!$D$4:$D$321,MATCH(BS23&amp;" ضد *",'31 فريقًا'!$E$4:$E$321,0)),INDEX('31 فريقًا'!$D$4:$D$321,MATCH("* ضد "&amp;BS23,'31 فريقًا'!$E$4:$E$321,0)))</f>
        <v>المجموعة 3</v>
      </c>
      <c r="BU23" s="2">
        <f>COUNTIF('31 فريقًا'!$E$4:$E$321,BS23&amp;" ضد *")+COUNTIF('31 فريقًا'!$E$4:$E$321,"* ضد "&amp;BS23)</f>
        <v>21</v>
      </c>
      <c r="BV23" s="2">
        <f t="shared" si="22"/>
        <v>7</v>
      </c>
      <c r="BX23" s="2">
        <v>21</v>
      </c>
      <c r="BY23" s="2" t="str">
        <f>IFERROR(INDEX('35 فريقًا'!$D$4:$D$325,MATCH(BX23&amp;" ضد *",'35 فريقًا'!$E$4:$E$325,0)),INDEX('35 فريقًا'!$D$4:$D$325,MATCH("* ضد "&amp;BX23,'35 فريقًا'!$E$4:$E$325,0)))</f>
        <v>المجموعة 3</v>
      </c>
      <c r="BZ23" s="2">
        <f>COUNTIF('35 فريقًا'!$E$4:$E$325,BX23&amp;" ضد *")+COUNTIF('35 فريقًا'!$E$4:$E$325,"* ضد "&amp;BX23)</f>
        <v>18</v>
      </c>
      <c r="CA23" s="2">
        <f t="shared" si="23"/>
        <v>6</v>
      </c>
      <c r="CC23" s="2">
        <v>21</v>
      </c>
      <c r="CD23" s="2" t="str">
        <f>IFERROR(INDEX('48 فريقًا'!$D$4:$D$490,MATCH(CC23&amp;" ضد *",'48 فريقًا'!$E$4:$E$490,0)),INDEX('48 فريقًا'!$D$4:$D$490,MATCH("* ضد "&amp;CC23,'48 فريقًا'!$E$4:$E$490,0)))</f>
        <v>المجموعة 4</v>
      </c>
      <c r="CE23" s="2">
        <f>COUNTIF('48 فريقًا'!$E$4:$E$490,CC23&amp;" ضد *")+COUNTIF('48 فريقًا'!$E$4:$E$490,"* ضد "&amp;CC23)</f>
        <v>20</v>
      </c>
      <c r="CF23" s="2">
        <f t="shared" si="24"/>
        <v>5</v>
      </c>
    </row>
    <row r="24" spans="31:84">
      <c r="BI24" s="2">
        <v>22</v>
      </c>
      <c r="BJ24" s="2" t="str">
        <f t="shared" si="19"/>
        <v>المجموعة 1</v>
      </c>
      <c r="BK24" s="2">
        <f>COUNTIF('22 فريقًا'!$D$4:$D$234,BI24&amp;" ضد *")+COUNTIF('22 فريقًا'!$D$4:$D$234,"* ضد "&amp;BI24)</f>
        <v>21</v>
      </c>
      <c r="BL24" s="2">
        <f t="shared" si="20"/>
        <v>21</v>
      </c>
      <c r="BN24" s="2">
        <v>22</v>
      </c>
      <c r="BO24" s="2" t="str">
        <f>IFERROR(INDEX('23 فريقًا'!$D$4:$D$237,MATCH(BN24&amp;" ضد *",'23 فريقًا'!$E$4:$E$237,0)),INDEX('23 فريقًا'!$D$4:$D$237,MATCH("* ضد "&amp;BN24,'23 فريقًا'!$E$4:$E$237,0)))</f>
        <v>المجموعة 3</v>
      </c>
      <c r="BP24" s="2">
        <f>COUNTIF('23 فريقًا'!$E$4:$E$237,BN24&amp;" ضد *")+COUNTIF('23 فريقًا'!$E$4:$E$237,"* ضد "&amp;BN24)</f>
        <v>18</v>
      </c>
      <c r="BQ24" s="2">
        <f t="shared" si="21"/>
        <v>6</v>
      </c>
      <c r="BS24" s="2">
        <v>22</v>
      </c>
      <c r="BT24" s="2" t="str">
        <f>IFERROR(INDEX('31 فريقًا'!$D$4:$D$321,MATCH(BS24&amp;" ضد *",'31 فريقًا'!$E$4:$E$321,0)),INDEX('31 فريقًا'!$D$4:$D$321,MATCH("* ضد "&amp;BS24,'31 فريقًا'!$E$4:$E$321,0)))</f>
        <v>المجموعة 3</v>
      </c>
      <c r="BU24" s="2">
        <f>COUNTIF('31 فريقًا'!$E$4:$E$321,BS24&amp;" ضد *")+COUNTIF('31 فريقًا'!$E$4:$E$321,"* ضد "&amp;BS24)</f>
        <v>21</v>
      </c>
      <c r="BV24" s="2">
        <f t="shared" si="22"/>
        <v>7</v>
      </c>
      <c r="BX24" s="2">
        <v>22</v>
      </c>
      <c r="BY24" s="2" t="str">
        <f>IFERROR(INDEX('35 فريقًا'!$D$4:$D$325,MATCH(BX24&amp;" ضد *",'35 فريقًا'!$E$4:$E$325,0)),INDEX('35 فريقًا'!$D$4:$D$325,MATCH("* ضد "&amp;BX24,'35 فريقًا'!$E$4:$E$325,0)))</f>
        <v>المجموعة 4</v>
      </c>
      <c r="BZ24" s="2">
        <f>COUNTIF('35 فريقًا'!$E$4:$E$325,BX24&amp;" ضد *")+COUNTIF('35 فريقًا'!$E$4:$E$325,"* ضد "&amp;BX24)</f>
        <v>18</v>
      </c>
      <c r="CA24" s="2">
        <f t="shared" si="23"/>
        <v>6</v>
      </c>
      <c r="CC24" s="2">
        <v>22</v>
      </c>
      <c r="CD24" s="2" t="str">
        <f>IFERROR(INDEX('48 فريقًا'!$D$4:$D$490,MATCH(CC24&amp;" ضد *",'48 فريقًا'!$E$4:$E$490,0)),INDEX('48 فريقًا'!$D$4:$D$490,MATCH("* ضد "&amp;CC24,'48 فريقًا'!$E$4:$E$490,0)))</f>
        <v>المجموعة 4</v>
      </c>
      <c r="CE24" s="2">
        <f>COUNTIF('48 فريقًا'!$E$4:$E$490,CC24&amp;" ضد *")+COUNTIF('48 فريقًا'!$E$4:$E$490,"* ضد "&amp;CC24)</f>
        <v>20</v>
      </c>
      <c r="CF24" s="2">
        <f t="shared" si="24"/>
        <v>5</v>
      </c>
    </row>
    <row r="25" spans="31:84">
      <c r="BN25" s="2">
        <v>23</v>
      </c>
      <c r="BO25" s="2" t="str">
        <f>IFERROR(INDEX('23 فريقًا'!$D$4:$D$237,MATCH(BN25&amp;" ضد *",'23 فريقًا'!$E$4:$E$237,0)),INDEX('23 فريقًا'!$D$4:$D$237,MATCH("* ضد "&amp;BN25,'23 فريقًا'!$E$4:$E$237,0)))</f>
        <v>المجموعة 3</v>
      </c>
      <c r="BP25" s="2">
        <f>COUNTIF('23 فريقًا'!$E$4:$E$237,BN25&amp;" ضد *")+COUNTIF('23 فريقًا'!$E$4:$E$237,"* ضد "&amp;BN25)</f>
        <v>18</v>
      </c>
      <c r="BQ25" s="2">
        <f t="shared" si="21"/>
        <v>6</v>
      </c>
      <c r="BS25" s="2">
        <v>23</v>
      </c>
      <c r="BT25" s="2" t="str">
        <f>IFERROR(INDEX('31 فريقًا'!$D$4:$D$321,MATCH(BS25&amp;" ضد *",'31 فريقًا'!$E$4:$E$321,0)),INDEX('31 فريقًا'!$D$4:$D$321,MATCH("* ضد "&amp;BS25,'31 فريقًا'!$E$4:$E$321,0)))</f>
        <v>المجموعة 3</v>
      </c>
      <c r="BU25" s="2">
        <f>COUNTIF('31 فريقًا'!$E$4:$E$321,BS25&amp;" ضد *")+COUNTIF('31 فريقًا'!$E$4:$E$321,"* ضد "&amp;BS25)</f>
        <v>21</v>
      </c>
      <c r="BV25" s="2">
        <f t="shared" si="22"/>
        <v>7</v>
      </c>
      <c r="BX25" s="2">
        <v>23</v>
      </c>
      <c r="BY25" s="2" t="str">
        <f>IFERROR(INDEX('35 فريقًا'!$D$4:$D$325,MATCH(BX25&amp;" ضد *",'35 فريقًا'!$E$4:$E$325,0)),INDEX('35 فريقًا'!$D$4:$D$325,MATCH("* ضد "&amp;BX25,'35 فريقًا'!$E$4:$E$325,0)))</f>
        <v>المجموعة 4</v>
      </c>
      <c r="BZ25" s="2">
        <f>COUNTIF('35 فريقًا'!$E$4:$E$325,BX25&amp;" ضد *")+COUNTIF('35 فريقًا'!$E$4:$E$325,"* ضد "&amp;BX25)</f>
        <v>18</v>
      </c>
      <c r="CA25" s="2">
        <f t="shared" si="23"/>
        <v>6</v>
      </c>
      <c r="CC25" s="2">
        <v>23</v>
      </c>
      <c r="CD25" s="2" t="str">
        <f>IFERROR(INDEX('48 فريقًا'!$D$4:$D$490,MATCH(CC25&amp;" ضد *",'48 فريقًا'!$E$4:$E$490,0)),INDEX('48 فريقًا'!$D$4:$D$490,MATCH("* ضد "&amp;CC25,'48 فريقًا'!$E$4:$E$490,0)))</f>
        <v>المجموعة 4</v>
      </c>
      <c r="CE25" s="2">
        <f>COUNTIF('48 فريقًا'!$E$4:$E$490,CC25&amp;" ضد *")+COUNTIF('48 فريقًا'!$E$4:$E$490,"* ضد "&amp;CC25)</f>
        <v>20</v>
      </c>
      <c r="CF25" s="2">
        <f t="shared" si="24"/>
        <v>5</v>
      </c>
    </row>
    <row r="26" spans="31:84">
      <c r="BS26" s="2">
        <v>24</v>
      </c>
      <c r="BT26" s="2" t="str">
        <f>IFERROR(INDEX('31 فريقًا'!$D$4:$D$321,MATCH(BS26&amp;" ضد *",'31 فريقًا'!$E$4:$E$321,0)),INDEX('31 فريقًا'!$D$4:$D$321,MATCH("* ضد "&amp;BS26,'31 فريقًا'!$E$4:$E$321,0)))</f>
        <v>المجموعة 3</v>
      </c>
      <c r="BU26" s="2">
        <f>COUNTIF('31 فريقًا'!$E$4:$E$321,BS26&amp;" ضد *")+COUNTIF('31 فريقًا'!$E$4:$E$321,"* ضد "&amp;BS26)</f>
        <v>21</v>
      </c>
      <c r="BV26" s="2">
        <f t="shared" si="22"/>
        <v>7</v>
      </c>
      <c r="BX26" s="2">
        <v>24</v>
      </c>
      <c r="BY26" s="2" t="str">
        <f>IFERROR(INDEX('35 فريقًا'!$D$4:$D$325,MATCH(BX26&amp;" ضد *",'35 فريقًا'!$E$4:$E$325,0)),INDEX('35 فريقًا'!$D$4:$D$325,MATCH("* ضد "&amp;BX26,'35 فريقًا'!$E$4:$E$325,0)))</f>
        <v>المجموعة 4</v>
      </c>
      <c r="BZ26" s="2">
        <f>COUNTIF('35 فريقًا'!$E$4:$E$325,BX26&amp;" ضد *")+COUNTIF('35 فريقًا'!$E$4:$E$325,"* ضد "&amp;BX26)</f>
        <v>18</v>
      </c>
      <c r="CA26" s="2">
        <f t="shared" si="23"/>
        <v>6</v>
      </c>
      <c r="CC26" s="2">
        <v>24</v>
      </c>
      <c r="CD26" s="2" t="str">
        <f>IFERROR(INDEX('48 فريقًا'!$D$4:$D$490,MATCH(CC26&amp;" ضد *",'48 فريقًا'!$E$4:$E$490,0)),INDEX('48 فريقًا'!$D$4:$D$490,MATCH("* ضد "&amp;CC26,'48 فريقًا'!$E$4:$E$490,0)))</f>
        <v>المجموعة 4</v>
      </c>
      <c r="CE26" s="2">
        <f>COUNTIF('48 فريقًا'!$E$4:$E$490,CC26&amp;" ضد *")+COUNTIF('48 فريقًا'!$E$4:$E$490,"* ضد "&amp;CC26)</f>
        <v>20</v>
      </c>
      <c r="CF26" s="2">
        <f t="shared" si="24"/>
        <v>5</v>
      </c>
    </row>
    <row r="27" spans="31:84">
      <c r="BS27" s="2">
        <v>25</v>
      </c>
      <c r="BT27" s="2" t="str">
        <f>IFERROR(INDEX('31 فريقًا'!$D$4:$D$321,MATCH(BS27&amp;" ضد *",'31 فريقًا'!$E$4:$E$321,0)),INDEX('31 فريقًا'!$D$4:$D$321,MATCH("* ضد "&amp;BS27,'31 فريقًا'!$E$4:$E$321,0)))</f>
        <v>المجموعة 4</v>
      </c>
      <c r="BU27" s="2">
        <f>COUNTIF('31 فريقًا'!$E$4:$E$321,BS27&amp;" ضد *")+COUNTIF('31 فريقًا'!$E$4:$E$321,"* ضد "&amp;BS27)</f>
        <v>18</v>
      </c>
      <c r="BV27" s="2">
        <f t="shared" si="22"/>
        <v>6</v>
      </c>
      <c r="BX27" s="2">
        <v>25</v>
      </c>
      <c r="BY27" s="2" t="str">
        <f>IFERROR(INDEX('35 فريقًا'!$D$4:$D$325,MATCH(BX27&amp;" ضد *",'35 فريقًا'!$E$4:$E$325,0)),INDEX('35 فريقًا'!$D$4:$D$325,MATCH("* ضد "&amp;BX27,'35 فريقًا'!$E$4:$E$325,0)))</f>
        <v>المجموعة 4</v>
      </c>
      <c r="BZ27" s="2">
        <f>COUNTIF('35 فريقًا'!$E$4:$E$325,BX27&amp;" ضد *")+COUNTIF('35 فريقًا'!$E$4:$E$325,"* ضد "&amp;BX27)</f>
        <v>18</v>
      </c>
      <c r="CA27" s="2">
        <f t="shared" si="23"/>
        <v>6</v>
      </c>
      <c r="CC27" s="2">
        <v>25</v>
      </c>
      <c r="CD27" s="2" t="str">
        <f>IFERROR(INDEX('48 فريقًا'!$D$4:$D$490,MATCH(CC27&amp;" ضد *",'48 فريقًا'!$E$4:$E$490,0)),INDEX('48 فريقًا'!$D$4:$D$490,MATCH("* ضد "&amp;CC27,'48 فريقًا'!$E$4:$E$490,0)))</f>
        <v>المجموعة 5</v>
      </c>
      <c r="CE27" s="2">
        <f>COUNTIF('48 فريقًا'!$E$4:$E$490,CC27&amp;" ضد *")+COUNTIF('48 فريقًا'!$E$4:$E$490,"* ضد "&amp;CC27)</f>
        <v>20</v>
      </c>
      <c r="CF27" s="2">
        <f t="shared" si="24"/>
        <v>5</v>
      </c>
    </row>
    <row r="28" spans="31:84">
      <c r="BS28" s="2">
        <v>26</v>
      </c>
      <c r="BT28" s="2" t="str">
        <f>IFERROR(INDEX('31 فريقًا'!$D$4:$D$321,MATCH(BS28&amp;" ضد *",'31 فريقًا'!$E$4:$E$321,0)),INDEX('31 فريقًا'!$D$4:$D$321,MATCH("* ضد "&amp;BS28,'31 فريقًا'!$E$4:$E$321,0)))</f>
        <v>المجموعة 4</v>
      </c>
      <c r="BU28" s="2">
        <f>COUNTIF('31 فريقًا'!$E$4:$E$321,BS28&amp;" ضد *")+COUNTIF('31 فريقًا'!$E$4:$E$321,"* ضد "&amp;BS28)</f>
        <v>18</v>
      </c>
      <c r="BV28" s="2">
        <f t="shared" si="22"/>
        <v>6</v>
      </c>
      <c r="BX28" s="2">
        <v>26</v>
      </c>
      <c r="BY28" s="2" t="str">
        <f>IFERROR(INDEX('35 فريقًا'!$D$4:$D$325,MATCH(BX28&amp;" ضد *",'35 فريقًا'!$E$4:$E$325,0)),INDEX('35 فريقًا'!$D$4:$D$325,MATCH("* ضد "&amp;BX28,'35 فريقًا'!$E$4:$E$325,0)))</f>
        <v>المجموعة 4</v>
      </c>
      <c r="BZ28" s="2">
        <f>COUNTIF('35 فريقًا'!$E$4:$E$325,BX28&amp;" ضد *")+COUNTIF('35 فريقًا'!$E$4:$E$325,"* ضد "&amp;BX28)</f>
        <v>18</v>
      </c>
      <c r="CA28" s="2">
        <f t="shared" si="23"/>
        <v>6</v>
      </c>
      <c r="CC28" s="2">
        <v>26</v>
      </c>
      <c r="CD28" s="2" t="str">
        <f>IFERROR(INDEX('48 فريقًا'!$D$4:$D$490,MATCH(CC28&amp;" ضد *",'48 فريقًا'!$E$4:$E$490,0)),INDEX('48 فريقًا'!$D$4:$D$490,MATCH("* ضد "&amp;CC28,'48 فريقًا'!$E$4:$E$490,0)))</f>
        <v>المجموعة 5</v>
      </c>
      <c r="CE28" s="2">
        <f>COUNTIF('48 فريقًا'!$E$4:$E$490,CC28&amp;" ضد *")+COUNTIF('48 فريقًا'!$E$4:$E$490,"* ضد "&amp;CC28)</f>
        <v>20</v>
      </c>
      <c r="CF28" s="2">
        <f t="shared" si="24"/>
        <v>5</v>
      </c>
    </row>
    <row r="29" spans="31:84">
      <c r="BS29" s="2">
        <v>27</v>
      </c>
      <c r="BT29" s="2" t="str">
        <f>IFERROR(INDEX('31 فريقًا'!$D$4:$D$321,MATCH(BS29&amp;" ضد *",'31 فريقًا'!$E$4:$E$321,0)),INDEX('31 فريقًا'!$D$4:$D$321,MATCH("* ضد "&amp;BS29,'31 فريقًا'!$E$4:$E$321,0)))</f>
        <v>المجموعة 4</v>
      </c>
      <c r="BU29" s="2">
        <f>COUNTIF('31 فريقًا'!$E$4:$E$321,BS29&amp;" ضد *")+COUNTIF('31 فريقًا'!$E$4:$E$321,"* ضد "&amp;BS29)</f>
        <v>18</v>
      </c>
      <c r="BV29" s="2">
        <f t="shared" si="22"/>
        <v>6</v>
      </c>
      <c r="BX29" s="2">
        <v>27</v>
      </c>
      <c r="BY29" s="2" t="str">
        <f>IFERROR(INDEX('35 فريقًا'!$D$4:$D$325,MATCH(BX29&amp;" ضد *",'35 فريقًا'!$E$4:$E$325,0)),INDEX('35 فريقًا'!$D$4:$D$325,MATCH("* ضد "&amp;BX29,'35 فريقًا'!$E$4:$E$325,0)))</f>
        <v>المجموعة 4</v>
      </c>
      <c r="BZ29" s="2">
        <f>COUNTIF('35 فريقًا'!$E$4:$E$325,BX29&amp;" ضد *")+COUNTIF('35 فريقًا'!$E$4:$E$325,"* ضد "&amp;BX29)</f>
        <v>18</v>
      </c>
      <c r="CA29" s="2">
        <f t="shared" si="23"/>
        <v>6</v>
      </c>
      <c r="CC29" s="2">
        <v>27</v>
      </c>
      <c r="CD29" s="2" t="str">
        <f>IFERROR(INDEX('48 فريقًا'!$D$4:$D$490,MATCH(CC29&amp;" ضد *",'48 فريقًا'!$E$4:$E$490,0)),INDEX('48 فريقًا'!$D$4:$D$490,MATCH("* ضد "&amp;CC29,'48 فريقًا'!$E$4:$E$490,0)))</f>
        <v>المجموعة 5</v>
      </c>
      <c r="CE29" s="2">
        <f>COUNTIF('48 فريقًا'!$E$4:$E$490,CC29&amp;" ضد *")+COUNTIF('48 فريقًا'!$E$4:$E$490,"* ضد "&amp;CC29)</f>
        <v>20</v>
      </c>
      <c r="CF29" s="2">
        <f t="shared" si="24"/>
        <v>5</v>
      </c>
    </row>
    <row r="30" spans="31:84">
      <c r="BS30" s="2">
        <v>28</v>
      </c>
      <c r="BT30" s="2" t="str">
        <f>IFERROR(INDEX('31 فريقًا'!$D$4:$D$321,MATCH(BS30&amp;" ضد *",'31 فريقًا'!$E$4:$E$321,0)),INDEX('31 فريقًا'!$D$4:$D$321,MATCH("* ضد "&amp;BS30,'31 فريقًا'!$E$4:$E$321,0)))</f>
        <v>المجموعة 4</v>
      </c>
      <c r="BU30" s="2">
        <f>COUNTIF('31 فريقًا'!$E$4:$E$321,BS30&amp;" ضد *")+COUNTIF('31 فريقًا'!$E$4:$E$321,"* ضد "&amp;BS30)</f>
        <v>18</v>
      </c>
      <c r="BV30" s="2">
        <f t="shared" si="22"/>
        <v>6</v>
      </c>
      <c r="BX30" s="2">
        <v>28</v>
      </c>
      <c r="BY30" s="2" t="str">
        <f>IFERROR(INDEX('35 فريقًا'!$D$4:$D$325,MATCH(BX30&amp;" ضد *",'35 فريقًا'!$E$4:$E$325,0)),INDEX('35 فريقًا'!$D$4:$D$325,MATCH("* ضد "&amp;BX30,'35 فريقًا'!$E$4:$E$325,0)))</f>
        <v>المجموعة 4</v>
      </c>
      <c r="BZ30" s="2">
        <f>COUNTIF('35 فريقًا'!$E$4:$E$325,BX30&amp;" ضد *")+COUNTIF('35 فريقًا'!$E$4:$E$325,"* ضد "&amp;BX30)</f>
        <v>18</v>
      </c>
      <c r="CA30" s="2">
        <f t="shared" si="23"/>
        <v>6</v>
      </c>
      <c r="CC30" s="2">
        <v>28</v>
      </c>
      <c r="CD30" s="2" t="str">
        <f>IFERROR(INDEX('48 فريقًا'!$D$4:$D$490,MATCH(CC30&amp;" ضد *",'48 فريقًا'!$E$4:$E$490,0)),INDEX('48 فريقًا'!$D$4:$D$490,MATCH("* ضد "&amp;CC30,'48 فريقًا'!$E$4:$E$490,0)))</f>
        <v>المجموعة 5</v>
      </c>
      <c r="CE30" s="2">
        <f>COUNTIF('48 فريقًا'!$E$4:$E$490,CC30&amp;" ضد *")+COUNTIF('48 فريقًا'!$E$4:$E$490,"* ضد "&amp;CC30)</f>
        <v>20</v>
      </c>
      <c r="CF30" s="2">
        <f t="shared" si="24"/>
        <v>5</v>
      </c>
    </row>
    <row r="31" spans="31:84">
      <c r="BS31" s="2">
        <v>29</v>
      </c>
      <c r="BT31" s="2" t="str">
        <f>IFERROR(INDEX('31 فريقًا'!$D$4:$D$321,MATCH(BS31&amp;" ضد *",'31 فريقًا'!$E$4:$E$321,0)),INDEX('31 فريقًا'!$D$4:$D$321,MATCH("* ضد "&amp;BS31,'31 فريقًا'!$E$4:$E$321,0)))</f>
        <v>المجموعة 4</v>
      </c>
      <c r="BU31" s="2">
        <f>COUNTIF('31 فريقًا'!$E$4:$E$321,BS31&amp;" ضد *")+COUNTIF('31 فريقًا'!$E$4:$E$321,"* ضد "&amp;BS31)</f>
        <v>18</v>
      </c>
      <c r="BV31" s="2">
        <f t="shared" si="22"/>
        <v>6</v>
      </c>
      <c r="BX31" s="2">
        <v>29</v>
      </c>
      <c r="BY31" s="2" t="str">
        <f>IFERROR(INDEX('35 فريقًا'!$D$4:$D$325,MATCH(BX31&amp;" ضد *",'35 فريقًا'!$E$4:$E$325,0)),INDEX('35 فريقًا'!$D$4:$D$325,MATCH("* ضد "&amp;BX31,'35 فريقًا'!$E$4:$E$325,0)))</f>
        <v>المجموعة 5</v>
      </c>
      <c r="BZ31" s="2">
        <f>COUNTIF('35 فريقًا'!$E$4:$E$325,BX31&amp;" ضد *")+COUNTIF('35 فريقًا'!$E$4:$E$325,"* ضد "&amp;BX31)</f>
        <v>18</v>
      </c>
      <c r="CA31" s="2">
        <f t="shared" si="23"/>
        <v>6</v>
      </c>
      <c r="CC31" s="2">
        <v>29</v>
      </c>
      <c r="CD31" s="2" t="str">
        <f>IFERROR(INDEX('48 فريقًا'!$D$4:$D$490,MATCH(CC31&amp;" ضد *",'48 فريقًا'!$E$4:$E$490,0)),INDEX('48 فريقًا'!$D$4:$D$490,MATCH("* ضد "&amp;CC31,'48 فريقًا'!$E$4:$E$490,0)))</f>
        <v>المجموعة 5</v>
      </c>
      <c r="CE31" s="2">
        <f>COUNTIF('48 فريقًا'!$E$4:$E$490,CC31&amp;" ضد *")+COUNTIF('48 فريقًا'!$E$4:$E$490,"* ضد "&amp;CC31)</f>
        <v>20</v>
      </c>
      <c r="CF31" s="2">
        <f t="shared" si="24"/>
        <v>5</v>
      </c>
    </row>
    <row r="32" spans="31:84">
      <c r="BS32" s="2">
        <v>30</v>
      </c>
      <c r="BT32" s="2" t="str">
        <f>IFERROR(INDEX('31 فريقًا'!$D$4:$D$321,MATCH(BS32&amp;" ضد *",'31 فريقًا'!$E$4:$E$321,0)),INDEX('31 فريقًا'!$D$4:$D$321,MATCH("* ضد "&amp;BS32,'31 فريقًا'!$E$4:$E$321,0)))</f>
        <v>المجموعة 4</v>
      </c>
      <c r="BU32" s="2">
        <f>COUNTIF('31 فريقًا'!$E$4:$E$321,BS32&amp;" ضد *")+COUNTIF('31 فريقًا'!$E$4:$E$321,"* ضد "&amp;BS32)</f>
        <v>18</v>
      </c>
      <c r="BV32" s="2">
        <f t="shared" si="22"/>
        <v>6</v>
      </c>
      <c r="BX32" s="2">
        <v>30</v>
      </c>
      <c r="BY32" s="2" t="str">
        <f>IFERROR(INDEX('35 فريقًا'!$D$4:$D$325,MATCH(BX32&amp;" ضد *",'35 فريقًا'!$E$4:$E$325,0)),INDEX('35 فريقًا'!$D$4:$D$325,MATCH("* ضد "&amp;BX32,'35 فريقًا'!$E$4:$E$325,0)))</f>
        <v>المجموعة 5</v>
      </c>
      <c r="BZ32" s="2">
        <f>COUNTIF('35 فريقًا'!$E$4:$E$325,BX32&amp;" ضد *")+COUNTIF('35 فريقًا'!$E$4:$E$325,"* ضد "&amp;BX32)</f>
        <v>18</v>
      </c>
      <c r="CA32" s="2">
        <f t="shared" si="23"/>
        <v>6</v>
      </c>
      <c r="CC32" s="2">
        <v>30</v>
      </c>
      <c r="CD32" s="2" t="str">
        <f>IFERROR(INDEX('48 فريقًا'!$D$4:$D$490,MATCH(CC32&amp;" ضد *",'48 فريقًا'!$E$4:$E$490,0)),INDEX('48 فريقًا'!$D$4:$D$490,MATCH("* ضد "&amp;CC32,'48 فريقًا'!$E$4:$E$490,0)))</f>
        <v>المجموعة 5</v>
      </c>
      <c r="CE32" s="2">
        <f>COUNTIF('48 فريقًا'!$E$4:$E$490,CC32&amp;" ضد *")+COUNTIF('48 فريقًا'!$E$4:$E$490,"* ضد "&amp;CC32)</f>
        <v>20</v>
      </c>
      <c r="CF32" s="2">
        <f t="shared" si="24"/>
        <v>5</v>
      </c>
    </row>
    <row r="33" spans="71:84">
      <c r="BS33" s="2">
        <v>31</v>
      </c>
      <c r="BT33" s="2" t="str">
        <f>IFERROR(INDEX('31 فريقًا'!$D$4:$D$321,MATCH(BS33&amp;" ضد *",'31 فريقًا'!$E$4:$E$321,0)),INDEX('31 فريقًا'!$D$4:$D$321,MATCH("* ضد "&amp;BS33,'31 فريقًا'!$E$4:$E$321,0)))</f>
        <v>المجموعة 4</v>
      </c>
      <c r="BU33" s="2">
        <f>COUNTIF('31 فريقًا'!$E$4:$E$321,BS33&amp;" ضد *")+COUNTIF('31 فريقًا'!$E$4:$E$321,"* ضد "&amp;BS33)</f>
        <v>18</v>
      </c>
      <c r="BV33" s="2">
        <f t="shared" si="22"/>
        <v>6</v>
      </c>
      <c r="BX33" s="2">
        <v>31</v>
      </c>
      <c r="BY33" s="2" t="str">
        <f>IFERROR(INDEX('35 فريقًا'!$D$4:$D$325,MATCH(BX33&amp;" ضد *",'35 فريقًا'!$E$4:$E$325,0)),INDEX('35 فريقًا'!$D$4:$D$325,MATCH("* ضد "&amp;BX33,'35 فريقًا'!$E$4:$E$325,0)))</f>
        <v>المجموعة 5</v>
      </c>
      <c r="BZ33" s="2">
        <f>COUNTIF('35 فريقًا'!$E$4:$E$325,BX33&amp;" ضد *")+COUNTIF('35 فريقًا'!$E$4:$E$325,"* ضد "&amp;BX33)</f>
        <v>18</v>
      </c>
      <c r="CA33" s="2">
        <f t="shared" si="23"/>
        <v>6</v>
      </c>
      <c r="CC33" s="2">
        <v>31</v>
      </c>
      <c r="CD33" s="2" t="str">
        <f>IFERROR(INDEX('48 فريقًا'!$D$4:$D$490,MATCH(CC33&amp;" ضد *",'48 فريقًا'!$E$4:$E$490,0)),INDEX('48 فريقًا'!$D$4:$D$490,MATCH("* ضد "&amp;CC33,'48 فريقًا'!$E$4:$E$490,0)))</f>
        <v>المجموعة 6</v>
      </c>
      <c r="CE33" s="2">
        <f>COUNTIF('48 فريقًا'!$E$4:$E$490,CC33&amp;" ضد *")+COUNTIF('48 فريقًا'!$E$4:$E$490,"* ضد "&amp;CC33)</f>
        <v>20</v>
      </c>
      <c r="CF33" s="2">
        <f t="shared" si="24"/>
        <v>5</v>
      </c>
    </row>
    <row r="34" spans="71:84">
      <c r="BX34" s="2">
        <v>32</v>
      </c>
      <c r="BY34" s="2" t="str">
        <f>IFERROR(INDEX('35 فريقًا'!$D$4:$D$325,MATCH(BX34&amp;" ضد *",'35 فريقًا'!$E$4:$E$325,0)),INDEX('35 فريقًا'!$D$4:$D$325,MATCH("* ضد "&amp;BX34,'35 فريقًا'!$E$4:$E$325,0)))</f>
        <v>المجموعة 5</v>
      </c>
      <c r="BZ34" s="2">
        <f>COUNTIF('35 فريقًا'!$E$4:$E$325,BX34&amp;" ضد *")+COUNTIF('35 فريقًا'!$E$4:$E$325,"* ضد "&amp;BX34)</f>
        <v>18</v>
      </c>
      <c r="CA34" s="2">
        <f t="shared" si="23"/>
        <v>6</v>
      </c>
      <c r="CC34" s="2">
        <v>32</v>
      </c>
      <c r="CD34" s="2" t="str">
        <f>IFERROR(INDEX('48 فريقًا'!$D$4:$D$490,MATCH(CC34&amp;" ضد *",'48 فريقًا'!$E$4:$E$490,0)),INDEX('48 فريقًا'!$D$4:$D$490,MATCH("* ضد "&amp;CC34,'48 فريقًا'!$E$4:$E$490,0)))</f>
        <v>المجموعة 6</v>
      </c>
      <c r="CE34" s="2">
        <f>COUNTIF('48 فريقًا'!$E$4:$E$490,CC34&amp;" ضد *")+COUNTIF('48 فريقًا'!$E$4:$E$490,"* ضد "&amp;CC34)</f>
        <v>20</v>
      </c>
      <c r="CF34" s="2">
        <f t="shared" si="24"/>
        <v>5</v>
      </c>
    </row>
    <row r="35" spans="71:84">
      <c r="BX35" s="2">
        <v>33</v>
      </c>
      <c r="BY35" s="2" t="str">
        <f>IFERROR(INDEX('35 فريقًا'!$D$4:$D$325,MATCH(BX35&amp;" ضد *",'35 فريقًا'!$E$4:$E$325,0)),INDEX('35 فريقًا'!$D$4:$D$325,MATCH("* ضد "&amp;BX35,'35 فريقًا'!$E$4:$E$325,0)))</f>
        <v>المجموعة 5</v>
      </c>
      <c r="BZ35" s="2">
        <f>COUNTIF('35 فريقًا'!$E$4:$E$325,BX35&amp;" ضد *")+COUNTIF('35 فريقًا'!$E$4:$E$325,"* ضد "&amp;BX35)</f>
        <v>18</v>
      </c>
      <c r="CA35" s="2">
        <f t="shared" si="23"/>
        <v>6</v>
      </c>
      <c r="CC35" s="2">
        <v>33</v>
      </c>
      <c r="CD35" s="2" t="str">
        <f>IFERROR(INDEX('48 فريقًا'!$D$4:$D$490,MATCH(CC35&amp;" ضد *",'48 فريقًا'!$E$4:$E$490,0)),INDEX('48 فريقًا'!$D$4:$D$490,MATCH("* ضد "&amp;CC35,'48 فريقًا'!$E$4:$E$490,0)))</f>
        <v>المجموعة 6</v>
      </c>
      <c r="CE35" s="2">
        <f>COUNTIF('48 فريقًا'!$E$4:$E$490,CC35&amp;" ضد *")+COUNTIF('48 فريقًا'!$E$4:$E$490,"* ضد "&amp;CC35)</f>
        <v>20</v>
      </c>
      <c r="CF35" s="2">
        <f t="shared" si="24"/>
        <v>5</v>
      </c>
    </row>
    <row r="36" spans="71:84">
      <c r="BX36" s="2">
        <v>34</v>
      </c>
      <c r="BY36" s="2" t="str">
        <f>IFERROR(INDEX('35 فريقًا'!$D$4:$D$325,MATCH(BX36&amp;" ضد *",'35 فريقًا'!$E$4:$E$325,0)),INDEX('35 فريقًا'!$D$4:$D$325,MATCH("* ضد "&amp;BX36,'35 فريقًا'!$E$4:$E$325,0)))</f>
        <v>المجموعة 5</v>
      </c>
      <c r="BZ36" s="2">
        <f>COUNTIF('35 فريقًا'!$E$4:$E$325,BX36&amp;" ضد *")+COUNTIF('35 فريقًا'!$E$4:$E$325,"* ضد "&amp;BX36)</f>
        <v>18</v>
      </c>
      <c r="CA36" s="2">
        <f t="shared" si="23"/>
        <v>6</v>
      </c>
      <c r="CC36" s="2">
        <v>34</v>
      </c>
      <c r="CD36" s="2" t="str">
        <f>IFERROR(INDEX('48 فريقًا'!$D$4:$D$490,MATCH(CC36&amp;" ضد *",'48 فريقًا'!$E$4:$E$490,0)),INDEX('48 فريقًا'!$D$4:$D$490,MATCH("* ضد "&amp;CC36,'48 فريقًا'!$E$4:$E$490,0)))</f>
        <v>المجموعة 6</v>
      </c>
      <c r="CE36" s="2">
        <f>COUNTIF('48 فريقًا'!$E$4:$E$490,CC36&amp;" ضد *")+COUNTIF('48 فريقًا'!$E$4:$E$490,"* ضد "&amp;CC36)</f>
        <v>20</v>
      </c>
      <c r="CF36" s="2">
        <f t="shared" si="24"/>
        <v>5</v>
      </c>
    </row>
    <row r="37" spans="71:84">
      <c r="BX37" s="2">
        <v>35</v>
      </c>
      <c r="BY37" s="2" t="str">
        <f>IFERROR(INDEX('35 فريقًا'!$D$4:$D$325,MATCH(BX37&amp;" ضد *",'35 فريقًا'!$E$4:$E$325,0)),INDEX('35 فريقًا'!$D$4:$D$325,MATCH("* ضد "&amp;BX37,'35 فريقًا'!$E$4:$E$325,0)))</f>
        <v>المجموعة 5</v>
      </c>
      <c r="BZ37" s="2">
        <f>COUNTIF('35 فريقًا'!$E$4:$E$325,BX37&amp;" ضد *")+COUNTIF('35 فريقًا'!$E$4:$E$325,"* ضد "&amp;BX37)</f>
        <v>18</v>
      </c>
      <c r="CA37" s="2">
        <f t="shared" si="23"/>
        <v>6</v>
      </c>
      <c r="CC37" s="2">
        <v>35</v>
      </c>
      <c r="CD37" s="2" t="str">
        <f>IFERROR(INDEX('48 فريقًا'!$D$4:$D$490,MATCH(CC37&amp;" ضد *",'48 فريقًا'!$E$4:$E$490,0)),INDEX('48 فريقًا'!$D$4:$D$490,MATCH("* ضد "&amp;CC37,'48 فريقًا'!$E$4:$E$490,0)))</f>
        <v>المجموعة 6</v>
      </c>
      <c r="CE37" s="2">
        <f>COUNTIF('48 فريقًا'!$E$4:$E$490,CC37&amp;" ضد *")+COUNTIF('48 فريقًا'!$E$4:$E$490,"* ضد "&amp;CC37)</f>
        <v>20</v>
      </c>
      <c r="CF37" s="2">
        <f t="shared" si="24"/>
        <v>5</v>
      </c>
    </row>
    <row r="38" spans="71:84">
      <c r="CC38" s="2">
        <v>36</v>
      </c>
      <c r="CD38" s="2" t="str">
        <f>IFERROR(INDEX('48 فريقًا'!$D$4:$D$490,MATCH(CC38&amp;" ضد *",'48 فريقًا'!$E$4:$E$490,0)),INDEX('48 فريقًا'!$D$4:$D$490,MATCH("* ضد "&amp;CC38,'48 فريقًا'!$E$4:$E$490,0)))</f>
        <v>المجموعة 6</v>
      </c>
      <c r="CE38" s="2">
        <f>COUNTIF('48 فريقًا'!$E$4:$E$490,CC38&amp;" ضد *")+COUNTIF('48 فريقًا'!$E$4:$E$490,"* ضد "&amp;CC38)</f>
        <v>20</v>
      </c>
      <c r="CF38" s="2">
        <f t="shared" si="24"/>
        <v>5</v>
      </c>
    </row>
    <row r="39" spans="71:84">
      <c r="CC39" s="2">
        <v>37</v>
      </c>
      <c r="CD39" s="2" t="str">
        <f>IFERROR(INDEX('48 فريقًا'!$D$4:$D$490,MATCH(CC39&amp;" ضد *",'48 فريقًا'!$E$4:$E$490,0)),INDEX('48 فريقًا'!$D$4:$D$490,MATCH("* ضد "&amp;CC39,'48 فريقًا'!$E$4:$E$490,0)))</f>
        <v>المجموعة 7</v>
      </c>
      <c r="CE39" s="2">
        <f>COUNTIF('48 فريقًا'!$E$4:$E$490,CC39&amp;" ضد *")+COUNTIF('48 فريقًا'!$E$4:$E$490,"* ضد "&amp;CC39)</f>
        <v>20</v>
      </c>
      <c r="CF39" s="2">
        <f t="shared" si="24"/>
        <v>5</v>
      </c>
    </row>
    <row r="40" spans="71:84">
      <c r="CC40" s="2">
        <v>38</v>
      </c>
      <c r="CD40" s="2" t="str">
        <f>IFERROR(INDEX('48 فريقًا'!$D$4:$D$490,MATCH(CC40&amp;" ضد *",'48 فريقًا'!$E$4:$E$490,0)),INDEX('48 فريقًا'!$D$4:$D$490,MATCH("* ضد "&amp;CC40,'48 فريقًا'!$E$4:$E$490,0)))</f>
        <v>المجموعة 7</v>
      </c>
      <c r="CE40" s="2">
        <f>COUNTIF('48 فريقًا'!$E$4:$E$490,CC40&amp;" ضد *")+COUNTIF('48 فريقًا'!$E$4:$E$490,"* ضد "&amp;CC40)</f>
        <v>20</v>
      </c>
      <c r="CF40" s="2">
        <f t="shared" si="24"/>
        <v>5</v>
      </c>
    </row>
    <row r="41" spans="71:84">
      <c r="CC41" s="2">
        <v>39</v>
      </c>
      <c r="CD41" s="2" t="str">
        <f>IFERROR(INDEX('48 فريقًا'!$D$4:$D$490,MATCH(CC41&amp;" ضد *",'48 فريقًا'!$E$4:$E$490,0)),INDEX('48 فريقًا'!$D$4:$D$490,MATCH("* ضد "&amp;CC41,'48 فريقًا'!$E$4:$E$490,0)))</f>
        <v>المجموعة 7</v>
      </c>
      <c r="CE41" s="2">
        <f>COUNTIF('48 فريقًا'!$E$4:$E$490,CC41&amp;" ضد *")+COUNTIF('48 فريقًا'!$E$4:$E$490,"* ضد "&amp;CC41)</f>
        <v>20</v>
      </c>
      <c r="CF41" s="2">
        <f t="shared" si="24"/>
        <v>5</v>
      </c>
    </row>
    <row r="42" spans="71:84">
      <c r="CC42" s="2">
        <v>40</v>
      </c>
      <c r="CD42" s="2" t="str">
        <f>IFERROR(INDEX('48 فريقًا'!$D$4:$D$490,MATCH(CC42&amp;" ضد *",'48 فريقًا'!$E$4:$E$490,0)),INDEX('48 فريقًا'!$D$4:$D$490,MATCH("* ضد "&amp;CC42,'48 فريقًا'!$E$4:$E$490,0)))</f>
        <v>المجموعة 7</v>
      </c>
      <c r="CE42" s="2">
        <f>COUNTIF('48 فريقًا'!$E$4:$E$490,CC42&amp;" ضد *")+COUNTIF('48 فريقًا'!$E$4:$E$490,"* ضد "&amp;CC42)</f>
        <v>20</v>
      </c>
      <c r="CF42" s="2">
        <f t="shared" si="24"/>
        <v>5</v>
      </c>
    </row>
    <row r="43" spans="71:84">
      <c r="CC43" s="2">
        <v>41</v>
      </c>
      <c r="CD43" s="2" t="str">
        <f>IFERROR(INDEX('48 فريقًا'!$D$4:$D$490,MATCH(CC43&amp;" ضد *",'48 فريقًا'!$E$4:$E$490,0)),INDEX('48 فريقًا'!$D$4:$D$490,MATCH("* ضد "&amp;CC43,'48 فريقًا'!$E$4:$E$490,0)))</f>
        <v>المجموعة 7</v>
      </c>
      <c r="CE43" s="2">
        <f>COUNTIF('48 فريقًا'!$E$4:$E$490,CC43&amp;" ضد *")+COUNTIF('48 فريقًا'!$E$4:$E$490,"* ضد "&amp;CC43)</f>
        <v>20</v>
      </c>
      <c r="CF43" s="2">
        <f t="shared" si="24"/>
        <v>5</v>
      </c>
    </row>
    <row r="44" spans="71:84">
      <c r="CC44" s="2">
        <v>42</v>
      </c>
      <c r="CD44" s="2" t="str">
        <f>IFERROR(INDEX('48 فريقًا'!$D$4:$D$490,MATCH(CC44&amp;" ضد *",'48 فريقًا'!$E$4:$E$490,0)),INDEX('48 فريقًا'!$D$4:$D$490,MATCH("* ضد "&amp;CC44,'48 فريقًا'!$E$4:$E$490,0)))</f>
        <v>المجموعة 7</v>
      </c>
      <c r="CE44" s="2">
        <f>COUNTIF('48 فريقًا'!$E$4:$E$490,CC44&amp;" ضد *")+COUNTIF('48 فريقًا'!$E$4:$E$490,"* ضد "&amp;CC44)</f>
        <v>20</v>
      </c>
      <c r="CF44" s="2">
        <f t="shared" si="24"/>
        <v>5</v>
      </c>
    </row>
    <row r="45" spans="71:84">
      <c r="CC45" s="2">
        <v>43</v>
      </c>
      <c r="CD45" s="2" t="str">
        <f>IFERROR(INDEX('48 فريقًا'!$D$4:$D$490,MATCH(CC45&amp;" ضد *",'48 فريقًا'!$E$4:$E$490,0)),INDEX('48 فريقًا'!$D$4:$D$490,MATCH("* ضد "&amp;CC45,'48 فريقًا'!$E$4:$E$490,0)))</f>
        <v>المجموعة 8</v>
      </c>
      <c r="CE45" s="2">
        <f>COUNTIF('48 فريقًا'!$E$4:$E$490,CC45&amp;" ضد *")+COUNTIF('48 فريقًا'!$E$4:$E$490,"* ضد "&amp;CC45)</f>
        <v>20</v>
      </c>
      <c r="CF45" s="2">
        <f t="shared" si="24"/>
        <v>5</v>
      </c>
    </row>
    <row r="46" spans="71:84">
      <c r="CC46" s="2">
        <v>44</v>
      </c>
      <c r="CD46" s="2" t="str">
        <f>IFERROR(INDEX('48 فريقًا'!$D$4:$D$490,MATCH(CC46&amp;" ضد *",'48 فريقًا'!$E$4:$E$490,0)),INDEX('48 فريقًا'!$D$4:$D$490,MATCH("* ضد "&amp;CC46,'48 فريقًا'!$E$4:$E$490,0)))</f>
        <v>المجموعة 8</v>
      </c>
      <c r="CE46" s="2">
        <f>COUNTIF('48 فريقًا'!$E$4:$E$490,CC46&amp;" ضد *")+COUNTIF('48 فريقًا'!$E$4:$E$490,"* ضد "&amp;CC46)</f>
        <v>20</v>
      </c>
      <c r="CF46" s="2">
        <f t="shared" si="24"/>
        <v>5</v>
      </c>
    </row>
    <row r="47" spans="71:84">
      <c r="CC47" s="2">
        <v>45</v>
      </c>
      <c r="CD47" s="2" t="str">
        <f>IFERROR(INDEX('48 فريقًا'!$D$4:$D$490,MATCH(CC47&amp;" ضد *",'48 فريقًا'!$E$4:$E$490,0)),INDEX('48 فريقًا'!$D$4:$D$490,MATCH("* ضد "&amp;CC47,'48 فريقًا'!$E$4:$E$490,0)))</f>
        <v>المجموعة 8</v>
      </c>
      <c r="CE47" s="2">
        <f>COUNTIF('48 فريقًا'!$E$4:$E$490,CC47&amp;" ضد *")+COUNTIF('48 فريقًا'!$E$4:$E$490,"* ضد "&amp;CC47)</f>
        <v>20</v>
      </c>
      <c r="CF47" s="2">
        <f t="shared" si="24"/>
        <v>5</v>
      </c>
    </row>
    <row r="48" spans="71:84">
      <c r="CC48" s="2">
        <v>46</v>
      </c>
      <c r="CD48" s="2" t="str">
        <f>IFERROR(INDEX('48 فريقًا'!$D$4:$D$490,MATCH(CC48&amp;" ضد *",'48 فريقًا'!$E$4:$E$490,0)),INDEX('48 فريقًا'!$D$4:$D$490,MATCH("* ضد "&amp;CC48,'48 فريقًا'!$E$4:$E$490,0)))</f>
        <v>المجموعة 8</v>
      </c>
      <c r="CE48" s="2">
        <f>COUNTIF('48 فريقًا'!$E$4:$E$490,CC48&amp;" ضد *")+COUNTIF('48 فريقًا'!$E$4:$E$490,"* ضد "&amp;CC48)</f>
        <v>20</v>
      </c>
      <c r="CF48" s="2">
        <f t="shared" si="24"/>
        <v>5</v>
      </c>
    </row>
    <row r="49" spans="81:84">
      <c r="CC49" s="2">
        <v>47</v>
      </c>
      <c r="CD49" s="2" t="str">
        <f>IFERROR(INDEX('48 فريقًا'!$D$4:$D$490,MATCH(CC49&amp;" ضد *",'48 فريقًا'!$E$4:$E$490,0)),INDEX('48 فريقًا'!$D$4:$D$490,MATCH("* ضد "&amp;CC49,'48 فريقًا'!$E$4:$E$490,0)))</f>
        <v>المجموعة 8</v>
      </c>
      <c r="CE49" s="2">
        <f>COUNTIF('48 فريقًا'!$E$4:$E$490,CC49&amp;" ضد *")+COUNTIF('48 فريقًا'!$E$4:$E$490,"* ضد "&amp;CC49)</f>
        <v>20</v>
      </c>
      <c r="CF49" s="2">
        <f t="shared" si="24"/>
        <v>5</v>
      </c>
    </row>
    <row r="50" spans="81:84">
      <c r="CC50" s="2">
        <v>48</v>
      </c>
      <c r="CD50" s="2" t="str">
        <f>IFERROR(INDEX('48 فريقًا'!$D$4:$D$490,MATCH(CC50&amp;" ضد *",'48 فريقًا'!$E$4:$E$490,0)),INDEX('48 فريقًا'!$D$4:$D$490,MATCH("* ضد "&amp;CC50,'48 فريقًا'!$E$4:$E$490,0)))</f>
        <v>المجموعة 8</v>
      </c>
      <c r="CE50" s="2">
        <f>COUNTIF('48 فريقًا'!$E$4:$E$490,CC50&amp;" ضد *")+COUNTIF('48 فريقًا'!$E$4:$E$490,"* ضد "&amp;CC50)</f>
        <v>20</v>
      </c>
      <c r="CF50" s="2">
        <f t="shared" si="24"/>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6be648b-369d-4545-b3ec-980ea45f5768" xsi:nil="true"/>
    <lcf76f155ced4ddcb4097134ff3c332f xmlns="892e9dcf-b510-48d2-a32f-1ed59fe9f3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BC82852503AF4EAB2EF5018DE9DEC7" ma:contentTypeVersion="16" ma:contentTypeDescription="Create a new document." ma:contentTypeScope="" ma:versionID="eab508c9951ee695015998ff06a21af9">
  <xsd:schema xmlns:xsd="http://www.w3.org/2001/XMLSchema" xmlns:xs="http://www.w3.org/2001/XMLSchema" xmlns:p="http://schemas.microsoft.com/office/2006/metadata/properties" xmlns:ns2="892e9dcf-b510-48d2-a32f-1ed59fe9f3eb" xmlns:ns3="16be648b-369d-4545-b3ec-980ea45f5768" targetNamespace="http://schemas.microsoft.com/office/2006/metadata/properties" ma:root="true" ma:fieldsID="73c3eb72b85b8edb3d3b90476ca60681" ns2:_="" ns3:_="">
    <xsd:import namespace="892e9dcf-b510-48d2-a32f-1ed59fe9f3eb"/>
    <xsd:import namespace="16be648b-369d-4545-b3ec-980ea45f57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e9dcf-b510-48d2-a32f-1ed59fe9f3eb"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SearchProperties" ma:index="7" nillable="true" ma:displayName="MediaServiceSearchProperties" ma:hidden="true" ma:internalName="MediaServiceSearchProperties" ma:readOnly="true">
      <xsd:simpleType>
        <xsd:restriction base="dms:Note"/>
      </xsd:simpleType>
    </xsd:element>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9a84c0e-7c84-4ab2-b13f-ac9038868f2e" ma:termSetId="09814cd3-568e-fe90-9814-8d621ff8fb84" ma:anchorId="fba54fb3-c3e1-fe81-a776-ca4b69148c4d" ma:open="true" ma:isKeyword="false">
      <xsd:complexType>
        <xsd:sequence>
          <xsd:element ref="pc:Terms" minOccurs="0" maxOccurs="1"/>
        </xsd:sequence>
      </xsd:complex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MediaLengthInSeconds" ma:index="1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be648b-369d-4545-b3ec-980ea45f576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7a77de0-3755-4ac5-a23f-87046020bd02}" ma:internalName="TaxCatchAll" ma:showField="CatchAllData" ma:web="16be648b-369d-4545-b3ec-980ea45f5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21226F-DD15-4BCD-A4E3-BDDF657CB612}">
  <ds:schemaRefs>
    <ds:schemaRef ds:uri="http://schemas.microsoft.com/office/2006/metadata/properties"/>
    <ds:schemaRef ds:uri="http://schemas.microsoft.com/office/infopath/2007/PartnerControls"/>
    <ds:schemaRef ds:uri="16be648b-369d-4545-b3ec-980ea45f5768"/>
    <ds:schemaRef ds:uri="892e9dcf-b510-48d2-a32f-1ed59fe9f3eb"/>
  </ds:schemaRefs>
</ds:datastoreItem>
</file>

<file path=customXml/itemProps2.xml><?xml version="1.0" encoding="utf-8"?>
<ds:datastoreItem xmlns:ds="http://schemas.openxmlformats.org/officeDocument/2006/customXml" ds:itemID="{C175F99C-6489-468A-8E32-2618571C74B2}">
  <ds:schemaRefs>
    <ds:schemaRef ds:uri="http://schemas.microsoft.com/sharepoint/v3/contenttype/forms"/>
  </ds:schemaRefs>
</ds:datastoreItem>
</file>

<file path=customXml/itemProps3.xml><?xml version="1.0" encoding="utf-8"?>
<ds:datastoreItem xmlns:ds="http://schemas.openxmlformats.org/officeDocument/2006/customXml" ds:itemID="{5EC92A9F-560D-483C-99A0-A5CC080CB3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2e9dcf-b510-48d2-a32f-1ed59fe9f3eb"/>
    <ds:schemaRef ds:uri="16be648b-369d-4545-b3ec-980ea45f5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المدخلات</vt:lpstr>
      <vt:lpstr>المبادئ</vt:lpstr>
      <vt:lpstr>الملخص</vt:lpstr>
      <vt:lpstr>6 فرق</vt:lpstr>
      <vt:lpstr>7 فرق</vt:lpstr>
      <vt:lpstr>8 فرق</vt:lpstr>
      <vt:lpstr>10 فرق</vt:lpstr>
      <vt:lpstr>13 فريقًا</vt:lpstr>
      <vt:lpstr>14 فريقًا</vt:lpstr>
      <vt:lpstr>15 فريقًا</vt:lpstr>
      <vt:lpstr>16 فريقًا</vt:lpstr>
      <vt:lpstr>18 فريقًا</vt:lpstr>
      <vt:lpstr>19 فريقًا</vt:lpstr>
      <vt:lpstr>20 فريقًا</vt:lpstr>
      <vt:lpstr>21 فريقًا</vt:lpstr>
      <vt:lpstr>22 فريقًا</vt:lpstr>
      <vt:lpstr>23 فريقًا</vt:lpstr>
      <vt:lpstr>31 فريقًا</vt:lpstr>
      <vt:lpstr>35 فريقًا</vt:lpstr>
      <vt:lpstr>48 فريقًا</vt:lpstr>
      <vt:lpstr>بيانات الفرق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Alnajjar</dc:creator>
  <cp:lastModifiedBy>Mohammed Alnajjar</cp:lastModifiedBy>
  <dcterms:created xsi:type="dcterms:W3CDTF">2015-06-05T18:19:34Z</dcterms:created>
  <dcterms:modified xsi:type="dcterms:W3CDTF">2026-09-12T21:44:48Z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0x010100AFBC82852503AF4EAB2EF5018DE9DEC7</vt:lpwstr>
  </property>
  <property fmtid="{D5CDD505-2E9C-101B-9397-08002B2CF9AE}" pid="3" name="MediaServiceImageTags">
    <vt:lpwstr/>
  </property>
</Properties>
</file>