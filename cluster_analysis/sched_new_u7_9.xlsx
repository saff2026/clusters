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reativeartistsagencygbr.sharepoint.com/sites/NFSIMPLEMENTATIONSAFF/Shared Documents/04 Deliverables WIP/SAFF 2025 Plan/Competitions restructure/Youth Competitions/Analysis/Schedule Analysis/"/>
    </mc:Choice>
  </mc:AlternateContent>
  <xr:revisionPtr revIDLastSave="30772" documentId="13_ncr:1_{27BB9A6E-2FAB-4A95-986E-F67D1E7FC849}" xr6:coauthVersionLast="47" xr6:coauthVersionMax="47" xr10:uidLastSave="{22AFF491-E0F5-4400-967A-8BFB28AA3F7C}"/>
  <bookViews>
    <workbookView xWindow="28680" yWindow="-120" windowWidth="29040" windowHeight="15720" firstSheet="4" activeTab="8" xr2:uid="{00000000-000D-0000-FFFF-FFFF00000000}"/>
  </bookViews>
  <sheets>
    <sheet name="12 فريقًا" sheetId="166" r:id="rId1"/>
    <sheet name="Sheet1" sheetId="155" r:id="rId2"/>
    <sheet name="المدخلات" sheetId="15" r:id="rId3"/>
    <sheet name="المبادئ" sheetId="99" r:id="rId4"/>
    <sheet name="ملخص البطولات" sheetId="16" r:id="rId5"/>
    <sheet name="5 فرق" sheetId="101" r:id="rId6"/>
    <sheet name="6 فرق" sheetId="135" r:id="rId7"/>
    <sheet name="7 فرق" sheetId="136" r:id="rId8"/>
    <sheet name="8 فرق" sheetId="78" r:id="rId9"/>
    <sheet name="9 فرق" sheetId="137" r:id="rId10"/>
    <sheet name="10 فرق" sheetId="138" r:id="rId11"/>
    <sheet name="11 فريق" sheetId="139" r:id="rId12"/>
    <sheet name="12 فريق" sheetId="140" r:id="rId13"/>
    <sheet name="13 فريق" sheetId="141" r:id="rId14"/>
    <sheet name="14 فريق" sheetId="142" r:id="rId15"/>
    <sheet name="15 فريق" sheetId="143" r:id="rId16"/>
    <sheet name="16 فريق" sheetId="85" r:id="rId17"/>
    <sheet name="17 فريق" sheetId="144" r:id="rId18"/>
    <sheet name="18 فريق" sheetId="145" r:id="rId19"/>
    <sheet name="19 فريق" sheetId="146" r:id="rId20"/>
    <sheet name="21 فريق" sheetId="147" r:id="rId21"/>
    <sheet name="25 فريق" sheetId="148" r:id="rId22"/>
    <sheet name="28 فريق" sheetId="149" r:id="rId23"/>
    <sheet name="29 فريق" sheetId="150" r:id="rId24"/>
    <sheet name="30 فريق" sheetId="151" r:id="rId25"/>
    <sheet name="31 فريق" sheetId="152" r:id="rId26"/>
    <sheet name="40 فريق" sheetId="153" r:id="rId27"/>
    <sheet name="49 فريق" sheetId="154" r:id="rId28"/>
    <sheet name="حساب الملاعب" sheetId="156" r:id="rId29"/>
    <sheet name="ملاعب تحت 7 وتحت 9" sheetId="157" r:id="rId30"/>
    <sheet name="الحكام حسب عدد الفرق" sheetId="161" r:id="rId31"/>
    <sheet name="حكام تحت 7 وتحت 9" sheetId="158" r:id="rId32"/>
    <sheet name="الحكام – تحت 7" sheetId="162" r:id="rId33"/>
    <sheet name="الحكام – تحت 9" sheetId="163" r:id="rId34"/>
    <sheet name="حكام المدن – تحت 7" sheetId="164" r:id="rId35"/>
    <sheet name="حكام المدن – تحت 9" sheetId="165" r:id="rId36"/>
  </sheets>
  <externalReferences>
    <externalReference r:id="rId37"/>
    <externalReference r:id="rId38"/>
  </externalReferences>
  <definedNames>
    <definedName name="الحد_الأدنى">[1]المدخلات!$N$3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61" l="1"/>
  <c r="N4" i="161"/>
  <c r="O4" i="161"/>
  <c r="P4" i="161"/>
  <c r="Q4" i="161"/>
  <c r="R4" i="161"/>
  <c r="S4" i="161"/>
  <c r="M5" i="161"/>
  <c r="N5" i="161"/>
  <c r="O5" i="161"/>
  <c r="P5" i="161"/>
  <c r="Q5" i="161"/>
  <c r="R5" i="161"/>
  <c r="S5" i="161"/>
  <c r="M6" i="161"/>
  <c r="N6" i="161"/>
  <c r="O6" i="161"/>
  <c r="P6" i="161"/>
  <c r="Q6" i="161"/>
  <c r="R6" i="161"/>
  <c r="S6" i="161"/>
  <c r="M7" i="161"/>
  <c r="N7" i="161"/>
  <c r="O7" i="161"/>
  <c r="P7" i="161"/>
  <c r="Q7" i="161"/>
  <c r="R7" i="161"/>
  <c r="S7" i="161"/>
  <c r="M8" i="161"/>
  <c r="N8" i="161"/>
  <c r="O8" i="161"/>
  <c r="P8" i="161"/>
  <c r="Q8" i="161"/>
  <c r="R8" i="161"/>
  <c r="S8" i="161"/>
  <c r="M9" i="161"/>
  <c r="N9" i="161"/>
  <c r="O9" i="161"/>
  <c r="P9" i="161"/>
  <c r="Q9" i="161"/>
  <c r="R9" i="161"/>
  <c r="S9" i="161"/>
  <c r="M10" i="161"/>
  <c r="N10" i="161"/>
  <c r="O10" i="161"/>
  <c r="P10" i="161"/>
  <c r="Q10" i="161"/>
  <c r="R10" i="161"/>
  <c r="S10" i="161"/>
  <c r="M11" i="161"/>
  <c r="N11" i="161"/>
  <c r="O11" i="161"/>
  <c r="P11" i="161"/>
  <c r="Q11" i="161"/>
  <c r="R11" i="161"/>
  <c r="S11" i="161"/>
  <c r="M12" i="161"/>
  <c r="N12" i="161"/>
  <c r="O12" i="161"/>
  <c r="P12" i="161"/>
  <c r="Q12" i="161"/>
  <c r="R12" i="161"/>
  <c r="S12" i="161"/>
  <c r="M13" i="161"/>
  <c r="N13" i="161"/>
  <c r="O13" i="161"/>
  <c r="P13" i="161"/>
  <c r="Q13" i="161"/>
  <c r="R13" i="161"/>
  <c r="S13" i="161"/>
  <c r="M14" i="161"/>
  <c r="N14" i="161"/>
  <c r="O14" i="161"/>
  <c r="P14" i="161"/>
  <c r="Q14" i="161"/>
  <c r="R14" i="161"/>
  <c r="S14" i="161"/>
  <c r="M15" i="161"/>
  <c r="N15" i="161"/>
  <c r="O15" i="161"/>
  <c r="P15" i="161"/>
  <c r="Q15" i="161"/>
  <c r="R15" i="161"/>
  <c r="S15" i="161"/>
  <c r="M16" i="161"/>
  <c r="N16" i="161"/>
  <c r="O16" i="161"/>
  <c r="P16" i="161"/>
  <c r="Q16" i="161"/>
  <c r="R16" i="161"/>
  <c r="S16" i="161"/>
  <c r="M17" i="161"/>
  <c r="N17" i="161"/>
  <c r="O17" i="161"/>
  <c r="P17" i="161"/>
  <c r="Q17" i="161"/>
  <c r="R17" i="161"/>
  <c r="S17" i="161"/>
  <c r="M18" i="161"/>
  <c r="N18" i="161"/>
  <c r="O18" i="161"/>
  <c r="P18" i="161"/>
  <c r="Q18" i="161"/>
  <c r="R18" i="161"/>
  <c r="S18" i="161"/>
  <c r="M19" i="161"/>
  <c r="N19" i="161"/>
  <c r="O19" i="161"/>
  <c r="P19" i="161"/>
  <c r="Q19" i="161"/>
  <c r="R19" i="161"/>
  <c r="S19" i="161"/>
  <c r="M20" i="161"/>
  <c r="N20" i="161"/>
  <c r="O20" i="161"/>
  <c r="P20" i="161"/>
  <c r="Q20" i="161"/>
  <c r="R20" i="161"/>
  <c r="S20" i="161"/>
  <c r="M21" i="161"/>
  <c r="N21" i="161"/>
  <c r="O21" i="161"/>
  <c r="P21" i="161"/>
  <c r="Q21" i="161"/>
  <c r="R21" i="161"/>
  <c r="S21" i="161"/>
  <c r="M22" i="161"/>
  <c r="N22" i="161"/>
  <c r="O22" i="161"/>
  <c r="P22" i="161"/>
  <c r="Q22" i="161"/>
  <c r="R22" i="161"/>
  <c r="S22" i="161"/>
  <c r="M23" i="161"/>
  <c r="N23" i="161"/>
  <c r="O23" i="161"/>
  <c r="P23" i="161"/>
  <c r="Q23" i="161"/>
  <c r="R23" i="161"/>
  <c r="S23" i="161"/>
  <c r="M24" i="161"/>
  <c r="N24" i="161"/>
  <c r="O24" i="161"/>
  <c r="P24" i="161"/>
  <c r="Q24" i="161"/>
  <c r="R24" i="161"/>
  <c r="S24" i="161"/>
  <c r="M25" i="161"/>
  <c r="N25" i="161"/>
  <c r="O25" i="161"/>
  <c r="P25" i="161"/>
  <c r="Q25" i="161"/>
  <c r="R25" i="161"/>
  <c r="S25" i="161"/>
  <c r="M26" i="161"/>
  <c r="N26" i="161"/>
  <c r="O26" i="161"/>
  <c r="P26" i="161"/>
  <c r="Q26" i="161"/>
  <c r="R26" i="161"/>
  <c r="S26" i="161"/>
  <c r="M57" i="166" l="1"/>
  <c r="B57" i="166"/>
  <c r="M56" i="166"/>
  <c r="B56" i="166"/>
  <c r="M55" i="166"/>
  <c r="B55" i="166"/>
  <c r="M54" i="166"/>
  <c r="B54" i="166"/>
  <c r="M53" i="166"/>
  <c r="B53" i="166"/>
  <c r="M52" i="166"/>
  <c r="B52" i="166"/>
  <c r="M51" i="166"/>
  <c r="B51" i="166"/>
  <c r="M50" i="166"/>
  <c r="B50" i="166"/>
  <c r="M49" i="166"/>
  <c r="K49" i="166"/>
  <c r="J49" i="166"/>
  <c r="I49" i="166"/>
  <c r="B49" i="166"/>
  <c r="M48" i="166"/>
  <c r="B48" i="166"/>
  <c r="M47" i="166"/>
  <c r="B47" i="166"/>
  <c r="M46" i="166"/>
  <c r="B46" i="166"/>
  <c r="M45" i="166"/>
  <c r="B45" i="166"/>
  <c r="M44" i="166"/>
  <c r="B44" i="166"/>
  <c r="M43" i="166"/>
  <c r="B43" i="166"/>
  <c r="M42" i="166"/>
  <c r="B42" i="166"/>
  <c r="M41" i="166"/>
  <c r="B41" i="166"/>
  <c r="M40" i="166"/>
  <c r="K40" i="166"/>
  <c r="J40" i="166"/>
  <c r="I40" i="166"/>
  <c r="B40" i="166"/>
  <c r="M39" i="166"/>
  <c r="B39" i="166"/>
  <c r="M38" i="166"/>
  <c r="B38" i="166"/>
  <c r="M37" i="166"/>
  <c r="B37" i="166"/>
  <c r="M36" i="166"/>
  <c r="B36" i="166"/>
  <c r="M35" i="166"/>
  <c r="B35" i="166"/>
  <c r="M34" i="166"/>
  <c r="B34" i="166"/>
  <c r="M33" i="166"/>
  <c r="B33" i="166"/>
  <c r="M32" i="166"/>
  <c r="B32" i="166"/>
  <c r="M31" i="166"/>
  <c r="K31" i="166"/>
  <c r="J31" i="166"/>
  <c r="I31" i="166"/>
  <c r="B31" i="166"/>
  <c r="M30" i="166"/>
  <c r="B30" i="166"/>
  <c r="M29" i="166"/>
  <c r="B29" i="166"/>
  <c r="M28" i="166"/>
  <c r="B28" i="166"/>
  <c r="M27" i="166"/>
  <c r="B27" i="166"/>
  <c r="M26" i="166"/>
  <c r="B26" i="166"/>
  <c r="M25" i="166"/>
  <c r="B25" i="166"/>
  <c r="M24" i="166"/>
  <c r="B24" i="166"/>
  <c r="M23" i="166"/>
  <c r="B23" i="166"/>
  <c r="M22" i="166"/>
  <c r="K22" i="166"/>
  <c r="J22" i="166"/>
  <c r="I22" i="166"/>
  <c r="B22" i="166"/>
  <c r="M21" i="166"/>
  <c r="B21" i="166"/>
  <c r="M20" i="166"/>
  <c r="B20" i="166"/>
  <c r="M19" i="166"/>
  <c r="B19" i="166"/>
  <c r="M18" i="166"/>
  <c r="B18" i="166"/>
  <c r="M17" i="166"/>
  <c r="B17" i="166"/>
  <c r="M16" i="166"/>
  <c r="B16" i="166"/>
  <c r="M15" i="166"/>
  <c r="B15" i="166"/>
  <c r="M14" i="166"/>
  <c r="B14" i="166"/>
  <c r="M13" i="166"/>
  <c r="K13" i="166"/>
  <c r="J13" i="166"/>
  <c r="I13" i="166"/>
  <c r="B13" i="166"/>
  <c r="M12" i="166"/>
  <c r="B12" i="166"/>
  <c r="M11" i="166"/>
  <c r="B11" i="166"/>
  <c r="M10" i="166"/>
  <c r="B10" i="166"/>
  <c r="M9" i="166"/>
  <c r="B9" i="166"/>
  <c r="M8" i="166"/>
  <c r="B8" i="166"/>
  <c r="M7" i="166"/>
  <c r="B7" i="166"/>
  <c r="M6" i="166"/>
  <c r="B6" i="166"/>
  <c r="M5" i="166"/>
  <c r="B5" i="166"/>
  <c r="M4" i="166"/>
  <c r="S14" i="166" s="1" a="1"/>
  <c r="S14" i="166" s="1"/>
  <c r="K4" i="166"/>
  <c r="J4" i="166"/>
  <c r="I4" i="166"/>
  <c r="B4" i="166"/>
  <c r="Q5" i="166" l="1" a="1"/>
  <c r="Q5" i="166" s="1"/>
  <c r="P4" i="166" a="1"/>
  <c r="P4" i="166" s="1"/>
  <c r="P6" i="166" a="1"/>
  <c r="P6" i="166" s="1"/>
  <c r="R13" i="166" a="1"/>
  <c r="R13" i="166" s="1"/>
  <c r="R7" i="166" a="1"/>
  <c r="R7" i="166" s="1"/>
  <c r="Q6" i="166" a="1"/>
  <c r="Q6" i="166" s="1"/>
  <c r="S13" i="166" a="1"/>
  <c r="S13" i="166" s="1"/>
  <c r="P5" i="166" a="1"/>
  <c r="P5" i="166" s="1"/>
  <c r="S7" i="166" a="1"/>
  <c r="S7" i="166" s="1"/>
  <c r="R11" i="166" a="1"/>
  <c r="R11" i="166" s="1"/>
  <c r="P9" i="166" a="1"/>
  <c r="P9" i="166" s="1"/>
  <c r="S8" i="166" a="1"/>
  <c r="S8" i="166" s="1"/>
  <c r="R12" i="166" a="1"/>
  <c r="R12" i="166" s="1"/>
  <c r="Q11" i="166" a="1"/>
  <c r="Q11" i="166" s="1"/>
  <c r="P10" i="166" a="1"/>
  <c r="P10" i="166" s="1"/>
  <c r="S12" i="166" a="1"/>
  <c r="S12" i="166" s="1"/>
  <c r="R6" i="166" a="1"/>
  <c r="R6" i="166" s="1"/>
  <c r="Q10" i="166" a="1"/>
  <c r="Q10" i="166" s="1"/>
  <c r="P15" i="166" a="1"/>
  <c r="P15" i="166" s="1"/>
  <c r="S11" i="166" a="1"/>
  <c r="S11" i="166" s="1"/>
  <c r="R10" i="166" a="1"/>
  <c r="R10" i="166" s="1"/>
  <c r="Q9" i="166" a="1"/>
  <c r="Q9" i="166" s="1"/>
  <c r="P14" i="166" a="1"/>
  <c r="P14" i="166" s="1"/>
  <c r="Q4" i="166" a="1"/>
  <c r="Q4" i="166" s="1"/>
  <c r="P8" i="166" a="1"/>
  <c r="P8" i="166" s="1"/>
  <c r="T8" i="166" s="1"/>
  <c r="S10" i="166" a="1"/>
  <c r="S10" i="166" s="1"/>
  <c r="R15" i="166" a="1"/>
  <c r="R15" i="166" s="1"/>
  <c r="S5" i="166" a="1"/>
  <c r="S5" i="166" s="1"/>
  <c r="R9" i="166" a="1"/>
  <c r="R9" i="166" s="1"/>
  <c r="Q14" i="166" a="1"/>
  <c r="Q14" i="166" s="1"/>
  <c r="S6" i="166" a="1"/>
  <c r="S6" i="166" s="1"/>
  <c r="R5" i="166" a="1"/>
  <c r="R5" i="166" s="1"/>
  <c r="R4" i="166" a="1"/>
  <c r="R4" i="166" s="1"/>
  <c r="Q8" i="166" a="1"/>
  <c r="Q8" i="166" s="1"/>
  <c r="P12" i="166" a="1"/>
  <c r="P12" i="166" s="1"/>
  <c r="P13" i="166" a="1"/>
  <c r="P13" i="166" s="1"/>
  <c r="T13" i="166" s="1"/>
  <c r="S15" i="166" a="1"/>
  <c r="S15" i="166" s="1"/>
  <c r="P7" i="166" a="1"/>
  <c r="P7" i="166" s="1"/>
  <c r="T7" i="166" s="1"/>
  <c r="S9" i="166" a="1"/>
  <c r="S9" i="166" s="1"/>
  <c r="R14" i="166" a="1"/>
  <c r="R14" i="166" s="1"/>
  <c r="Q15" i="166" a="1"/>
  <c r="Q15" i="166" s="1"/>
  <c r="S4" i="166" a="1"/>
  <c r="S4" i="166" s="1"/>
  <c r="S16" i="166" s="1"/>
  <c r="R8" i="166" a="1"/>
  <c r="R8" i="166" s="1"/>
  <c r="Q12" i="166" a="1"/>
  <c r="Q12" i="166" s="1"/>
  <c r="Q13" i="166" a="1"/>
  <c r="Q13" i="166" s="1"/>
  <c r="Q7" i="166" a="1"/>
  <c r="Q7" i="166" s="1"/>
  <c r="P11" i="166" a="1"/>
  <c r="P11" i="166" s="1"/>
  <c r="T14" i="166" l="1"/>
  <c r="T11" i="166"/>
  <c r="R16" i="166"/>
  <c r="T15" i="166"/>
  <c r="T9" i="166"/>
  <c r="T6" i="166"/>
  <c r="T12" i="166"/>
  <c r="P16" i="166"/>
  <c r="T4" i="166"/>
  <c r="Q16" i="166"/>
  <c r="T5" i="166"/>
  <c r="T10" i="166"/>
  <c r="T16" i="166" l="1"/>
  <c r="B4" i="165" l="1" a="1"/>
  <c r="B4" i="165" s="1"/>
  <c r="B5" i="165" a="1"/>
  <c r="B5" i="165" s="1"/>
  <c r="B6" i="165" a="1"/>
  <c r="B6" i="165"/>
  <c r="B7" i="165" a="1"/>
  <c r="B7" i="165"/>
  <c r="B8" i="165" a="1"/>
  <c r="B8" i="165" s="1"/>
  <c r="B9" i="165" a="1"/>
  <c r="B9" i="165" s="1"/>
  <c r="B10" i="165" a="1"/>
  <c r="B10" i="165"/>
  <c r="B11" i="165" a="1"/>
  <c r="B11" i="165" s="1"/>
  <c r="B12" i="165" a="1"/>
  <c r="B12" i="165" s="1"/>
  <c r="B13" i="165" a="1"/>
  <c r="B13" i="165"/>
  <c r="B14" i="165" a="1"/>
  <c r="B14" i="165"/>
  <c r="B15" i="165" a="1"/>
  <c r="B15" i="165" s="1"/>
  <c r="B16" i="165" a="1"/>
  <c r="B16" i="165" s="1"/>
  <c r="B17" i="165" a="1"/>
  <c r="B17" i="165"/>
  <c r="B18" i="165" a="1"/>
  <c r="B18" i="165" s="1"/>
  <c r="B19" i="165" a="1"/>
  <c r="B19" i="165" s="1"/>
  <c r="B20" i="165" a="1"/>
  <c r="B20" i="165" s="1"/>
  <c r="B21" i="165" a="1"/>
  <c r="B21" i="165" s="1"/>
  <c r="B22" i="165" a="1"/>
  <c r="B22" i="165" s="1"/>
  <c r="B23" i="165" a="1"/>
  <c r="B23" i="165" s="1"/>
  <c r="B24" i="165" a="1"/>
  <c r="B24" i="165"/>
  <c r="B25" i="165" a="1"/>
  <c r="B25" i="165" s="1"/>
  <c r="B26" i="165" a="1"/>
  <c r="B26" i="165" s="1"/>
  <c r="B27" i="165" a="1"/>
  <c r="B27" i="165" s="1"/>
  <c r="B28" i="165" a="1"/>
  <c r="B28" i="165" s="1"/>
  <c r="B29" i="165" a="1"/>
  <c r="B29" i="165" s="1"/>
  <c r="B30" i="165" a="1"/>
  <c r="B30" i="165" s="1"/>
  <c r="B31" i="165" a="1"/>
  <c r="B31" i="165"/>
  <c r="B4" i="164" a="1"/>
  <c r="B4" i="164" s="1"/>
  <c r="B5" i="164" a="1"/>
  <c r="B5" i="164"/>
  <c r="B6" i="164" a="1"/>
  <c r="B6" i="164"/>
  <c r="B7" i="164" a="1"/>
  <c r="B7" i="164"/>
  <c r="B8" i="164" a="1"/>
  <c r="B8" i="164"/>
  <c r="B9" i="164" a="1"/>
  <c r="B9" i="164" s="1"/>
  <c r="B10" i="164" a="1"/>
  <c r="B10" i="164"/>
  <c r="B11" i="164" a="1"/>
  <c r="B11" i="164" s="1"/>
  <c r="B12" i="164" a="1"/>
  <c r="B12" i="164"/>
  <c r="B13" i="164" a="1"/>
  <c r="B13" i="164"/>
  <c r="B14" i="164" a="1"/>
  <c r="B14" i="164" s="1"/>
  <c r="B15" i="164" a="1"/>
  <c r="B15" i="164"/>
  <c r="B16" i="164" a="1"/>
  <c r="B16" i="164" s="1"/>
  <c r="B17" i="164" a="1"/>
  <c r="B17" i="164"/>
  <c r="B18" i="164" a="1"/>
  <c r="B18" i="164" s="1"/>
  <c r="B19" i="164" a="1"/>
  <c r="B19" i="164"/>
  <c r="B20" i="164" a="1"/>
  <c r="B20" i="164"/>
  <c r="B21" i="164" a="1"/>
  <c r="B21" i="164" s="1"/>
  <c r="B22" i="164" a="1"/>
  <c r="B22" i="164" s="1"/>
  <c r="B23" i="164" a="1"/>
  <c r="B23" i="164" s="1"/>
  <c r="B24" i="164" a="1"/>
  <c r="B24" i="164"/>
  <c r="B25" i="164" a="1"/>
  <c r="B25" i="164" s="1"/>
  <c r="B26" i="164" a="1"/>
  <c r="B26" i="164"/>
  <c r="B27" i="164" a="1"/>
  <c r="B27" i="164"/>
  <c r="B28" i="164" a="1"/>
  <c r="B28" i="164" s="1"/>
  <c r="B29" i="164" a="1"/>
  <c r="B29" i="164" s="1"/>
  <c r="B30" i="164" a="1"/>
  <c r="B30" i="164" s="1"/>
  <c r="B31" i="164" a="1"/>
  <c r="B31" i="164" s="1"/>
  <c r="B4" i="163" a="1"/>
  <c r="B4" i="163" s="1"/>
  <c r="B5" i="163" a="1"/>
  <c r="B5" i="163" s="1"/>
  <c r="B6" i="163" a="1"/>
  <c r="B6" i="163"/>
  <c r="B7" i="163" a="1"/>
  <c r="B7" i="163" s="1"/>
  <c r="B8" i="163" a="1"/>
  <c r="B8" i="163"/>
  <c r="B9" i="163" a="1"/>
  <c r="B9" i="163" s="1"/>
  <c r="B10" i="163" a="1"/>
  <c r="B10" i="163"/>
  <c r="B11" i="163" a="1"/>
  <c r="B11" i="163" s="1"/>
  <c r="B12" i="163" a="1"/>
  <c r="B12" i="163" s="1"/>
  <c r="B13" i="163" a="1"/>
  <c r="B13" i="163"/>
  <c r="B14" i="163" a="1"/>
  <c r="B14" i="163" s="1"/>
  <c r="B15" i="163" a="1"/>
  <c r="B15" i="163"/>
  <c r="B16" i="163" a="1"/>
  <c r="B16" i="163" s="1"/>
  <c r="B17" i="163" a="1"/>
  <c r="B17" i="163"/>
  <c r="B18" i="163" a="1"/>
  <c r="B18" i="163" s="1"/>
  <c r="B19" i="163" a="1"/>
  <c r="B19" i="163" s="1"/>
  <c r="B20" i="163" a="1"/>
  <c r="B20" i="163"/>
  <c r="B21" i="163" a="1"/>
  <c r="B21" i="163" s="1"/>
  <c r="B22" i="163" a="1"/>
  <c r="B22" i="163" s="1"/>
  <c r="B23" i="163" a="1"/>
  <c r="B23" i="163" s="1"/>
  <c r="B24" i="163" a="1"/>
  <c r="B24" i="163"/>
  <c r="B25" i="163" a="1"/>
  <c r="B25" i="163" s="1"/>
  <c r="B26" i="163" a="1"/>
  <c r="B26" i="163" s="1"/>
  <c r="B4" i="162" a="1"/>
  <c r="B4" i="162" s="1"/>
  <c r="B5" i="162" a="1"/>
  <c r="B5" i="162"/>
  <c r="B6" i="162" a="1"/>
  <c r="B6" i="162" s="1"/>
  <c r="B7" i="162" a="1"/>
  <c r="B7" i="162"/>
  <c r="B8" i="162" a="1"/>
  <c r="B8" i="162"/>
  <c r="B9" i="162" a="1"/>
  <c r="B9" i="162" s="1"/>
  <c r="B10" i="162" a="1"/>
  <c r="B10" i="162"/>
  <c r="B11" i="162" a="1"/>
  <c r="B11" i="162" s="1"/>
  <c r="B12" i="162" a="1"/>
  <c r="B12" i="162"/>
  <c r="B13" i="162" a="1"/>
  <c r="B13" i="162"/>
  <c r="B14" i="162" a="1"/>
  <c r="B14" i="162" s="1"/>
  <c r="B15" i="162" a="1"/>
  <c r="B15" i="162" s="1"/>
  <c r="B16" i="162" a="1"/>
  <c r="B16" i="162" s="1"/>
  <c r="B17" i="162" a="1"/>
  <c r="B17" i="162"/>
  <c r="B18" i="162" a="1"/>
  <c r="B18" i="162" s="1"/>
  <c r="B19" i="162" a="1"/>
  <c r="B19" i="162" s="1"/>
  <c r="B20" i="162" a="1"/>
  <c r="B20" i="162"/>
  <c r="B21" i="162" a="1"/>
  <c r="B21" i="162"/>
  <c r="B22" i="162" a="1"/>
  <c r="B22" i="162"/>
  <c r="B23" i="162" a="1"/>
  <c r="B23" i="162" s="1"/>
  <c r="B24" i="162" a="1"/>
  <c r="B24" i="162" s="1"/>
  <c r="B25" i="162" a="1"/>
  <c r="B25" i="162" s="1"/>
  <c r="B26" i="162" a="1"/>
  <c r="B26" i="162"/>
  <c r="C32" i="165"/>
  <c r="D32" i="165"/>
  <c r="F32" i="165"/>
  <c r="A4" i="165"/>
  <c r="C4" i="165"/>
  <c r="D4" i="165"/>
  <c r="E4" i="165"/>
  <c r="F4" i="165"/>
  <c r="G4" i="165"/>
  <c r="H4" i="165"/>
  <c r="A5" i="165"/>
  <c r="C5" i="165"/>
  <c r="D5" i="165"/>
  <c r="E5" i="165"/>
  <c r="F5" i="165"/>
  <c r="G5" i="165"/>
  <c r="H5" i="165"/>
  <c r="H32" i="165" s="1"/>
  <c r="A6" i="165"/>
  <c r="C6" i="165"/>
  <c r="D6" i="165"/>
  <c r="E6" i="165"/>
  <c r="F6" i="165"/>
  <c r="G6" i="165"/>
  <c r="H6" i="165"/>
  <c r="A7" i="165"/>
  <c r="C7" i="165"/>
  <c r="D7" i="165"/>
  <c r="E7" i="165"/>
  <c r="F7" i="165"/>
  <c r="G7" i="165"/>
  <c r="H7" i="165"/>
  <c r="A8" i="165"/>
  <c r="C8" i="165"/>
  <c r="D8" i="165"/>
  <c r="E8" i="165"/>
  <c r="F8" i="165"/>
  <c r="G8" i="165"/>
  <c r="H8" i="165"/>
  <c r="A9" i="165"/>
  <c r="C9" i="165"/>
  <c r="D9" i="165"/>
  <c r="E9" i="165"/>
  <c r="F9" i="165"/>
  <c r="G9" i="165"/>
  <c r="H9" i="165"/>
  <c r="A10" i="165"/>
  <c r="C10" i="165"/>
  <c r="D10" i="165"/>
  <c r="E10" i="165"/>
  <c r="F10" i="165"/>
  <c r="G10" i="165"/>
  <c r="H10" i="165"/>
  <c r="A11" i="165"/>
  <c r="C11" i="165"/>
  <c r="D11" i="165"/>
  <c r="E11" i="165"/>
  <c r="F11" i="165"/>
  <c r="G11" i="165"/>
  <c r="H11" i="165"/>
  <c r="A12" i="165"/>
  <c r="C12" i="165"/>
  <c r="D12" i="165"/>
  <c r="E12" i="165"/>
  <c r="F12" i="165"/>
  <c r="G12" i="165"/>
  <c r="H12" i="165"/>
  <c r="A13" i="165"/>
  <c r="C13" i="165"/>
  <c r="D13" i="165"/>
  <c r="E13" i="165"/>
  <c r="F13" i="165"/>
  <c r="G13" i="165"/>
  <c r="H13" i="165"/>
  <c r="A14" i="165"/>
  <c r="C14" i="165"/>
  <c r="D14" i="165"/>
  <c r="E14" i="165"/>
  <c r="F14" i="165"/>
  <c r="G14" i="165"/>
  <c r="H14" i="165"/>
  <c r="A15" i="165"/>
  <c r="C15" i="165"/>
  <c r="D15" i="165"/>
  <c r="E15" i="165"/>
  <c r="F15" i="165"/>
  <c r="G15" i="165"/>
  <c r="H15" i="165"/>
  <c r="A16" i="165"/>
  <c r="C16" i="165"/>
  <c r="D16" i="165"/>
  <c r="E16" i="165"/>
  <c r="F16" i="165"/>
  <c r="G16" i="165"/>
  <c r="H16" i="165"/>
  <c r="A17" i="165"/>
  <c r="C17" i="165"/>
  <c r="D17" i="165"/>
  <c r="E17" i="165"/>
  <c r="F17" i="165"/>
  <c r="G17" i="165"/>
  <c r="H17" i="165"/>
  <c r="A18" i="165"/>
  <c r="C18" i="165"/>
  <c r="D18" i="165"/>
  <c r="E18" i="165"/>
  <c r="F18" i="165"/>
  <c r="G18" i="165"/>
  <c r="H18" i="165"/>
  <c r="A19" i="165"/>
  <c r="C19" i="165"/>
  <c r="D19" i="165"/>
  <c r="E19" i="165"/>
  <c r="F19" i="165"/>
  <c r="G19" i="165"/>
  <c r="H19" i="165"/>
  <c r="A20" i="165"/>
  <c r="C20" i="165"/>
  <c r="D20" i="165"/>
  <c r="E20" i="165"/>
  <c r="F20" i="165"/>
  <c r="G20" i="165"/>
  <c r="H20" i="165"/>
  <c r="A21" i="165"/>
  <c r="C21" i="165"/>
  <c r="D21" i="165"/>
  <c r="E21" i="165"/>
  <c r="F21" i="165"/>
  <c r="G21" i="165"/>
  <c r="H21" i="165"/>
  <c r="A22" i="165"/>
  <c r="C22" i="165"/>
  <c r="D22" i="165"/>
  <c r="E22" i="165"/>
  <c r="F22" i="165"/>
  <c r="G22" i="165"/>
  <c r="H22" i="165"/>
  <c r="A23" i="165"/>
  <c r="C23" i="165"/>
  <c r="D23" i="165"/>
  <c r="E23" i="165"/>
  <c r="F23" i="165"/>
  <c r="G23" i="165"/>
  <c r="H23" i="165"/>
  <c r="A24" i="165"/>
  <c r="C24" i="165"/>
  <c r="D24" i="165"/>
  <c r="E24" i="165"/>
  <c r="F24" i="165"/>
  <c r="G24" i="165"/>
  <c r="H24" i="165"/>
  <c r="A25" i="165"/>
  <c r="C25" i="165"/>
  <c r="D25" i="165"/>
  <c r="E25" i="165"/>
  <c r="F25" i="165"/>
  <c r="G25" i="165"/>
  <c r="H25" i="165"/>
  <c r="A26" i="165"/>
  <c r="C26" i="165"/>
  <c r="D26" i="165"/>
  <c r="E26" i="165"/>
  <c r="F26" i="165"/>
  <c r="G26" i="165"/>
  <c r="H26" i="165"/>
  <c r="A27" i="165"/>
  <c r="C27" i="165"/>
  <c r="D27" i="165"/>
  <c r="E27" i="165"/>
  <c r="F27" i="165"/>
  <c r="G27" i="165"/>
  <c r="H27" i="165"/>
  <c r="A28" i="165"/>
  <c r="C28" i="165"/>
  <c r="D28" i="165"/>
  <c r="E28" i="165"/>
  <c r="F28" i="165"/>
  <c r="G28" i="165"/>
  <c r="H28" i="165"/>
  <c r="A29" i="165"/>
  <c r="C29" i="165"/>
  <c r="D29" i="165"/>
  <c r="E29" i="165"/>
  <c r="F29" i="165"/>
  <c r="G29" i="165"/>
  <c r="H29" i="165"/>
  <c r="A30" i="165"/>
  <c r="C30" i="165"/>
  <c r="D30" i="165"/>
  <c r="E30" i="165"/>
  <c r="F30" i="165"/>
  <c r="G30" i="165"/>
  <c r="H30" i="165"/>
  <c r="A31" i="165"/>
  <c r="C31" i="165"/>
  <c r="D31" i="165"/>
  <c r="E31" i="165"/>
  <c r="F31" i="165"/>
  <c r="G31" i="165"/>
  <c r="H31" i="165"/>
  <c r="C32" i="164"/>
  <c r="A4" i="164"/>
  <c r="C4" i="164"/>
  <c r="D4" i="164"/>
  <c r="D32" i="164" s="1"/>
  <c r="E4" i="164"/>
  <c r="F4" i="164"/>
  <c r="F32" i="164" s="1"/>
  <c r="G4" i="164"/>
  <c r="H4" i="164"/>
  <c r="H32" i="164" s="1"/>
  <c r="A5" i="164"/>
  <c r="C5" i="164"/>
  <c r="D5" i="164"/>
  <c r="E5" i="164"/>
  <c r="F5" i="164"/>
  <c r="G5" i="164"/>
  <c r="H5" i="164"/>
  <c r="A6" i="164"/>
  <c r="C6" i="164"/>
  <c r="D6" i="164"/>
  <c r="E6" i="164"/>
  <c r="F6" i="164"/>
  <c r="G6" i="164"/>
  <c r="H6" i="164"/>
  <c r="A7" i="164"/>
  <c r="C7" i="164"/>
  <c r="D7" i="164"/>
  <c r="E7" i="164"/>
  <c r="F7" i="164"/>
  <c r="G7" i="164"/>
  <c r="H7" i="164"/>
  <c r="A8" i="164"/>
  <c r="C8" i="164"/>
  <c r="D8" i="164"/>
  <c r="E8" i="164"/>
  <c r="F8" i="164"/>
  <c r="G8" i="164"/>
  <c r="H8" i="164"/>
  <c r="A9" i="164"/>
  <c r="C9" i="164"/>
  <c r="D9" i="164"/>
  <c r="E9" i="164"/>
  <c r="F9" i="164"/>
  <c r="G9" i="164"/>
  <c r="H9" i="164"/>
  <c r="A10" i="164"/>
  <c r="C10" i="164"/>
  <c r="D10" i="164"/>
  <c r="E10" i="164"/>
  <c r="F10" i="164"/>
  <c r="G10" i="164"/>
  <c r="H10" i="164"/>
  <c r="A11" i="164"/>
  <c r="C11" i="164"/>
  <c r="D11" i="164"/>
  <c r="E11" i="164"/>
  <c r="F11" i="164"/>
  <c r="G11" i="164"/>
  <c r="H11" i="164"/>
  <c r="A12" i="164"/>
  <c r="C12" i="164"/>
  <c r="D12" i="164"/>
  <c r="E12" i="164"/>
  <c r="F12" i="164"/>
  <c r="G12" i="164"/>
  <c r="H12" i="164"/>
  <c r="A13" i="164"/>
  <c r="C13" i="164"/>
  <c r="D13" i="164"/>
  <c r="E13" i="164"/>
  <c r="F13" i="164"/>
  <c r="G13" i="164"/>
  <c r="H13" i="164"/>
  <c r="A14" i="164"/>
  <c r="C14" i="164"/>
  <c r="D14" i="164"/>
  <c r="E14" i="164"/>
  <c r="F14" i="164"/>
  <c r="G14" i="164"/>
  <c r="H14" i="164"/>
  <c r="A15" i="164"/>
  <c r="C15" i="164"/>
  <c r="D15" i="164"/>
  <c r="E15" i="164"/>
  <c r="F15" i="164"/>
  <c r="G15" i="164"/>
  <c r="H15" i="164"/>
  <c r="A16" i="164"/>
  <c r="C16" i="164"/>
  <c r="D16" i="164"/>
  <c r="E16" i="164"/>
  <c r="F16" i="164"/>
  <c r="G16" i="164"/>
  <c r="H16" i="164"/>
  <c r="A17" i="164"/>
  <c r="C17" i="164"/>
  <c r="D17" i="164"/>
  <c r="E17" i="164"/>
  <c r="F17" i="164"/>
  <c r="G17" i="164"/>
  <c r="H17" i="164"/>
  <c r="A18" i="164"/>
  <c r="C18" i="164"/>
  <c r="D18" i="164"/>
  <c r="E18" i="164"/>
  <c r="F18" i="164"/>
  <c r="G18" i="164"/>
  <c r="H18" i="164"/>
  <c r="A19" i="164"/>
  <c r="C19" i="164"/>
  <c r="D19" i="164"/>
  <c r="E19" i="164"/>
  <c r="F19" i="164"/>
  <c r="G19" i="164"/>
  <c r="H19" i="164"/>
  <c r="A20" i="164"/>
  <c r="C20" i="164"/>
  <c r="D20" i="164"/>
  <c r="E20" i="164"/>
  <c r="F20" i="164"/>
  <c r="G20" i="164"/>
  <c r="H20" i="164"/>
  <c r="A21" i="164"/>
  <c r="C21" i="164"/>
  <c r="D21" i="164"/>
  <c r="E21" i="164"/>
  <c r="F21" i="164"/>
  <c r="G21" i="164"/>
  <c r="H21" i="164"/>
  <c r="A22" i="164"/>
  <c r="C22" i="164"/>
  <c r="D22" i="164"/>
  <c r="E22" i="164"/>
  <c r="F22" i="164"/>
  <c r="G22" i="164"/>
  <c r="H22" i="164"/>
  <c r="A23" i="164"/>
  <c r="C23" i="164"/>
  <c r="D23" i="164"/>
  <c r="E23" i="164"/>
  <c r="F23" i="164"/>
  <c r="G23" i="164"/>
  <c r="H23" i="164"/>
  <c r="A24" i="164"/>
  <c r="C24" i="164"/>
  <c r="D24" i="164"/>
  <c r="E24" i="164"/>
  <c r="F24" i="164"/>
  <c r="G24" i="164"/>
  <c r="H24" i="164"/>
  <c r="A25" i="164"/>
  <c r="C25" i="164"/>
  <c r="D25" i="164"/>
  <c r="E25" i="164"/>
  <c r="F25" i="164"/>
  <c r="G25" i="164"/>
  <c r="H25" i="164"/>
  <c r="A26" i="164"/>
  <c r="C26" i="164"/>
  <c r="D26" i="164"/>
  <c r="E26" i="164"/>
  <c r="F26" i="164"/>
  <c r="G26" i="164"/>
  <c r="H26" i="164"/>
  <c r="A27" i="164"/>
  <c r="C27" i="164"/>
  <c r="D27" i="164"/>
  <c r="E27" i="164"/>
  <c r="F27" i="164"/>
  <c r="G27" i="164"/>
  <c r="H27" i="164"/>
  <c r="A28" i="164"/>
  <c r="C28" i="164"/>
  <c r="D28" i="164"/>
  <c r="E28" i="164"/>
  <c r="F28" i="164"/>
  <c r="G28" i="164"/>
  <c r="H28" i="164"/>
  <c r="A29" i="164"/>
  <c r="C29" i="164"/>
  <c r="D29" i="164"/>
  <c r="E29" i="164"/>
  <c r="F29" i="164"/>
  <c r="G29" i="164"/>
  <c r="H29" i="164"/>
  <c r="A30" i="164"/>
  <c r="C30" i="164"/>
  <c r="D30" i="164"/>
  <c r="E30" i="164"/>
  <c r="F30" i="164"/>
  <c r="G30" i="164"/>
  <c r="H30" i="164"/>
  <c r="A31" i="164"/>
  <c r="C31" i="164"/>
  <c r="D31" i="164"/>
  <c r="E31" i="164"/>
  <c r="F31" i="164"/>
  <c r="G31" i="164"/>
  <c r="H31" i="164"/>
  <c r="A4" i="163"/>
  <c r="C4" i="163" s="1"/>
  <c r="D4" i="163"/>
  <c r="I4" i="163"/>
  <c r="A5" i="163"/>
  <c r="C5" i="163"/>
  <c r="D5" i="163"/>
  <c r="I5" i="163"/>
  <c r="A6" i="163"/>
  <c r="C6" i="163"/>
  <c r="G6" i="163" s="1"/>
  <c r="D6" i="163"/>
  <c r="I6" i="163"/>
  <c r="A7" i="163"/>
  <c r="C7" i="163" s="1"/>
  <c r="D7" i="163"/>
  <c r="I7" i="163"/>
  <c r="A8" i="163"/>
  <c r="C8" i="163"/>
  <c r="D8" i="163"/>
  <c r="G8" i="163"/>
  <c r="I8" i="163"/>
  <c r="A9" i="163"/>
  <c r="C9" i="163"/>
  <c r="D9" i="163"/>
  <c r="G9" i="163"/>
  <c r="I9" i="163"/>
  <c r="A10" i="163"/>
  <c r="C10" i="163"/>
  <c r="D10" i="163"/>
  <c r="I10" i="163"/>
  <c r="A11" i="163"/>
  <c r="C11" i="163" s="1"/>
  <c r="D11" i="163"/>
  <c r="I11" i="163"/>
  <c r="A12" i="163"/>
  <c r="C12" i="163"/>
  <c r="D12" i="163"/>
  <c r="G12" i="163"/>
  <c r="I12" i="163"/>
  <c r="A13" i="163"/>
  <c r="C13" i="163" s="1"/>
  <c r="D13" i="163"/>
  <c r="I13" i="163"/>
  <c r="A14" i="163"/>
  <c r="C14" i="163"/>
  <c r="G14" i="163" s="1"/>
  <c r="D14" i="163"/>
  <c r="I14" i="163"/>
  <c r="A15" i="163"/>
  <c r="C15" i="163"/>
  <c r="G15" i="163" s="1"/>
  <c r="D15" i="163"/>
  <c r="I15" i="163"/>
  <c r="A16" i="163"/>
  <c r="C16" i="163" s="1"/>
  <c r="D16" i="163"/>
  <c r="I16" i="163"/>
  <c r="A17" i="163"/>
  <c r="C17" i="163"/>
  <c r="D17" i="163"/>
  <c r="I17" i="163"/>
  <c r="A18" i="163"/>
  <c r="C18" i="163" s="1"/>
  <c r="D18" i="163"/>
  <c r="I18" i="163"/>
  <c r="A19" i="163"/>
  <c r="C19" i="163"/>
  <c r="D19" i="163"/>
  <c r="I19" i="163"/>
  <c r="A20" i="163"/>
  <c r="C20" i="163"/>
  <c r="D20" i="163"/>
  <c r="G20" i="163"/>
  <c r="I20" i="163"/>
  <c r="A21" i="163"/>
  <c r="C21" i="163" s="1"/>
  <c r="D21" i="163"/>
  <c r="I21" i="163"/>
  <c r="A22" i="163"/>
  <c r="C22" i="163"/>
  <c r="D22" i="163"/>
  <c r="G22" i="163"/>
  <c r="I22" i="163"/>
  <c r="A23" i="163"/>
  <c r="C23" i="163"/>
  <c r="D23" i="163"/>
  <c r="I23" i="163"/>
  <c r="A24" i="163"/>
  <c r="C24" i="163" s="1"/>
  <c r="G24" i="163" s="1"/>
  <c r="D24" i="163"/>
  <c r="I24" i="163"/>
  <c r="A25" i="163"/>
  <c r="C25" i="163"/>
  <c r="D25" i="163"/>
  <c r="G25" i="163"/>
  <c r="I25" i="163"/>
  <c r="A26" i="163"/>
  <c r="C26" i="163"/>
  <c r="G26" i="163" s="1"/>
  <c r="D26" i="163"/>
  <c r="I26" i="163"/>
  <c r="A4" i="162"/>
  <c r="C4" i="162" s="1"/>
  <c r="D4" i="162"/>
  <c r="I4" i="162"/>
  <c r="A5" i="162"/>
  <c r="C5" i="162"/>
  <c r="G5" i="162" s="1"/>
  <c r="D5" i="162"/>
  <c r="I5" i="162"/>
  <c r="A6" i="162"/>
  <c r="C6" i="162"/>
  <c r="D6" i="162"/>
  <c r="G6" i="162"/>
  <c r="I6" i="162"/>
  <c r="A7" i="162"/>
  <c r="C7" i="162" s="1"/>
  <c r="D7" i="162"/>
  <c r="I7" i="162"/>
  <c r="A8" i="162"/>
  <c r="C8" i="162" s="1"/>
  <c r="D8" i="162"/>
  <c r="I8" i="162"/>
  <c r="A9" i="162"/>
  <c r="C9" i="162"/>
  <c r="D9" i="162"/>
  <c r="I9" i="162"/>
  <c r="A10" i="162"/>
  <c r="C10" i="162" s="1"/>
  <c r="G10" i="162" s="1"/>
  <c r="D10" i="162"/>
  <c r="I10" i="162"/>
  <c r="A11" i="162"/>
  <c r="C11" i="162" s="1"/>
  <c r="D11" i="162"/>
  <c r="I11" i="162"/>
  <c r="A12" i="162"/>
  <c r="C12" i="162" s="1"/>
  <c r="D12" i="162"/>
  <c r="I12" i="162"/>
  <c r="A13" i="162"/>
  <c r="C13" i="162"/>
  <c r="G13" i="162" s="1"/>
  <c r="D13" i="162"/>
  <c r="I13" i="162"/>
  <c r="A14" i="162"/>
  <c r="C14" i="162"/>
  <c r="D14" i="162"/>
  <c r="G14" i="162"/>
  <c r="I14" i="162"/>
  <c r="A15" i="162"/>
  <c r="C15" i="162" s="1"/>
  <c r="D15" i="162"/>
  <c r="I15" i="162"/>
  <c r="A16" i="162"/>
  <c r="C16" i="162"/>
  <c r="D16" i="162"/>
  <c r="I16" i="162"/>
  <c r="A17" i="162"/>
  <c r="C17" i="162" s="1"/>
  <c r="D17" i="162"/>
  <c r="I17" i="162"/>
  <c r="A18" i="162"/>
  <c r="C18" i="162" s="1"/>
  <c r="D18" i="162"/>
  <c r="I18" i="162"/>
  <c r="A19" i="162"/>
  <c r="C19" i="162" s="1"/>
  <c r="G19" i="162" s="1"/>
  <c r="D19" i="162"/>
  <c r="I19" i="162"/>
  <c r="A20" i="162"/>
  <c r="C20" i="162"/>
  <c r="D20" i="162"/>
  <c r="G20" i="162"/>
  <c r="I20" i="162"/>
  <c r="A21" i="162"/>
  <c r="C21" i="162" s="1"/>
  <c r="D21" i="162"/>
  <c r="I21" i="162"/>
  <c r="A22" i="162"/>
  <c r="C22" i="162"/>
  <c r="D22" i="162"/>
  <c r="I22" i="162"/>
  <c r="A23" i="162"/>
  <c r="C23" i="162"/>
  <c r="D23" i="162"/>
  <c r="I23" i="162"/>
  <c r="A24" i="162"/>
  <c r="C24" i="162" s="1"/>
  <c r="G24" i="162" s="1"/>
  <c r="D24" i="162"/>
  <c r="I24" i="162"/>
  <c r="A25" i="162"/>
  <c r="C25" i="162" s="1"/>
  <c r="D25" i="162"/>
  <c r="I25" i="162"/>
  <c r="A26" i="162"/>
  <c r="C26" i="162" s="1"/>
  <c r="D26" i="162"/>
  <c r="I26" i="162"/>
  <c r="C29" i="161"/>
  <c r="C30" i="161"/>
  <c r="B27" i="161"/>
  <c r="F27" i="161"/>
  <c r="K27" i="161"/>
  <c r="L27" i="161"/>
  <c r="A4" i="161"/>
  <c r="C4" i="161"/>
  <c r="H4" i="161"/>
  <c r="K4" i="161"/>
  <c r="B4" i="161" s="1"/>
  <c r="L4" i="161"/>
  <c r="A5" i="161"/>
  <c r="K5" i="161" s="1"/>
  <c r="C5" i="161"/>
  <c r="H5" i="161"/>
  <c r="A6" i="161"/>
  <c r="L6" i="161" s="1"/>
  <c r="C6" i="161"/>
  <c r="H6" i="161"/>
  <c r="A7" i="161"/>
  <c r="C7" i="161"/>
  <c r="H7" i="161"/>
  <c r="K7" i="161"/>
  <c r="B7" i="161" s="1"/>
  <c r="L7" i="161"/>
  <c r="A8" i="161"/>
  <c r="K8" i="161" s="1"/>
  <c r="C8" i="161"/>
  <c r="H8" i="161"/>
  <c r="A9" i="161"/>
  <c r="K9" i="161" s="1"/>
  <c r="C9" i="161"/>
  <c r="H9" i="161"/>
  <c r="A10" i="161"/>
  <c r="C10" i="161"/>
  <c r="H10" i="161"/>
  <c r="K10" i="161"/>
  <c r="B10" i="161" s="1"/>
  <c r="L10" i="161"/>
  <c r="A11" i="161"/>
  <c r="K11" i="161" s="1"/>
  <c r="C11" i="161"/>
  <c r="H11" i="161"/>
  <c r="A12" i="161"/>
  <c r="K12" i="161" s="1"/>
  <c r="C12" i="161"/>
  <c r="H12" i="161"/>
  <c r="A13" i="161"/>
  <c r="C13" i="161"/>
  <c r="H13" i="161"/>
  <c r="K13" i="161"/>
  <c r="B13" i="161" s="1"/>
  <c r="L13" i="161"/>
  <c r="A14" i="161"/>
  <c r="K14" i="161" s="1"/>
  <c r="C14" i="161"/>
  <c r="H14" i="161"/>
  <c r="A15" i="161"/>
  <c r="K15" i="161" s="1"/>
  <c r="C15" i="161"/>
  <c r="H15" i="161"/>
  <c r="A16" i="161"/>
  <c r="C16" i="161"/>
  <c r="H16" i="161"/>
  <c r="K16" i="161"/>
  <c r="L16" i="161"/>
  <c r="B16" i="161" s="1"/>
  <c r="A17" i="161"/>
  <c r="L17" i="161" s="1"/>
  <c r="C17" i="161"/>
  <c r="H17" i="161"/>
  <c r="A18" i="161"/>
  <c r="C18" i="161"/>
  <c r="H18" i="161"/>
  <c r="K18" i="161"/>
  <c r="B18" i="161" s="1"/>
  <c r="L18" i="161"/>
  <c r="A19" i="161"/>
  <c r="B19" i="161"/>
  <c r="C19" i="161"/>
  <c r="F19" i="161"/>
  <c r="H19" i="161"/>
  <c r="K19" i="161"/>
  <c r="L19" i="161"/>
  <c r="A20" i="161"/>
  <c r="L20" i="161" s="1"/>
  <c r="C20" i="161"/>
  <c r="H20" i="161"/>
  <c r="A21" i="161"/>
  <c r="C21" i="161"/>
  <c r="H21" i="161"/>
  <c r="K21" i="161"/>
  <c r="B21" i="161" s="1"/>
  <c r="L21" i="161"/>
  <c r="A22" i="161"/>
  <c r="K22" i="161" s="1"/>
  <c r="C22" i="161"/>
  <c r="H22" i="161"/>
  <c r="A23" i="161"/>
  <c r="L23" i="161" s="1"/>
  <c r="C23" i="161"/>
  <c r="H23" i="161"/>
  <c r="A24" i="161"/>
  <c r="C24" i="161"/>
  <c r="H24" i="161"/>
  <c r="K24" i="161"/>
  <c r="B24" i="161" s="1"/>
  <c r="L24" i="161"/>
  <c r="A25" i="161"/>
  <c r="K25" i="161" s="1"/>
  <c r="C25" i="161"/>
  <c r="H25" i="161"/>
  <c r="A26" i="161"/>
  <c r="K26" i="161" s="1"/>
  <c r="C26" i="161"/>
  <c r="H26" i="161"/>
  <c r="M33" i="158"/>
  <c r="O33" i="158"/>
  <c r="P33" i="158"/>
  <c r="L5" i="158"/>
  <c r="M5" i="158"/>
  <c r="N5" i="158"/>
  <c r="O5" i="158"/>
  <c r="P5" i="158"/>
  <c r="L6" i="158"/>
  <c r="M6" i="158"/>
  <c r="N6" i="158"/>
  <c r="O6" i="158"/>
  <c r="P6" i="158"/>
  <c r="L7" i="158"/>
  <c r="M7" i="158"/>
  <c r="P7" i="158" s="1"/>
  <c r="N7" i="158"/>
  <c r="O7" i="158"/>
  <c r="L8" i="158"/>
  <c r="M8" i="158"/>
  <c r="N8" i="158"/>
  <c r="O8" i="158"/>
  <c r="P8" i="158"/>
  <c r="L9" i="158"/>
  <c r="M9" i="158"/>
  <c r="N9" i="158"/>
  <c r="O9" i="158"/>
  <c r="P9" i="158"/>
  <c r="L10" i="158"/>
  <c r="M10" i="158"/>
  <c r="N10" i="158"/>
  <c r="O10" i="158" s="1"/>
  <c r="L11" i="158"/>
  <c r="M11" i="158"/>
  <c r="N11" i="158"/>
  <c r="O11" i="158"/>
  <c r="P11" i="158"/>
  <c r="L12" i="158"/>
  <c r="M12" i="158"/>
  <c r="N12" i="158"/>
  <c r="O12" i="158"/>
  <c r="P12" i="158"/>
  <c r="L13" i="158"/>
  <c r="M13" i="158"/>
  <c r="P13" i="158" s="1"/>
  <c r="N13" i="158"/>
  <c r="O13" i="158"/>
  <c r="L14" i="158"/>
  <c r="M14" i="158"/>
  <c r="N14" i="158"/>
  <c r="O14" i="158"/>
  <c r="P14" i="158"/>
  <c r="L15" i="158"/>
  <c r="M15" i="158"/>
  <c r="N15" i="158"/>
  <c r="O15" i="158"/>
  <c r="P15" i="158"/>
  <c r="L16" i="158"/>
  <c r="M16" i="158" s="1"/>
  <c r="P16" i="158" s="1"/>
  <c r="N16" i="158"/>
  <c r="O16" i="158"/>
  <c r="L17" i="158"/>
  <c r="M17" i="158"/>
  <c r="N17" i="158"/>
  <c r="O17" i="158"/>
  <c r="P17" i="158"/>
  <c r="L18" i="158"/>
  <c r="M18" i="158"/>
  <c r="N18" i="158"/>
  <c r="O18" i="158"/>
  <c r="P18" i="158"/>
  <c r="L19" i="158"/>
  <c r="M19" i="158"/>
  <c r="N19" i="158"/>
  <c r="O19" i="158"/>
  <c r="P19" i="158"/>
  <c r="L20" i="158"/>
  <c r="M20" i="158"/>
  <c r="N20" i="158"/>
  <c r="O20" i="158"/>
  <c r="P20" i="158"/>
  <c r="L21" i="158"/>
  <c r="M21" i="158"/>
  <c r="P21" i="158" s="1"/>
  <c r="N21" i="158"/>
  <c r="O21" i="158"/>
  <c r="L22" i="158"/>
  <c r="M22" i="158"/>
  <c r="N22" i="158"/>
  <c r="O22" i="158"/>
  <c r="P22" i="158"/>
  <c r="L23" i="158"/>
  <c r="M23" i="158"/>
  <c r="N23" i="158"/>
  <c r="O23" i="158"/>
  <c r="P23" i="158"/>
  <c r="L24" i="158"/>
  <c r="M24" i="158"/>
  <c r="N24" i="158"/>
  <c r="O24" i="158" s="1"/>
  <c r="L25" i="158"/>
  <c r="M25" i="158"/>
  <c r="N25" i="158"/>
  <c r="O25" i="158"/>
  <c r="P25" i="158"/>
  <c r="L26" i="158"/>
  <c r="M26" i="158"/>
  <c r="N26" i="158"/>
  <c r="O26" i="158"/>
  <c r="P26" i="158"/>
  <c r="L27" i="158"/>
  <c r="M27" i="158"/>
  <c r="P27" i="158" s="1"/>
  <c r="N27" i="158"/>
  <c r="O27" i="158"/>
  <c r="L28" i="158"/>
  <c r="M28" i="158"/>
  <c r="N28" i="158"/>
  <c r="O28" i="158"/>
  <c r="P28" i="158"/>
  <c r="L29" i="158"/>
  <c r="M29" i="158"/>
  <c r="N29" i="158"/>
  <c r="O29" i="158"/>
  <c r="P29" i="158"/>
  <c r="L30" i="158"/>
  <c r="M30" i="158" s="1"/>
  <c r="P30" i="158" s="1"/>
  <c r="N30" i="158"/>
  <c r="O30" i="158"/>
  <c r="L31" i="158"/>
  <c r="M31" i="158"/>
  <c r="N31" i="158"/>
  <c r="O31" i="158"/>
  <c r="P31" i="158"/>
  <c r="L32" i="158"/>
  <c r="M32" i="158"/>
  <c r="N32" i="158"/>
  <c r="O32" i="158"/>
  <c r="P32" i="158"/>
  <c r="B33" i="158"/>
  <c r="C33" i="158"/>
  <c r="E33" i="158"/>
  <c r="F33" i="158"/>
  <c r="G33" i="158"/>
  <c r="I33" i="158"/>
  <c r="J33" i="158"/>
  <c r="K33" i="158"/>
  <c r="A5" i="158"/>
  <c r="B5" i="158"/>
  <c r="D5" i="158" s="1"/>
  <c r="C5" i="158"/>
  <c r="E5" i="158" s="1"/>
  <c r="K5" i="158" s="1"/>
  <c r="F5" i="158"/>
  <c r="G5" i="158"/>
  <c r="H5" i="158"/>
  <c r="I5" i="158" s="1"/>
  <c r="J5" i="158"/>
  <c r="A6" i="158"/>
  <c r="B6" i="158"/>
  <c r="C6" i="158"/>
  <c r="E6" i="158" s="1"/>
  <c r="K6" i="158" s="1"/>
  <c r="D6" i="158"/>
  <c r="F6" i="158"/>
  <c r="H6" i="158" s="1"/>
  <c r="I6" i="158" s="1"/>
  <c r="G6" i="158"/>
  <c r="J6" i="158"/>
  <c r="A7" i="158"/>
  <c r="B7" i="158"/>
  <c r="D7" i="158" s="1"/>
  <c r="C7" i="158"/>
  <c r="E7" i="158" s="1"/>
  <c r="F7" i="158"/>
  <c r="H7" i="158" s="1"/>
  <c r="G7" i="158"/>
  <c r="J7" i="158"/>
  <c r="A8" i="158"/>
  <c r="B8" i="158"/>
  <c r="D8" i="158" s="1"/>
  <c r="C8" i="158"/>
  <c r="J8" i="158" s="1"/>
  <c r="F8" i="158"/>
  <c r="H8" i="158" s="1"/>
  <c r="I8" i="158" s="1"/>
  <c r="G8" i="158"/>
  <c r="A9" i="158"/>
  <c r="B9" i="158"/>
  <c r="D9" i="158" s="1"/>
  <c r="E9" i="158" s="1"/>
  <c r="C9" i="158"/>
  <c r="F9" i="158"/>
  <c r="H9" i="158" s="1"/>
  <c r="I9" i="158" s="1"/>
  <c r="G9" i="158"/>
  <c r="J9" i="158"/>
  <c r="A10" i="158"/>
  <c r="B10" i="158"/>
  <c r="D10" i="158" s="1"/>
  <c r="E10" i="158" s="1"/>
  <c r="C10" i="158"/>
  <c r="F10" i="158"/>
  <c r="G10" i="158"/>
  <c r="H10" i="158"/>
  <c r="I10" i="158" s="1"/>
  <c r="J10" i="158"/>
  <c r="A11" i="158"/>
  <c r="B11" i="158"/>
  <c r="D11" i="158" s="1"/>
  <c r="E11" i="158" s="1"/>
  <c r="C11" i="158"/>
  <c r="F11" i="158"/>
  <c r="G11" i="158"/>
  <c r="I11" i="158" s="1"/>
  <c r="H11" i="158"/>
  <c r="J11" i="158"/>
  <c r="A12" i="158"/>
  <c r="B12" i="158"/>
  <c r="D12" i="158" s="1"/>
  <c r="C12" i="158"/>
  <c r="J12" i="158" s="1"/>
  <c r="F12" i="158"/>
  <c r="G12" i="158"/>
  <c r="I12" i="158" s="1"/>
  <c r="H12" i="158"/>
  <c r="A13" i="158"/>
  <c r="B13" i="158"/>
  <c r="C13" i="158"/>
  <c r="E13" i="158" s="1"/>
  <c r="D13" i="158"/>
  <c r="F13" i="158"/>
  <c r="H13" i="158" s="1"/>
  <c r="G13" i="158"/>
  <c r="I13" i="158" s="1"/>
  <c r="A14" i="158"/>
  <c r="B14" i="158"/>
  <c r="D14" i="158" s="1"/>
  <c r="C14" i="158"/>
  <c r="F14" i="158"/>
  <c r="H14" i="158" s="1"/>
  <c r="G14" i="158"/>
  <c r="I14" i="158" s="1"/>
  <c r="A15" i="158"/>
  <c r="B15" i="158"/>
  <c r="D15" i="158" s="1"/>
  <c r="C15" i="158"/>
  <c r="F15" i="158"/>
  <c r="H15" i="158" s="1"/>
  <c r="I15" i="158" s="1"/>
  <c r="G15" i="158"/>
  <c r="J15" i="158"/>
  <c r="A16" i="158"/>
  <c r="B16" i="158"/>
  <c r="D16" i="158" s="1"/>
  <c r="E16" i="158" s="1"/>
  <c r="K16" i="158" s="1"/>
  <c r="C16" i="158"/>
  <c r="J16" i="158" s="1"/>
  <c r="F16" i="158"/>
  <c r="H16" i="158" s="1"/>
  <c r="I16" i="158" s="1"/>
  <c r="G16" i="158"/>
  <c r="A17" i="158"/>
  <c r="B17" i="158"/>
  <c r="D17" i="158" s="1"/>
  <c r="E17" i="158" s="1"/>
  <c r="K17" i="158" s="1"/>
  <c r="C17" i="158"/>
  <c r="J17" i="158" s="1"/>
  <c r="F17" i="158"/>
  <c r="G17" i="158"/>
  <c r="H17" i="158"/>
  <c r="I17" i="158"/>
  <c r="A18" i="158"/>
  <c r="B18" i="158"/>
  <c r="C18" i="158"/>
  <c r="D18" i="158"/>
  <c r="E18" i="158" s="1"/>
  <c r="K18" i="158" s="1"/>
  <c r="F18" i="158"/>
  <c r="G18" i="158"/>
  <c r="I18" i="158" s="1"/>
  <c r="H18" i="158"/>
  <c r="A19" i="158"/>
  <c r="B19" i="158"/>
  <c r="C19" i="158"/>
  <c r="E19" i="158" s="1"/>
  <c r="D19" i="158"/>
  <c r="F19" i="158"/>
  <c r="G19" i="158"/>
  <c r="I19" i="158" s="1"/>
  <c r="H19" i="158"/>
  <c r="A20" i="158"/>
  <c r="B20" i="158"/>
  <c r="C20" i="158"/>
  <c r="E20" i="158" s="1"/>
  <c r="D20" i="158"/>
  <c r="F20" i="158"/>
  <c r="H20" i="158" s="1"/>
  <c r="G20" i="158"/>
  <c r="J20" i="158"/>
  <c r="A21" i="158"/>
  <c r="B21" i="158"/>
  <c r="D21" i="158" s="1"/>
  <c r="C21" i="158"/>
  <c r="J21" i="158" s="1"/>
  <c r="F21" i="158"/>
  <c r="H21" i="158" s="1"/>
  <c r="G21" i="158"/>
  <c r="I21" i="158" s="1"/>
  <c r="A22" i="158"/>
  <c r="B22" i="158"/>
  <c r="D22" i="158" s="1"/>
  <c r="C22" i="158"/>
  <c r="J22" i="158" s="1"/>
  <c r="F22" i="158"/>
  <c r="H22" i="158" s="1"/>
  <c r="I22" i="158" s="1"/>
  <c r="G22" i="158"/>
  <c r="A23" i="158"/>
  <c r="B23" i="158"/>
  <c r="D23" i="158" s="1"/>
  <c r="E23" i="158" s="1"/>
  <c r="K23" i="158" s="1"/>
  <c r="C23" i="158"/>
  <c r="F23" i="158"/>
  <c r="H23" i="158" s="1"/>
  <c r="I23" i="158" s="1"/>
  <c r="G23" i="158"/>
  <c r="J23" i="158"/>
  <c r="A24" i="158"/>
  <c r="B24" i="158"/>
  <c r="D24" i="158" s="1"/>
  <c r="E24" i="158" s="1"/>
  <c r="K24" i="158" s="1"/>
  <c r="C24" i="158"/>
  <c r="F24" i="158"/>
  <c r="G24" i="158"/>
  <c r="H24" i="158"/>
  <c r="I24" i="158"/>
  <c r="J24" i="158"/>
  <c r="A25" i="158"/>
  <c r="B25" i="158"/>
  <c r="C25" i="158"/>
  <c r="J25" i="158" s="1"/>
  <c r="D25" i="158"/>
  <c r="E25" i="158"/>
  <c r="F25" i="158"/>
  <c r="G25" i="158"/>
  <c r="I25" i="158" s="1"/>
  <c r="H25" i="158"/>
  <c r="A26" i="158"/>
  <c r="B26" i="158"/>
  <c r="C26" i="158"/>
  <c r="J26" i="158" s="1"/>
  <c r="D26" i="158"/>
  <c r="F26" i="158"/>
  <c r="G26" i="158"/>
  <c r="I26" i="158" s="1"/>
  <c r="H26" i="158"/>
  <c r="A27" i="158"/>
  <c r="B27" i="158"/>
  <c r="C27" i="158"/>
  <c r="E27" i="158" s="1"/>
  <c r="K27" i="158" s="1"/>
  <c r="D27" i="158"/>
  <c r="F27" i="158"/>
  <c r="H27" i="158" s="1"/>
  <c r="G27" i="158"/>
  <c r="I27" i="158" s="1"/>
  <c r="A28" i="158"/>
  <c r="B28" i="158"/>
  <c r="D28" i="158" s="1"/>
  <c r="C28" i="158"/>
  <c r="E28" i="158" s="1"/>
  <c r="F28" i="158"/>
  <c r="H28" i="158" s="1"/>
  <c r="G28" i="158"/>
  <c r="I28" i="158" s="1"/>
  <c r="A29" i="158"/>
  <c r="B29" i="158"/>
  <c r="D29" i="158" s="1"/>
  <c r="C29" i="158"/>
  <c r="E29" i="158" s="1"/>
  <c r="F29" i="158"/>
  <c r="H29" i="158" s="1"/>
  <c r="I29" i="158" s="1"/>
  <c r="G29" i="158"/>
  <c r="J29" i="158"/>
  <c r="A30" i="158"/>
  <c r="B30" i="158"/>
  <c r="D30" i="158" s="1"/>
  <c r="E30" i="158" s="1"/>
  <c r="C30" i="158"/>
  <c r="F30" i="158"/>
  <c r="H30" i="158" s="1"/>
  <c r="I30" i="158" s="1"/>
  <c r="G30" i="158"/>
  <c r="J30" i="158"/>
  <c r="A31" i="158"/>
  <c r="B31" i="158"/>
  <c r="D31" i="158" s="1"/>
  <c r="E31" i="158" s="1"/>
  <c r="K31" i="158" s="1"/>
  <c r="C31" i="158"/>
  <c r="F31" i="158"/>
  <c r="G31" i="158"/>
  <c r="J31" i="158" s="1"/>
  <c r="H31" i="158"/>
  <c r="I31" i="158"/>
  <c r="A32" i="158"/>
  <c r="B32" i="158"/>
  <c r="C32" i="158"/>
  <c r="D32" i="158"/>
  <c r="E32" i="158"/>
  <c r="F32" i="158"/>
  <c r="G32" i="158"/>
  <c r="I32" i="158" s="1"/>
  <c r="H32" i="158"/>
  <c r="E41" i="157"/>
  <c r="E43" i="157"/>
  <c r="E47" i="157"/>
  <c r="E46" i="157"/>
  <c r="L19" i="157" s="1"/>
  <c r="E45" i="157"/>
  <c r="E44" i="157"/>
  <c r="L17" i="157" s="1"/>
  <c r="B39" i="157"/>
  <c r="C39" i="157"/>
  <c r="D39" i="157"/>
  <c r="E39" i="157"/>
  <c r="B40" i="157"/>
  <c r="C40" i="157"/>
  <c r="D40" i="157"/>
  <c r="E40" i="157"/>
  <c r="B41" i="157"/>
  <c r="C41" i="157"/>
  <c r="D41" i="157"/>
  <c r="L16" i="157"/>
  <c r="B42" i="157"/>
  <c r="C42" i="157"/>
  <c r="D42" i="157"/>
  <c r="E42" i="157"/>
  <c r="B43" i="157"/>
  <c r="C43" i="157"/>
  <c r="D43" i="157"/>
  <c r="B44" i="157"/>
  <c r="C44" i="157"/>
  <c r="D44" i="157"/>
  <c r="B45" i="157"/>
  <c r="C45" i="157"/>
  <c r="D45" i="157"/>
  <c r="M13" i="157"/>
  <c r="B46" i="157"/>
  <c r="C46" i="157"/>
  <c r="D46" i="157"/>
  <c r="B47" i="157"/>
  <c r="C47" i="157"/>
  <c r="D47" i="157"/>
  <c r="B34" i="157"/>
  <c r="D34" i="157"/>
  <c r="E34" i="157"/>
  <c r="F34" i="157"/>
  <c r="H34" i="157"/>
  <c r="I34" i="157"/>
  <c r="B6" i="157"/>
  <c r="C6" i="157"/>
  <c r="C34" i="157" s="1"/>
  <c r="D6" i="157" a="1"/>
  <c r="D6" i="157"/>
  <c r="E6" i="157" a="1"/>
  <c r="E6" i="157"/>
  <c r="F6" i="157"/>
  <c r="G6" i="157"/>
  <c r="H6" i="157" a="1"/>
  <c r="H6" i="157"/>
  <c r="I6" i="157" a="1"/>
  <c r="I6" i="157"/>
  <c r="J6" i="157"/>
  <c r="J34" i="157" s="1"/>
  <c r="K6" i="157"/>
  <c r="K34" i="157" s="1"/>
  <c r="L6" i="157"/>
  <c r="M6" i="157"/>
  <c r="B7" i="157"/>
  <c r="C7" i="157"/>
  <c r="D7" i="157" a="1"/>
  <c r="D7" i="157"/>
  <c r="E7" i="157" a="1"/>
  <c r="E7" i="157"/>
  <c r="F7" i="157"/>
  <c r="G7" i="157"/>
  <c r="H7" i="157" a="1"/>
  <c r="H7" i="157"/>
  <c r="I7" i="157" a="1"/>
  <c r="I7" i="157"/>
  <c r="J7" i="157"/>
  <c r="K7" i="157"/>
  <c r="L7" i="157"/>
  <c r="M7" i="157"/>
  <c r="B8" i="157"/>
  <c r="C8" i="157"/>
  <c r="D8" i="157" a="1"/>
  <c r="D8" i="157"/>
  <c r="E8" i="157" a="1"/>
  <c r="E8" i="157"/>
  <c r="F8" i="157"/>
  <c r="G8" i="157"/>
  <c r="G34" i="157" s="1"/>
  <c r="H8" i="157" a="1"/>
  <c r="H8" i="157"/>
  <c r="I8" i="157" a="1"/>
  <c r="I8" i="157"/>
  <c r="J8" i="157"/>
  <c r="K8" i="157"/>
  <c r="L8" i="157"/>
  <c r="M8" i="157"/>
  <c r="B9" i="157"/>
  <c r="C9" i="157"/>
  <c r="D9" i="157" a="1"/>
  <c r="D9" i="157"/>
  <c r="E9" i="157" a="1"/>
  <c r="E9" i="157"/>
  <c r="F9" i="157"/>
  <c r="G9" i="157"/>
  <c r="H9" i="157" a="1"/>
  <c r="H9" i="157"/>
  <c r="I9" i="157" a="1"/>
  <c r="I9" i="157"/>
  <c r="J9" i="157"/>
  <c r="K9" i="157"/>
  <c r="L9" i="157"/>
  <c r="M9" i="157"/>
  <c r="B10" i="157"/>
  <c r="C10" i="157"/>
  <c r="D10" i="157" a="1"/>
  <c r="D10" i="157"/>
  <c r="E10" i="157" a="1"/>
  <c r="E10" i="157"/>
  <c r="F10" i="157"/>
  <c r="G10" i="157"/>
  <c r="H10" i="157" a="1"/>
  <c r="H10" i="157"/>
  <c r="I10" i="157" a="1"/>
  <c r="I10" i="157"/>
  <c r="J10" i="157"/>
  <c r="K10" i="157"/>
  <c r="L10" i="157"/>
  <c r="M10" i="157"/>
  <c r="B11" i="157"/>
  <c r="C11" i="157"/>
  <c r="D11" i="157" a="1"/>
  <c r="D11" i="157"/>
  <c r="E11" i="157" a="1"/>
  <c r="E11" i="157"/>
  <c r="F11" i="157"/>
  <c r="G11" i="157"/>
  <c r="H11" i="157" a="1"/>
  <c r="H11" i="157"/>
  <c r="I11" i="157" a="1"/>
  <c r="I11" i="157"/>
  <c r="J11" i="157"/>
  <c r="K11" i="157"/>
  <c r="L11" i="157"/>
  <c r="M11" i="157"/>
  <c r="B12" i="157"/>
  <c r="C12" i="157"/>
  <c r="D12" i="157" a="1"/>
  <c r="D12" i="157"/>
  <c r="E12" i="157" a="1"/>
  <c r="E12" i="157"/>
  <c r="F12" i="157"/>
  <c r="G12" i="157"/>
  <c r="H12" i="157" a="1"/>
  <c r="H12" i="157"/>
  <c r="I12" i="157" a="1"/>
  <c r="I12" i="157"/>
  <c r="J12" i="157"/>
  <c r="K12" i="157"/>
  <c r="L12" i="157"/>
  <c r="M12" i="157"/>
  <c r="B13" i="157"/>
  <c r="C13" i="157"/>
  <c r="D13" i="157" a="1"/>
  <c r="D13" i="157"/>
  <c r="E13" i="157" a="1"/>
  <c r="E13" i="157"/>
  <c r="F13" i="157"/>
  <c r="G13" i="157"/>
  <c r="H13" i="157" a="1"/>
  <c r="H13" i="157"/>
  <c r="I13" i="157" a="1"/>
  <c r="I13" i="157"/>
  <c r="J13" i="157"/>
  <c r="K13" i="157"/>
  <c r="L13" i="157"/>
  <c r="B14" i="157"/>
  <c r="C14" i="157"/>
  <c r="D14" i="157" a="1"/>
  <c r="D14" i="157"/>
  <c r="E14" i="157" a="1"/>
  <c r="E14" i="157"/>
  <c r="F14" i="157"/>
  <c r="G14" i="157"/>
  <c r="H14" i="157" a="1"/>
  <c r="H14" i="157"/>
  <c r="I14" i="157" a="1"/>
  <c r="I14" i="157"/>
  <c r="J14" i="157"/>
  <c r="K14" i="157"/>
  <c r="L14" i="157"/>
  <c r="M14" i="157"/>
  <c r="B15" i="157"/>
  <c r="C15" i="157"/>
  <c r="D15" i="157" a="1"/>
  <c r="D15" i="157"/>
  <c r="E15" i="157" a="1"/>
  <c r="E15" i="157"/>
  <c r="F15" i="157"/>
  <c r="G15" i="157"/>
  <c r="H15" i="157" a="1"/>
  <c r="H15" i="157"/>
  <c r="I15" i="157" a="1"/>
  <c r="I15" i="157"/>
  <c r="J15" i="157"/>
  <c r="K15" i="157"/>
  <c r="L15" i="157"/>
  <c r="B16" i="157"/>
  <c r="C16" i="157"/>
  <c r="D16" i="157" a="1"/>
  <c r="D16" i="157"/>
  <c r="E16" i="157" a="1"/>
  <c r="E16" i="157"/>
  <c r="F16" i="157"/>
  <c r="G16" i="157"/>
  <c r="H16" i="157" a="1"/>
  <c r="H16" i="157"/>
  <c r="I16" i="157" a="1"/>
  <c r="I16" i="157"/>
  <c r="J16" i="157"/>
  <c r="K16" i="157"/>
  <c r="B17" i="157"/>
  <c r="C17" i="157"/>
  <c r="D17" i="157" a="1"/>
  <c r="D17" i="157"/>
  <c r="E17" i="157" a="1"/>
  <c r="E17" i="157"/>
  <c r="F17" i="157"/>
  <c r="G17" i="157"/>
  <c r="H17" i="157" a="1"/>
  <c r="H17" i="157"/>
  <c r="I17" i="157" a="1"/>
  <c r="I17" i="157"/>
  <c r="J17" i="157"/>
  <c r="K17" i="157"/>
  <c r="M17" i="157"/>
  <c r="B18" i="157"/>
  <c r="C18" i="157"/>
  <c r="D18" i="157" a="1"/>
  <c r="D18" i="157"/>
  <c r="E18" i="157" a="1"/>
  <c r="E18" i="157"/>
  <c r="F18" i="157"/>
  <c r="G18" i="157"/>
  <c r="H18" i="157" a="1"/>
  <c r="H18" i="157"/>
  <c r="I18" i="157" a="1"/>
  <c r="I18" i="157"/>
  <c r="J18" i="157"/>
  <c r="K18" i="157"/>
  <c r="L18" i="157"/>
  <c r="M18" i="157"/>
  <c r="B19" i="157"/>
  <c r="C19" i="157"/>
  <c r="D19" i="157" a="1"/>
  <c r="D19" i="157"/>
  <c r="E19" i="157" a="1"/>
  <c r="E19" i="157"/>
  <c r="F19" i="157"/>
  <c r="G19" i="157"/>
  <c r="H19" i="157" a="1"/>
  <c r="H19" i="157"/>
  <c r="I19" i="157" a="1"/>
  <c r="I19" i="157"/>
  <c r="J19" i="157"/>
  <c r="K19" i="157"/>
  <c r="M19" i="157"/>
  <c r="B20" i="157"/>
  <c r="C20" i="157"/>
  <c r="D20" i="157" a="1"/>
  <c r="D20" i="157"/>
  <c r="E20" i="157" a="1"/>
  <c r="E20" i="157"/>
  <c r="F20" i="157"/>
  <c r="G20" i="157"/>
  <c r="H20" i="157" a="1"/>
  <c r="H20" i="157"/>
  <c r="I20" i="157" a="1"/>
  <c r="I20" i="157"/>
  <c r="J20" i="157"/>
  <c r="K20" i="157"/>
  <c r="L20" i="157"/>
  <c r="M20" i="157"/>
  <c r="B21" i="157"/>
  <c r="C21" i="157"/>
  <c r="D21" i="157" a="1"/>
  <c r="D21" i="157"/>
  <c r="E21" i="157" a="1"/>
  <c r="E21" i="157"/>
  <c r="F21" i="157"/>
  <c r="G21" i="157"/>
  <c r="H21" i="157" a="1"/>
  <c r="H21" i="157"/>
  <c r="I21" i="157" a="1"/>
  <c r="I21" i="157"/>
  <c r="J21" i="157"/>
  <c r="K21" i="157"/>
  <c r="L21" i="157"/>
  <c r="M21" i="157"/>
  <c r="B22" i="157"/>
  <c r="C22" i="157"/>
  <c r="D22" i="157" a="1"/>
  <c r="D22" i="157"/>
  <c r="E22" i="157" a="1"/>
  <c r="E22" i="157"/>
  <c r="F22" i="157"/>
  <c r="G22" i="157"/>
  <c r="H22" i="157" a="1"/>
  <c r="H22" i="157"/>
  <c r="I22" i="157" a="1"/>
  <c r="I22" i="157"/>
  <c r="J22" i="157"/>
  <c r="K22" i="157"/>
  <c r="L22" i="157"/>
  <c r="M22" i="157"/>
  <c r="B23" i="157"/>
  <c r="C23" i="157"/>
  <c r="D23" i="157" a="1"/>
  <c r="D23" i="157"/>
  <c r="E23" i="157" a="1"/>
  <c r="E23" i="157"/>
  <c r="F23" i="157"/>
  <c r="G23" i="157"/>
  <c r="H23" i="157" a="1"/>
  <c r="H23" i="157"/>
  <c r="I23" i="157" a="1"/>
  <c r="I23" i="157"/>
  <c r="J23" i="157"/>
  <c r="K23" i="157"/>
  <c r="L23" i="157"/>
  <c r="M23" i="157"/>
  <c r="B24" i="157"/>
  <c r="C24" i="157"/>
  <c r="D24" i="157" a="1"/>
  <c r="D24" i="157"/>
  <c r="E24" i="157" a="1"/>
  <c r="E24" i="157"/>
  <c r="F24" i="157"/>
  <c r="G24" i="157"/>
  <c r="H24" i="157" a="1"/>
  <c r="H24" i="157"/>
  <c r="I24" i="157" a="1"/>
  <c r="I24" i="157"/>
  <c r="J24" i="157"/>
  <c r="K24" i="157"/>
  <c r="M24" i="157"/>
  <c r="B25" i="157"/>
  <c r="C25" i="157"/>
  <c r="D25" i="157" a="1"/>
  <c r="D25" i="157"/>
  <c r="E25" i="157" a="1"/>
  <c r="E25" i="157"/>
  <c r="F25" i="157"/>
  <c r="G25" i="157"/>
  <c r="H25" i="157" a="1"/>
  <c r="H25" i="157"/>
  <c r="I25" i="157" a="1"/>
  <c r="I25" i="157"/>
  <c r="J25" i="157"/>
  <c r="K25" i="157"/>
  <c r="L25" i="157"/>
  <c r="M25" i="157"/>
  <c r="B26" i="157"/>
  <c r="C26" i="157"/>
  <c r="D26" i="157" a="1"/>
  <c r="D26" i="157"/>
  <c r="E26" i="157" a="1"/>
  <c r="E26" i="157"/>
  <c r="F26" i="157"/>
  <c r="G26" i="157"/>
  <c r="H26" i="157" a="1"/>
  <c r="H26" i="157"/>
  <c r="I26" i="157" a="1"/>
  <c r="I26" i="157"/>
  <c r="J26" i="157"/>
  <c r="K26" i="157"/>
  <c r="L26" i="157"/>
  <c r="M26" i="157"/>
  <c r="B27" i="157"/>
  <c r="C27" i="157"/>
  <c r="D27" i="157" a="1"/>
  <c r="D27" i="157"/>
  <c r="E27" i="157" a="1"/>
  <c r="E27" i="157"/>
  <c r="F27" i="157"/>
  <c r="G27" i="157"/>
  <c r="H27" i="157" a="1"/>
  <c r="H27" i="157"/>
  <c r="I27" i="157" a="1"/>
  <c r="I27" i="157"/>
  <c r="J27" i="157"/>
  <c r="K27" i="157"/>
  <c r="L27" i="157"/>
  <c r="M27" i="157"/>
  <c r="B28" i="157"/>
  <c r="C28" i="157"/>
  <c r="D28" i="157" a="1"/>
  <c r="D28" i="157"/>
  <c r="E28" i="157" a="1"/>
  <c r="E28" i="157"/>
  <c r="F28" i="157"/>
  <c r="G28" i="157"/>
  <c r="H28" i="157" a="1"/>
  <c r="H28" i="157"/>
  <c r="I28" i="157" a="1"/>
  <c r="I28" i="157"/>
  <c r="J28" i="157"/>
  <c r="K28" i="157"/>
  <c r="L28" i="157"/>
  <c r="M28" i="157"/>
  <c r="B29" i="157"/>
  <c r="C29" i="157"/>
  <c r="D29" i="157" a="1"/>
  <c r="D29" i="157"/>
  <c r="E29" i="157" a="1"/>
  <c r="E29" i="157"/>
  <c r="F29" i="157"/>
  <c r="G29" i="157"/>
  <c r="H29" i="157" a="1"/>
  <c r="H29" i="157"/>
  <c r="I29" i="157" a="1"/>
  <c r="I29" i="157"/>
  <c r="J29" i="157"/>
  <c r="K29" i="157"/>
  <c r="L29" i="157"/>
  <c r="M29" i="157"/>
  <c r="B30" i="157"/>
  <c r="C30" i="157"/>
  <c r="D30" i="157" a="1"/>
  <c r="D30" i="157"/>
  <c r="E30" i="157" a="1"/>
  <c r="E30" i="157"/>
  <c r="F30" i="157"/>
  <c r="G30" i="157"/>
  <c r="H30" i="157" a="1"/>
  <c r="H30" i="157"/>
  <c r="I30" i="157" a="1"/>
  <c r="I30" i="157"/>
  <c r="J30" i="157"/>
  <c r="K30" i="157"/>
  <c r="L30" i="157"/>
  <c r="M30" i="157"/>
  <c r="B31" i="157"/>
  <c r="C31" i="157"/>
  <c r="D31" i="157" a="1"/>
  <c r="D31" i="157"/>
  <c r="E31" i="157" a="1"/>
  <c r="E31" i="157"/>
  <c r="F31" i="157"/>
  <c r="G31" i="157"/>
  <c r="H31" i="157" a="1"/>
  <c r="H31" i="157"/>
  <c r="I31" i="157" a="1"/>
  <c r="I31" i="157"/>
  <c r="J31" i="157"/>
  <c r="K31" i="157"/>
  <c r="L31" i="157"/>
  <c r="M31" i="157"/>
  <c r="B32" i="157"/>
  <c r="C32" i="157"/>
  <c r="D32" i="157" a="1"/>
  <c r="D32" i="157"/>
  <c r="E32" i="157" a="1"/>
  <c r="E32" i="157"/>
  <c r="F32" i="157"/>
  <c r="G32" i="157"/>
  <c r="H32" i="157" a="1"/>
  <c r="H32" i="157"/>
  <c r="I32" i="157" a="1"/>
  <c r="I32" i="157"/>
  <c r="J32" i="157"/>
  <c r="K32" i="157"/>
  <c r="L32" i="157"/>
  <c r="M32" i="157"/>
  <c r="B33" i="157"/>
  <c r="C33" i="157"/>
  <c r="D33" i="157" a="1"/>
  <c r="D33" i="157"/>
  <c r="E33" i="157" a="1"/>
  <c r="E33" i="157"/>
  <c r="F33" i="157"/>
  <c r="G33" i="157"/>
  <c r="H33" i="157" a="1"/>
  <c r="H33" i="157"/>
  <c r="I33" i="157" a="1"/>
  <c r="I33" i="157"/>
  <c r="J33" i="157"/>
  <c r="K33" i="157"/>
  <c r="L33" i="157"/>
  <c r="M33" i="157"/>
  <c r="I26" i="161" l="1"/>
  <c r="D26" i="161" s="1"/>
  <c r="E26" i="161" s="1"/>
  <c r="E26" i="162"/>
  <c r="F26" i="162" s="1"/>
  <c r="H26" i="162" s="1"/>
  <c r="J26" i="162" s="1"/>
  <c r="I19" i="161"/>
  <c r="D19" i="161" s="1"/>
  <c r="E19" i="161" s="1"/>
  <c r="G19" i="161" s="1"/>
  <c r="J19" i="161" s="1"/>
  <c r="I25" i="161"/>
  <c r="D25" i="161" s="1"/>
  <c r="I24" i="161"/>
  <c r="D24" i="161" s="1"/>
  <c r="E24" i="162" s="1"/>
  <c r="F24" i="162" s="1"/>
  <c r="H24" i="162" s="1"/>
  <c r="J24" i="162" s="1"/>
  <c r="I23" i="161"/>
  <c r="D23" i="161" s="1"/>
  <c r="E23" i="161" s="1"/>
  <c r="I22" i="161"/>
  <c r="D22" i="161" s="1"/>
  <c r="I21" i="161"/>
  <c r="D21" i="161" s="1"/>
  <c r="I20" i="161"/>
  <c r="D20" i="161" s="1"/>
  <c r="E20" i="161" s="1"/>
  <c r="I18" i="161"/>
  <c r="D18" i="161" s="1"/>
  <c r="E18" i="161" s="1"/>
  <c r="G18" i="161" s="1"/>
  <c r="J18" i="161" s="1"/>
  <c r="I17" i="161"/>
  <c r="D17" i="161" s="1"/>
  <c r="I16" i="161"/>
  <c r="D16" i="161" s="1"/>
  <c r="E16" i="161" s="1"/>
  <c r="G16" i="161" s="1"/>
  <c r="J16" i="161" s="1"/>
  <c r="I15" i="161"/>
  <c r="D15" i="161" s="1"/>
  <c r="I14" i="161"/>
  <c r="D14" i="161" s="1"/>
  <c r="I13" i="161"/>
  <c r="D13" i="161" s="1"/>
  <c r="E13" i="161" s="1"/>
  <c r="G13" i="161" s="1"/>
  <c r="J13" i="161" s="1"/>
  <c r="I12" i="161"/>
  <c r="D12" i="161" s="1"/>
  <c r="E12" i="161" s="1"/>
  <c r="I10" i="161"/>
  <c r="D10" i="161" s="1"/>
  <c r="E10" i="163" s="1"/>
  <c r="F10" i="163" s="1"/>
  <c r="H10" i="163" s="1"/>
  <c r="J10" i="163" s="1"/>
  <c r="I9" i="161"/>
  <c r="D9" i="161" s="1"/>
  <c r="I8" i="161"/>
  <c r="D8" i="161" s="1"/>
  <c r="I7" i="161"/>
  <c r="D7" i="161" s="1"/>
  <c r="I6" i="161"/>
  <c r="D6" i="161" s="1"/>
  <c r="E6" i="161" s="1"/>
  <c r="I5" i="161"/>
  <c r="D5" i="161" s="1"/>
  <c r="E5" i="163" s="1"/>
  <c r="F5" i="163" s="1"/>
  <c r="H5" i="163" s="1"/>
  <c r="J5" i="163" s="1"/>
  <c r="I4" i="161"/>
  <c r="D4" i="161" s="1"/>
  <c r="I11" i="161"/>
  <c r="D11" i="161" s="1"/>
  <c r="C27" i="163"/>
  <c r="G23" i="163"/>
  <c r="G5" i="163"/>
  <c r="G10" i="163"/>
  <c r="G19" i="163"/>
  <c r="G17" i="163"/>
  <c r="C27" i="162"/>
  <c r="G15" i="162"/>
  <c r="G17" i="162"/>
  <c r="G16" i="162"/>
  <c r="G9" i="162"/>
  <c r="G22" i="162"/>
  <c r="G23" i="162"/>
  <c r="G7" i="163"/>
  <c r="G21" i="163"/>
  <c r="G16" i="163"/>
  <c r="G18" i="163"/>
  <c r="G4" i="163"/>
  <c r="G11" i="163"/>
  <c r="G13" i="163"/>
  <c r="G11" i="162"/>
  <c r="G26" i="162"/>
  <c r="G21" i="162"/>
  <c r="G12" i="162"/>
  <c r="G7" i="162"/>
  <c r="G18" i="162"/>
  <c r="G25" i="162"/>
  <c r="G4" i="162"/>
  <c r="G27" i="162" s="1"/>
  <c r="G8" i="162"/>
  <c r="F10" i="161"/>
  <c r="F7" i="161"/>
  <c r="B26" i="161"/>
  <c r="F4" i="161"/>
  <c r="B15" i="161"/>
  <c r="F24" i="161"/>
  <c r="F18" i="161"/>
  <c r="F21" i="161"/>
  <c r="F16" i="161"/>
  <c r="B11" i="161"/>
  <c r="F13" i="161"/>
  <c r="L9" i="161"/>
  <c r="B9" i="161" s="1"/>
  <c r="K20" i="161"/>
  <c r="B20" i="161" s="1"/>
  <c r="K17" i="161"/>
  <c r="B17" i="161" s="1"/>
  <c r="L11" i="161"/>
  <c r="L12" i="161"/>
  <c r="B12" i="161" s="1"/>
  <c r="K6" i="161"/>
  <c r="B6" i="161" s="1"/>
  <c r="L14" i="161"/>
  <c r="B14" i="161" s="1"/>
  <c r="L25" i="161"/>
  <c r="B25" i="161" s="1"/>
  <c r="L22" i="161"/>
  <c r="B22" i="161" s="1"/>
  <c r="L8" i="161"/>
  <c r="B8" i="161" s="1"/>
  <c r="L15" i="161"/>
  <c r="L26" i="161"/>
  <c r="L5" i="161"/>
  <c r="B5" i="161" s="1"/>
  <c r="K23" i="161"/>
  <c r="B23" i="161" s="1"/>
  <c r="P10" i="158"/>
  <c r="P24" i="158"/>
  <c r="K29" i="158"/>
  <c r="K9" i="158"/>
  <c r="K13" i="158"/>
  <c r="K11" i="158"/>
  <c r="E15" i="158"/>
  <c r="K15" i="158" s="1"/>
  <c r="K32" i="158"/>
  <c r="K19" i="158"/>
  <c r="K30" i="158"/>
  <c r="K10" i="158"/>
  <c r="I7" i="158"/>
  <c r="K7" i="158" s="1"/>
  <c r="K28" i="158"/>
  <c r="K25" i="158"/>
  <c r="E14" i="158"/>
  <c r="K14" i="158" s="1"/>
  <c r="I20" i="158"/>
  <c r="K20" i="158" s="1"/>
  <c r="J13" i="158"/>
  <c r="J27" i="158"/>
  <c r="J32" i="158"/>
  <c r="E21" i="158"/>
  <c r="K21" i="158" s="1"/>
  <c r="J18" i="158"/>
  <c r="E26" i="158"/>
  <c r="K26" i="158" s="1"/>
  <c r="E12" i="158"/>
  <c r="K12" i="158" s="1"/>
  <c r="J14" i="158"/>
  <c r="J28" i="158"/>
  <c r="E22" i="158"/>
  <c r="K22" i="158" s="1"/>
  <c r="J19" i="158"/>
  <c r="E8" i="158"/>
  <c r="K8" i="158" s="1"/>
  <c r="L24" i="157"/>
  <c r="M16" i="157"/>
  <c r="M15" i="157"/>
  <c r="E19" i="162" l="1"/>
  <c r="F19" i="162" s="1"/>
  <c r="H19" i="162" s="1"/>
  <c r="J19" i="162" s="1"/>
  <c r="E19" i="163"/>
  <c r="F19" i="163" s="1"/>
  <c r="H19" i="163" s="1"/>
  <c r="J19" i="163" s="1"/>
  <c r="E24" i="163"/>
  <c r="F24" i="163" s="1"/>
  <c r="H24" i="163" s="1"/>
  <c r="J24" i="163" s="1"/>
  <c r="E26" i="163"/>
  <c r="F26" i="163" s="1"/>
  <c r="H26" i="163" s="1"/>
  <c r="J26" i="163" s="1"/>
  <c r="E16" i="162"/>
  <c r="F16" i="162" s="1"/>
  <c r="H16" i="162" s="1"/>
  <c r="J16" i="162" s="1"/>
  <c r="E16" i="163"/>
  <c r="F16" i="163" s="1"/>
  <c r="H16" i="163" s="1"/>
  <c r="J16" i="163" s="1"/>
  <c r="E12" i="162"/>
  <c r="F12" i="162" s="1"/>
  <c r="H12" i="162" s="1"/>
  <c r="J12" i="162" s="1"/>
  <c r="E10" i="161"/>
  <c r="G10" i="161" s="1"/>
  <c r="J10" i="161" s="1"/>
  <c r="E5" i="162"/>
  <c r="F5" i="162" s="1"/>
  <c r="H5" i="162" s="1"/>
  <c r="J5" i="162" s="1"/>
  <c r="E5" i="161"/>
  <c r="G5" i="161" s="1"/>
  <c r="J5" i="161" s="1"/>
  <c r="E25" i="161"/>
  <c r="G25" i="161" s="1"/>
  <c r="J25" i="161" s="1"/>
  <c r="E25" i="162"/>
  <c r="F25" i="162" s="1"/>
  <c r="H25" i="162" s="1"/>
  <c r="J25" i="162" s="1"/>
  <c r="E25" i="163"/>
  <c r="F25" i="163" s="1"/>
  <c r="H25" i="163" s="1"/>
  <c r="J25" i="163" s="1"/>
  <c r="E24" i="161"/>
  <c r="G24" i="161" s="1"/>
  <c r="J24" i="161" s="1"/>
  <c r="E23" i="163"/>
  <c r="F23" i="163" s="1"/>
  <c r="H23" i="163" s="1"/>
  <c r="J23" i="163" s="1"/>
  <c r="E23" i="162"/>
  <c r="F23" i="162" s="1"/>
  <c r="H23" i="162" s="1"/>
  <c r="J23" i="162" s="1"/>
  <c r="E22" i="161"/>
  <c r="G22" i="161" s="1"/>
  <c r="J22" i="161" s="1"/>
  <c r="E22" i="162"/>
  <c r="F22" i="162" s="1"/>
  <c r="H22" i="162" s="1"/>
  <c r="J22" i="162" s="1"/>
  <c r="E22" i="163"/>
  <c r="F22" i="163" s="1"/>
  <c r="H22" i="163" s="1"/>
  <c r="J22" i="163" s="1"/>
  <c r="E21" i="161"/>
  <c r="G21" i="161" s="1"/>
  <c r="J21" i="161" s="1"/>
  <c r="E21" i="162"/>
  <c r="F21" i="162" s="1"/>
  <c r="H21" i="162" s="1"/>
  <c r="J21" i="162" s="1"/>
  <c r="E21" i="163"/>
  <c r="F21" i="163" s="1"/>
  <c r="H21" i="163" s="1"/>
  <c r="J21" i="163" s="1"/>
  <c r="E20" i="163"/>
  <c r="F20" i="163" s="1"/>
  <c r="H20" i="163" s="1"/>
  <c r="J20" i="163" s="1"/>
  <c r="E20" i="162"/>
  <c r="F20" i="162" s="1"/>
  <c r="H20" i="162" s="1"/>
  <c r="J20" i="162" s="1"/>
  <c r="E18" i="163"/>
  <c r="F18" i="163" s="1"/>
  <c r="H18" i="163" s="1"/>
  <c r="J18" i="163" s="1"/>
  <c r="E18" i="162"/>
  <c r="F18" i="162" s="1"/>
  <c r="H18" i="162" s="1"/>
  <c r="J18" i="162" s="1"/>
  <c r="E17" i="161"/>
  <c r="G17" i="161" s="1"/>
  <c r="J17" i="161" s="1"/>
  <c r="E17" i="162"/>
  <c r="F17" i="162" s="1"/>
  <c r="H17" i="162" s="1"/>
  <c r="J17" i="162" s="1"/>
  <c r="E17" i="163"/>
  <c r="F17" i="163" s="1"/>
  <c r="H17" i="163" s="1"/>
  <c r="J17" i="163" s="1"/>
  <c r="E15" i="162"/>
  <c r="F15" i="162" s="1"/>
  <c r="H15" i="162" s="1"/>
  <c r="J15" i="162" s="1"/>
  <c r="E15" i="163"/>
  <c r="F15" i="163" s="1"/>
  <c r="H15" i="163" s="1"/>
  <c r="J15" i="163" s="1"/>
  <c r="E15" i="161"/>
  <c r="G15" i="161" s="1"/>
  <c r="J15" i="161" s="1"/>
  <c r="E14" i="161"/>
  <c r="G14" i="161" s="1"/>
  <c r="J14" i="161" s="1"/>
  <c r="E14" i="163"/>
  <c r="F14" i="163" s="1"/>
  <c r="H14" i="163" s="1"/>
  <c r="J14" i="163" s="1"/>
  <c r="E14" i="162"/>
  <c r="F14" i="162" s="1"/>
  <c r="H14" i="162" s="1"/>
  <c r="J14" i="162" s="1"/>
  <c r="E13" i="163"/>
  <c r="F13" i="163" s="1"/>
  <c r="H13" i="163" s="1"/>
  <c r="J13" i="163" s="1"/>
  <c r="E13" i="162"/>
  <c r="F13" i="162" s="1"/>
  <c r="H13" i="162" s="1"/>
  <c r="J13" i="162" s="1"/>
  <c r="E12" i="163"/>
  <c r="F12" i="163" s="1"/>
  <c r="H12" i="163" s="1"/>
  <c r="J12" i="163" s="1"/>
  <c r="E10" i="162"/>
  <c r="F10" i="162" s="1"/>
  <c r="H10" i="162" s="1"/>
  <c r="J10" i="162" s="1"/>
  <c r="E9" i="162"/>
  <c r="F9" i="162" s="1"/>
  <c r="H9" i="162" s="1"/>
  <c r="J9" i="162" s="1"/>
  <c r="E9" i="163"/>
  <c r="F9" i="163" s="1"/>
  <c r="H9" i="163" s="1"/>
  <c r="J9" i="163" s="1"/>
  <c r="E9" i="161"/>
  <c r="G9" i="161" s="1"/>
  <c r="J9" i="161" s="1"/>
  <c r="E8" i="161"/>
  <c r="G8" i="161" s="1"/>
  <c r="J8" i="161" s="1"/>
  <c r="E8" i="163"/>
  <c r="F8" i="163" s="1"/>
  <c r="H8" i="163" s="1"/>
  <c r="J8" i="163" s="1"/>
  <c r="E8" i="162"/>
  <c r="F8" i="162" s="1"/>
  <c r="H8" i="162" s="1"/>
  <c r="J8" i="162" s="1"/>
  <c r="E7" i="161"/>
  <c r="G7" i="161" s="1"/>
  <c r="J7" i="161" s="1"/>
  <c r="E7" i="163"/>
  <c r="F7" i="163" s="1"/>
  <c r="H7" i="163" s="1"/>
  <c r="J7" i="163" s="1"/>
  <c r="E7" i="162"/>
  <c r="F7" i="162" s="1"/>
  <c r="H7" i="162" s="1"/>
  <c r="J7" i="162" s="1"/>
  <c r="E6" i="163"/>
  <c r="F6" i="163" s="1"/>
  <c r="H6" i="163" s="1"/>
  <c r="J6" i="163" s="1"/>
  <c r="E6" i="162"/>
  <c r="F6" i="162" s="1"/>
  <c r="H6" i="162" s="1"/>
  <c r="J6" i="162" s="1"/>
  <c r="E4" i="161"/>
  <c r="G4" i="161" s="1"/>
  <c r="J4" i="161" s="1"/>
  <c r="E4" i="163"/>
  <c r="F4" i="163" s="1"/>
  <c r="H4" i="163" s="1"/>
  <c r="J4" i="163" s="1"/>
  <c r="E4" i="162"/>
  <c r="F4" i="162" s="1"/>
  <c r="H4" i="162" s="1"/>
  <c r="J4" i="162" s="1"/>
  <c r="E11" i="161"/>
  <c r="G11" i="161" s="1"/>
  <c r="E11" i="162"/>
  <c r="F11" i="162" s="1"/>
  <c r="H11" i="162" s="1"/>
  <c r="J11" i="162" s="1"/>
  <c r="E11" i="163"/>
  <c r="F11" i="163" s="1"/>
  <c r="H11" i="163" s="1"/>
  <c r="J11" i="163" s="1"/>
  <c r="G27" i="163"/>
  <c r="F5" i="161"/>
  <c r="F8" i="161"/>
  <c r="F22" i="161"/>
  <c r="F25" i="161"/>
  <c r="F12" i="161"/>
  <c r="G12" i="161"/>
  <c r="J12" i="161" s="1"/>
  <c r="F9" i="161"/>
  <c r="F14" i="161"/>
  <c r="F20" i="161"/>
  <c r="G20" i="161"/>
  <c r="J20" i="161" s="1"/>
  <c r="F15" i="161"/>
  <c r="F6" i="161"/>
  <c r="G6" i="161"/>
  <c r="J6" i="161" s="1"/>
  <c r="F17" i="161"/>
  <c r="F26" i="161"/>
  <c r="G26" i="161"/>
  <c r="J26" i="161" s="1"/>
  <c r="F11" i="161"/>
  <c r="F23" i="161"/>
  <c r="G23" i="161"/>
  <c r="J23" i="161" s="1"/>
  <c r="C60" i="16"/>
  <c r="D60" i="16"/>
  <c r="B58" i="16"/>
  <c r="C58" i="16"/>
  <c r="D58" i="16"/>
  <c r="B59" i="16"/>
  <c r="C59" i="16"/>
  <c r="D59" i="16"/>
  <c r="J27" i="163" l="1"/>
  <c r="H27" i="162"/>
  <c r="J27" i="162"/>
  <c r="H27" i="163"/>
  <c r="J11" i="161"/>
  <c r="J27" i="161" s="1"/>
  <c r="G27" i="161"/>
  <c r="Q56" i="156"/>
  <c r="Q57" i="156"/>
  <c r="Q58" i="156"/>
  <c r="Q59" i="156"/>
  <c r="Q60" i="156"/>
  <c r="Q61" i="156"/>
  <c r="Q62" i="156"/>
  <c r="Q63" i="156"/>
  <c r="Q64" i="156"/>
  <c r="Q65" i="156"/>
  <c r="Q66" i="156"/>
  <c r="Q67" i="156"/>
  <c r="Q68" i="156"/>
  <c r="Q69" i="156"/>
  <c r="Q70" i="156"/>
  <c r="Q71" i="156"/>
  <c r="Q72" i="156"/>
  <c r="Q73" i="156"/>
  <c r="Q74" i="156"/>
  <c r="Q75" i="156"/>
  <c r="Q76" i="156"/>
  <c r="Q77" i="156"/>
  <c r="Q78" i="156"/>
  <c r="Q79" i="156"/>
  <c r="Q80" i="156"/>
  <c r="Q81" i="156"/>
  <c r="Q82" i="156"/>
  <c r="Q83" i="156"/>
  <c r="Q84" i="156"/>
  <c r="Q85" i="156"/>
  <c r="Q86" i="156"/>
  <c r="Q87" i="156"/>
  <c r="I88" i="156"/>
  <c r="B56" i="156" a="1"/>
  <c r="B56" i="156" s="1"/>
  <c r="I56" i="156" s="1"/>
  <c r="C56" i="156" a="1"/>
  <c r="C56" i="156" s="1"/>
  <c r="D56" i="156" a="1"/>
  <c r="D56" i="156" s="1"/>
  <c r="E56" i="156" a="1"/>
  <c r="E56" i="156" s="1"/>
  <c r="F56" i="156" a="1"/>
  <c r="F56" i="156" s="1"/>
  <c r="G56" i="156" a="1"/>
  <c r="G56" i="156" s="1"/>
  <c r="H56" i="156" a="1"/>
  <c r="H56" i="156" s="1"/>
  <c r="J56" i="156" a="1"/>
  <c r="J56" i="156" s="1"/>
  <c r="K56" i="156" a="1"/>
  <c r="K56" i="156"/>
  <c r="L56" i="156" a="1"/>
  <c r="L56" i="156"/>
  <c r="M56" i="156" a="1"/>
  <c r="M56" i="156"/>
  <c r="N56" i="156" a="1"/>
  <c r="N56" i="156"/>
  <c r="O56" i="156" a="1"/>
  <c r="O56" i="156"/>
  <c r="P56" i="156" a="1"/>
  <c r="P56" i="156" s="1"/>
  <c r="B57" i="156" a="1"/>
  <c r="B57" i="156" s="1"/>
  <c r="C57" i="156" a="1"/>
  <c r="C57" i="156" s="1"/>
  <c r="D57" i="156" a="1"/>
  <c r="D57" i="156" s="1"/>
  <c r="E57" i="156" a="1"/>
  <c r="E57" i="156" s="1"/>
  <c r="F57" i="156" a="1"/>
  <c r="F57" i="156" s="1"/>
  <c r="G57" i="156" a="1"/>
  <c r="G57" i="156" s="1"/>
  <c r="H57" i="156" a="1"/>
  <c r="H57" i="156" s="1"/>
  <c r="J57" i="156" a="1"/>
  <c r="J57" i="156" s="1"/>
  <c r="K57" i="156" a="1"/>
  <c r="K57" i="156"/>
  <c r="L57" i="156" a="1"/>
  <c r="L57" i="156"/>
  <c r="M57" i="156" a="1"/>
  <c r="M57" i="156"/>
  <c r="N57" i="156" a="1"/>
  <c r="N57" i="156"/>
  <c r="O57" i="156" a="1"/>
  <c r="O57" i="156" s="1"/>
  <c r="P57" i="156" a="1"/>
  <c r="P57" i="156" s="1"/>
  <c r="B58" i="156" a="1"/>
  <c r="B58" i="156" s="1"/>
  <c r="C58" i="156" a="1"/>
  <c r="C58" i="156" s="1"/>
  <c r="D58" i="156" a="1"/>
  <c r="D58" i="156" s="1"/>
  <c r="E58" i="156" a="1"/>
  <c r="E58" i="156" s="1"/>
  <c r="F58" i="156" a="1"/>
  <c r="F58" i="156" s="1"/>
  <c r="G58" i="156" a="1"/>
  <c r="G58" i="156" s="1"/>
  <c r="H58" i="156" a="1"/>
  <c r="H58" i="156" s="1"/>
  <c r="J58" i="156" a="1"/>
  <c r="J58" i="156"/>
  <c r="K58" i="156" a="1"/>
  <c r="K58" i="156"/>
  <c r="L58" i="156" a="1"/>
  <c r="L58" i="156"/>
  <c r="M58" i="156" a="1"/>
  <c r="M58" i="156"/>
  <c r="N58" i="156" a="1"/>
  <c r="N58" i="156" s="1"/>
  <c r="O58" i="156" a="1"/>
  <c r="O58" i="156" s="1"/>
  <c r="P58" i="156" a="1"/>
  <c r="P58" i="156" s="1"/>
  <c r="B59" i="156" a="1"/>
  <c r="B59" i="156" s="1"/>
  <c r="I59" i="156" s="1"/>
  <c r="C59" i="156" a="1"/>
  <c r="C59" i="156" s="1"/>
  <c r="D59" i="156" a="1"/>
  <c r="D59" i="156" s="1"/>
  <c r="E59" i="156" a="1"/>
  <c r="E59" i="156" s="1"/>
  <c r="F59" i="156" a="1"/>
  <c r="F59" i="156" s="1"/>
  <c r="G59" i="156" a="1"/>
  <c r="G59" i="156" s="1"/>
  <c r="H59" i="156" a="1"/>
  <c r="H59" i="156" s="1"/>
  <c r="J59" i="156" a="1"/>
  <c r="J59" i="156"/>
  <c r="K59" i="156" a="1"/>
  <c r="K59" i="156"/>
  <c r="L59" i="156" a="1"/>
  <c r="L59" i="156"/>
  <c r="M59" i="156" a="1"/>
  <c r="M59" i="156" s="1"/>
  <c r="N59" i="156" a="1"/>
  <c r="N59" i="156" s="1"/>
  <c r="O59" i="156" a="1"/>
  <c r="O59" i="156" s="1"/>
  <c r="P59" i="156" a="1"/>
  <c r="P59" i="156" s="1"/>
  <c r="B60" i="156" a="1"/>
  <c r="B60" i="156" s="1"/>
  <c r="C60" i="156" a="1"/>
  <c r="C60" i="156" s="1"/>
  <c r="D60" i="156" a="1"/>
  <c r="D60" i="156" s="1"/>
  <c r="E60" i="156" a="1"/>
  <c r="E60" i="156" s="1"/>
  <c r="F60" i="156" a="1"/>
  <c r="F60" i="156" s="1"/>
  <c r="G60" i="156" a="1"/>
  <c r="G60" i="156" s="1"/>
  <c r="H60" i="156" a="1"/>
  <c r="H60" i="156" s="1"/>
  <c r="J60" i="156" a="1"/>
  <c r="J60" i="156"/>
  <c r="K60" i="156" a="1"/>
  <c r="K60" i="156"/>
  <c r="L60" i="156" a="1"/>
  <c r="L60" i="156" s="1"/>
  <c r="M60" i="156" a="1"/>
  <c r="M60" i="156" s="1"/>
  <c r="N60" i="156" a="1"/>
  <c r="N60" i="156" s="1"/>
  <c r="O60" i="156" a="1"/>
  <c r="O60" i="156"/>
  <c r="P60" i="156" a="1"/>
  <c r="P60" i="156"/>
  <c r="B61" i="156" a="1"/>
  <c r="B61" i="156" s="1"/>
  <c r="C61" i="156" a="1"/>
  <c r="C61" i="156" s="1"/>
  <c r="D61" i="156" a="1"/>
  <c r="D61" i="156" s="1"/>
  <c r="E61" i="156" a="1"/>
  <c r="E61" i="156" s="1"/>
  <c r="F61" i="156" a="1"/>
  <c r="F61" i="156" s="1"/>
  <c r="G61" i="156" a="1"/>
  <c r="G61" i="156" s="1"/>
  <c r="H61" i="156" a="1"/>
  <c r="H61" i="156" s="1"/>
  <c r="J61" i="156" a="1"/>
  <c r="J61" i="156"/>
  <c r="K61" i="156" a="1"/>
  <c r="K61" i="156" s="1"/>
  <c r="L61" i="156" a="1"/>
  <c r="L61" i="156" s="1"/>
  <c r="M61" i="156" a="1"/>
  <c r="M61" i="156"/>
  <c r="N61" i="156" a="1"/>
  <c r="N61" i="156"/>
  <c r="O61" i="156" a="1"/>
  <c r="O61" i="156"/>
  <c r="P61" i="156" a="1"/>
  <c r="P61" i="156"/>
  <c r="B62" i="156" a="1"/>
  <c r="B62" i="156" s="1"/>
  <c r="C62" i="156" a="1"/>
  <c r="C62" i="156" s="1"/>
  <c r="D62" i="156" a="1"/>
  <c r="D62" i="156" s="1"/>
  <c r="E62" i="156" a="1"/>
  <c r="E62" i="156" s="1"/>
  <c r="F62" i="156" a="1"/>
  <c r="F62" i="156" s="1"/>
  <c r="G62" i="156" a="1"/>
  <c r="G62" i="156" s="1"/>
  <c r="H62" i="156" a="1"/>
  <c r="H62" i="156" s="1"/>
  <c r="J62" i="156" a="1"/>
  <c r="J62" i="156" s="1"/>
  <c r="K62" i="156" a="1"/>
  <c r="K62" i="156" s="1"/>
  <c r="L62" i="156" a="1"/>
  <c r="L62" i="156"/>
  <c r="M62" i="156" a="1"/>
  <c r="M62" i="156"/>
  <c r="N62" i="156" a="1"/>
  <c r="N62" i="156"/>
  <c r="O62" i="156" a="1"/>
  <c r="O62" i="156"/>
  <c r="P62" i="156" a="1"/>
  <c r="P62" i="156"/>
  <c r="B63" i="156" a="1"/>
  <c r="B63" i="156" s="1"/>
  <c r="C63" i="156" a="1"/>
  <c r="C63" i="156" s="1"/>
  <c r="D63" i="156" a="1"/>
  <c r="D63" i="156" s="1"/>
  <c r="E63" i="156" a="1"/>
  <c r="E63" i="156" s="1"/>
  <c r="F63" i="156" a="1"/>
  <c r="F63" i="156" s="1"/>
  <c r="G63" i="156" a="1"/>
  <c r="G63" i="156" s="1"/>
  <c r="H63" i="156" a="1"/>
  <c r="H63" i="156" s="1"/>
  <c r="J63" i="156" a="1"/>
  <c r="J63" i="156" s="1"/>
  <c r="K63" i="156" a="1"/>
  <c r="K63" i="156"/>
  <c r="L63" i="156" a="1"/>
  <c r="L63" i="156"/>
  <c r="M63" i="156" a="1"/>
  <c r="M63" i="156"/>
  <c r="N63" i="156" a="1"/>
  <c r="N63" i="156" s="1"/>
  <c r="O63" i="156" a="1"/>
  <c r="O63" i="156"/>
  <c r="P63" i="156" a="1"/>
  <c r="P63" i="156" s="1"/>
  <c r="B64" i="156" a="1"/>
  <c r="B64" i="156" s="1"/>
  <c r="C64" i="156" a="1"/>
  <c r="C64" i="156" s="1"/>
  <c r="D64" i="156" a="1"/>
  <c r="D64" i="156" s="1"/>
  <c r="E64" i="156" a="1"/>
  <c r="E64" i="156" s="1"/>
  <c r="F64" i="156" a="1"/>
  <c r="F64" i="156" s="1"/>
  <c r="G64" i="156" a="1"/>
  <c r="G64" i="156" s="1"/>
  <c r="H64" i="156" a="1"/>
  <c r="H64" i="156" s="1"/>
  <c r="J64" i="156" a="1"/>
  <c r="J64" i="156" s="1"/>
  <c r="K64" i="156" a="1"/>
  <c r="K64" i="156"/>
  <c r="L64" i="156" a="1"/>
  <c r="L64" i="156"/>
  <c r="M64" i="156" a="1"/>
  <c r="M64" i="156" s="1"/>
  <c r="N64" i="156" a="1"/>
  <c r="N64" i="156"/>
  <c r="O64" i="156" a="1"/>
  <c r="O64" i="156" s="1"/>
  <c r="P64" i="156" a="1"/>
  <c r="P64" i="156" s="1"/>
  <c r="B65" i="156" a="1"/>
  <c r="B65" i="156" s="1"/>
  <c r="C65" i="156" a="1"/>
  <c r="C65" i="156" s="1"/>
  <c r="D65" i="156" a="1"/>
  <c r="D65" i="156" s="1"/>
  <c r="E65" i="156" a="1"/>
  <c r="E65" i="156" s="1"/>
  <c r="F65" i="156" a="1"/>
  <c r="F65" i="156" s="1"/>
  <c r="G65" i="156" a="1"/>
  <c r="G65" i="156" s="1"/>
  <c r="H65" i="156" a="1"/>
  <c r="H65" i="156" s="1"/>
  <c r="J65" i="156" a="1"/>
  <c r="J65" i="156"/>
  <c r="K65" i="156" a="1"/>
  <c r="K65" i="156"/>
  <c r="L65" i="156" a="1"/>
  <c r="L65" i="156" s="1"/>
  <c r="M65" i="156" a="1"/>
  <c r="M65" i="156"/>
  <c r="N65" i="156" a="1"/>
  <c r="N65" i="156" s="1"/>
  <c r="O65" i="156" a="1"/>
  <c r="O65" i="156" s="1"/>
  <c r="P65" i="156" a="1"/>
  <c r="P65" i="156" s="1"/>
  <c r="B66" i="156" a="1"/>
  <c r="B66" i="156" s="1"/>
  <c r="C66" i="156" a="1"/>
  <c r="C66" i="156" s="1"/>
  <c r="D66" i="156" a="1"/>
  <c r="D66" i="156" s="1"/>
  <c r="E66" i="156" a="1"/>
  <c r="E66" i="156" s="1"/>
  <c r="F66" i="156" a="1"/>
  <c r="F66" i="156" s="1"/>
  <c r="G66" i="156" a="1"/>
  <c r="G66" i="156" s="1"/>
  <c r="H66" i="156" a="1"/>
  <c r="H66" i="156" s="1"/>
  <c r="J66" i="156" a="1"/>
  <c r="J66" i="156"/>
  <c r="K66" i="156" a="1"/>
  <c r="K66" i="156" s="1"/>
  <c r="L66" i="156" a="1"/>
  <c r="L66" i="156"/>
  <c r="M66" i="156" a="1"/>
  <c r="M66" i="156" s="1"/>
  <c r="N66" i="156" a="1"/>
  <c r="N66" i="156" s="1"/>
  <c r="O66" i="156" a="1"/>
  <c r="O66" i="156" s="1"/>
  <c r="P66" i="156" a="1"/>
  <c r="P66" i="156"/>
  <c r="B67" i="156" a="1"/>
  <c r="B67" i="156" s="1"/>
  <c r="I67" i="156" s="1"/>
  <c r="C67" i="156" a="1"/>
  <c r="C67" i="156" s="1"/>
  <c r="D67" i="156" a="1"/>
  <c r="D67" i="156" s="1"/>
  <c r="E67" i="156" a="1"/>
  <c r="E67" i="156" s="1"/>
  <c r="F67" i="156" a="1"/>
  <c r="F67" i="156" s="1"/>
  <c r="G67" i="156" a="1"/>
  <c r="G67" i="156" s="1"/>
  <c r="H67" i="156" a="1"/>
  <c r="H67" i="156" s="1"/>
  <c r="J67" i="156" a="1"/>
  <c r="J67" i="156" s="1"/>
  <c r="K67" i="156" a="1"/>
  <c r="K67" i="156"/>
  <c r="L67" i="156" a="1"/>
  <c r="L67" i="156" s="1"/>
  <c r="M67" i="156" a="1"/>
  <c r="M67" i="156" s="1"/>
  <c r="N67" i="156" a="1"/>
  <c r="N67" i="156" s="1"/>
  <c r="O67" i="156" a="1"/>
  <c r="O67" i="156"/>
  <c r="P67" i="156" a="1"/>
  <c r="P67" i="156"/>
  <c r="B68" i="156" a="1"/>
  <c r="B68" i="156" s="1"/>
  <c r="C68" i="156" a="1"/>
  <c r="C68" i="156" s="1"/>
  <c r="D68" i="156" a="1"/>
  <c r="D68" i="156" s="1"/>
  <c r="E68" i="156" a="1"/>
  <c r="E68" i="156" s="1"/>
  <c r="F68" i="156" a="1"/>
  <c r="F68" i="156" s="1"/>
  <c r="G68" i="156" a="1"/>
  <c r="G68" i="156" s="1"/>
  <c r="H68" i="156" a="1"/>
  <c r="H68" i="156" s="1"/>
  <c r="J68" i="156" a="1"/>
  <c r="J68" i="156"/>
  <c r="K68" i="156" a="1"/>
  <c r="K68" i="156" s="1"/>
  <c r="L68" i="156" a="1"/>
  <c r="L68" i="156" s="1"/>
  <c r="M68" i="156" a="1"/>
  <c r="M68" i="156" s="1"/>
  <c r="N68" i="156" a="1"/>
  <c r="N68" i="156"/>
  <c r="O68" i="156" a="1"/>
  <c r="O68" i="156"/>
  <c r="P68" i="156" a="1"/>
  <c r="P68" i="156" s="1"/>
  <c r="B69" i="156" a="1"/>
  <c r="B69" i="156" s="1"/>
  <c r="C69" i="156" a="1"/>
  <c r="C69" i="156" s="1"/>
  <c r="D69" i="156" a="1"/>
  <c r="D69" i="156" s="1"/>
  <c r="E69" i="156" a="1"/>
  <c r="E69" i="156" s="1"/>
  <c r="F69" i="156" a="1"/>
  <c r="F69" i="156" s="1"/>
  <c r="G69" i="156" a="1"/>
  <c r="G69" i="156" s="1"/>
  <c r="H69" i="156" a="1"/>
  <c r="H69" i="156" s="1"/>
  <c r="J69" i="156" a="1"/>
  <c r="J69" i="156" s="1"/>
  <c r="K69" i="156" a="1"/>
  <c r="K69" i="156" s="1"/>
  <c r="L69" i="156" a="1"/>
  <c r="L69" i="156" s="1"/>
  <c r="M69" i="156" a="1"/>
  <c r="M69" i="156"/>
  <c r="N69" i="156" a="1"/>
  <c r="N69" i="156"/>
  <c r="O69" i="156" a="1"/>
  <c r="O69" i="156" s="1"/>
  <c r="P69" i="156" a="1"/>
  <c r="P69" i="156"/>
  <c r="B70" i="156" a="1"/>
  <c r="B70" i="156" s="1"/>
  <c r="C70" i="156" a="1"/>
  <c r="C70" i="156" s="1"/>
  <c r="D70" i="156" a="1"/>
  <c r="D70" i="156" s="1"/>
  <c r="E70" i="156" a="1"/>
  <c r="E70" i="156" s="1"/>
  <c r="F70" i="156" a="1"/>
  <c r="F70" i="156" s="1"/>
  <c r="G70" i="156" a="1"/>
  <c r="G70" i="156" s="1"/>
  <c r="H70" i="156" a="1"/>
  <c r="H70" i="156" s="1"/>
  <c r="J70" i="156" a="1"/>
  <c r="J70" i="156" s="1"/>
  <c r="K70" i="156" a="1"/>
  <c r="K70" i="156" s="1"/>
  <c r="L70" i="156" a="1"/>
  <c r="L70" i="156"/>
  <c r="M70" i="156" a="1"/>
  <c r="M70" i="156"/>
  <c r="N70" i="156" a="1"/>
  <c r="N70" i="156"/>
  <c r="O70" i="156" a="1"/>
  <c r="O70" i="156"/>
  <c r="P70" i="156" a="1"/>
  <c r="P70" i="156" s="1"/>
  <c r="B71" i="156" a="1"/>
  <c r="B71" i="156"/>
  <c r="I71" i="156" s="1"/>
  <c r="C71" i="156" a="1"/>
  <c r="C71" i="156" s="1"/>
  <c r="D71" i="156" a="1"/>
  <c r="D71" i="156" s="1"/>
  <c r="E71" i="156" a="1"/>
  <c r="E71" i="156" s="1"/>
  <c r="F71" i="156" a="1"/>
  <c r="F71" i="156" s="1"/>
  <c r="G71" i="156" a="1"/>
  <c r="G71" i="156" s="1"/>
  <c r="H71" i="156" a="1"/>
  <c r="H71" i="156" s="1"/>
  <c r="J71" i="156" a="1"/>
  <c r="J71" i="156" s="1"/>
  <c r="K71" i="156" a="1"/>
  <c r="K71" i="156"/>
  <c r="L71" i="156" a="1"/>
  <c r="L71" i="156"/>
  <c r="M71" i="156" a="1"/>
  <c r="M71" i="156" s="1"/>
  <c r="N71" i="156" a="1"/>
  <c r="N71" i="156"/>
  <c r="O71" i="156" a="1"/>
  <c r="O71" i="156" s="1"/>
  <c r="P71" i="156" a="1"/>
  <c r="P71" i="156" s="1"/>
  <c r="B72" i="156" a="1"/>
  <c r="B72" i="156" s="1"/>
  <c r="C72" i="156" a="1"/>
  <c r="C72" i="156" s="1"/>
  <c r="D72" i="156" a="1"/>
  <c r="D72" i="156" s="1"/>
  <c r="E72" i="156" a="1"/>
  <c r="E72" i="156" s="1"/>
  <c r="F72" i="156" a="1"/>
  <c r="F72" i="156" s="1"/>
  <c r="G72" i="156" a="1"/>
  <c r="G72" i="156" s="1"/>
  <c r="H72" i="156" a="1"/>
  <c r="H72" i="156"/>
  <c r="J72" i="156" a="1"/>
  <c r="J72" i="156"/>
  <c r="K72" i="156" a="1"/>
  <c r="K72" i="156"/>
  <c r="L72" i="156" a="1"/>
  <c r="L72" i="156" s="1"/>
  <c r="M72" i="156" a="1"/>
  <c r="M72" i="156"/>
  <c r="N72" i="156" a="1"/>
  <c r="N72" i="156" s="1"/>
  <c r="O72" i="156" a="1"/>
  <c r="O72" i="156" s="1"/>
  <c r="P72" i="156" a="1"/>
  <c r="P72" i="156" s="1"/>
  <c r="B73" i="156" a="1"/>
  <c r="B73" i="156" s="1"/>
  <c r="C73" i="156" a="1"/>
  <c r="C73" i="156" s="1"/>
  <c r="D73" i="156" a="1"/>
  <c r="D73" i="156" s="1"/>
  <c r="E73" i="156" a="1"/>
  <c r="E73" i="156" s="1"/>
  <c r="F73" i="156" a="1"/>
  <c r="F73" i="156" s="1"/>
  <c r="G73" i="156" a="1"/>
  <c r="G73" i="156"/>
  <c r="H73" i="156" a="1"/>
  <c r="H73" i="156" s="1"/>
  <c r="J73" i="156" a="1"/>
  <c r="J73" i="156"/>
  <c r="K73" i="156" a="1"/>
  <c r="K73" i="156" s="1"/>
  <c r="L73" i="156" a="1"/>
  <c r="L73" i="156"/>
  <c r="M73" i="156" a="1"/>
  <c r="M73" i="156" s="1"/>
  <c r="N73" i="156" a="1"/>
  <c r="N73" i="156" s="1"/>
  <c r="O73" i="156" a="1"/>
  <c r="O73" i="156" s="1"/>
  <c r="P73" i="156" a="1"/>
  <c r="P73" i="156"/>
  <c r="B74" i="156" a="1"/>
  <c r="B74" i="156" s="1"/>
  <c r="C74" i="156" a="1"/>
  <c r="C74" i="156" s="1"/>
  <c r="D74" i="156" a="1"/>
  <c r="D74" i="156" s="1"/>
  <c r="E74" i="156" a="1"/>
  <c r="E74" i="156" s="1"/>
  <c r="F74" i="156" a="1"/>
  <c r="F74" i="156"/>
  <c r="G74" i="156" a="1"/>
  <c r="G74" i="156" s="1"/>
  <c r="H74" i="156" a="1"/>
  <c r="H74" i="156" s="1"/>
  <c r="J74" i="156" a="1"/>
  <c r="J74" i="156" s="1"/>
  <c r="K74" i="156" a="1"/>
  <c r="K74" i="156"/>
  <c r="L74" i="156" a="1"/>
  <c r="L74" i="156" s="1"/>
  <c r="M74" i="156" a="1"/>
  <c r="M74" i="156" s="1"/>
  <c r="N74" i="156" a="1"/>
  <c r="N74" i="156" s="1"/>
  <c r="O74" i="156" a="1"/>
  <c r="O74" i="156"/>
  <c r="P74" i="156" a="1"/>
  <c r="P74" i="156"/>
  <c r="B75" i="156" a="1"/>
  <c r="B75" i="156" s="1"/>
  <c r="C75" i="156" a="1"/>
  <c r="C75" i="156"/>
  <c r="D75" i="156" a="1"/>
  <c r="D75" i="156" s="1"/>
  <c r="E75" i="156" a="1"/>
  <c r="E75" i="156" s="1"/>
  <c r="F75" i="156" a="1"/>
  <c r="F75" i="156" s="1"/>
  <c r="G75" i="156" a="1"/>
  <c r="G75" i="156" s="1"/>
  <c r="H75" i="156" a="1"/>
  <c r="H75" i="156" s="1"/>
  <c r="J75" i="156" a="1"/>
  <c r="J75" i="156"/>
  <c r="K75" i="156" a="1"/>
  <c r="K75" i="156" s="1"/>
  <c r="L75" i="156" a="1"/>
  <c r="L75" i="156" s="1"/>
  <c r="M75" i="156" a="1"/>
  <c r="M75" i="156" s="1"/>
  <c r="N75" i="156" a="1"/>
  <c r="N75" i="156" s="1"/>
  <c r="O75" i="156" a="1"/>
  <c r="O75" i="156"/>
  <c r="P75" i="156" a="1"/>
  <c r="P75" i="156"/>
  <c r="B76" i="156" a="1"/>
  <c r="B76" i="156"/>
  <c r="C76" i="156" a="1"/>
  <c r="C76" i="156" s="1"/>
  <c r="D76" i="156" a="1"/>
  <c r="D76" i="156" s="1"/>
  <c r="E76" i="156" a="1"/>
  <c r="E76" i="156"/>
  <c r="F76" i="156" a="1"/>
  <c r="F76" i="156" s="1"/>
  <c r="G76" i="156" a="1"/>
  <c r="G76" i="156" s="1"/>
  <c r="H76" i="156" a="1"/>
  <c r="H76" i="156" s="1"/>
  <c r="J76" i="156" a="1"/>
  <c r="J76" i="156" s="1"/>
  <c r="K76" i="156" a="1"/>
  <c r="K76" i="156" s="1"/>
  <c r="L76" i="156" a="1"/>
  <c r="L76" i="156" s="1"/>
  <c r="M76" i="156" a="1"/>
  <c r="M76" i="156" s="1"/>
  <c r="N76" i="156" a="1"/>
  <c r="N76" i="156"/>
  <c r="O76" i="156" a="1"/>
  <c r="O76" i="156"/>
  <c r="P76" i="156" a="1"/>
  <c r="P76" i="156"/>
  <c r="B77" i="156" a="1"/>
  <c r="B77" i="156" s="1"/>
  <c r="C77" i="156" a="1"/>
  <c r="C77" i="156" s="1"/>
  <c r="D77" i="156" a="1"/>
  <c r="D77" i="156"/>
  <c r="E77" i="156" a="1"/>
  <c r="E77" i="156" s="1"/>
  <c r="F77" i="156" a="1"/>
  <c r="F77" i="156" s="1"/>
  <c r="G77" i="156" a="1"/>
  <c r="G77" i="156" s="1"/>
  <c r="H77" i="156" a="1"/>
  <c r="H77" i="156"/>
  <c r="J77" i="156" a="1"/>
  <c r="J77" i="156" s="1"/>
  <c r="K77" i="156" a="1"/>
  <c r="K77" i="156" s="1"/>
  <c r="L77" i="156" a="1"/>
  <c r="L77" i="156"/>
  <c r="M77" i="156" a="1"/>
  <c r="M77" i="156"/>
  <c r="N77" i="156" a="1"/>
  <c r="N77" i="156"/>
  <c r="O77" i="156" a="1"/>
  <c r="O77" i="156"/>
  <c r="P77" i="156" a="1"/>
  <c r="P77" i="156" s="1"/>
  <c r="B78" i="156" a="1"/>
  <c r="B78" i="156"/>
  <c r="C78" i="156" a="1"/>
  <c r="C78" i="156"/>
  <c r="D78" i="156" a="1"/>
  <c r="D78" i="156" s="1"/>
  <c r="E78" i="156" a="1"/>
  <c r="E78" i="156" s="1"/>
  <c r="F78" i="156" a="1"/>
  <c r="F78" i="156" s="1"/>
  <c r="G78" i="156" a="1"/>
  <c r="G78" i="156"/>
  <c r="H78" i="156" a="1"/>
  <c r="H78" i="156" s="1"/>
  <c r="J78" i="156" a="1"/>
  <c r="J78" i="156" s="1"/>
  <c r="K78" i="156" a="1"/>
  <c r="K78" i="156"/>
  <c r="L78" i="156" a="1"/>
  <c r="L78" i="156"/>
  <c r="M78" i="156" a="1"/>
  <c r="M78" i="156"/>
  <c r="N78" i="156" a="1"/>
  <c r="N78" i="156"/>
  <c r="O78" i="156" a="1"/>
  <c r="O78" i="156" s="1"/>
  <c r="P78" i="156" a="1"/>
  <c r="P78" i="156" s="1"/>
  <c r="B79" i="156" a="1"/>
  <c r="B79" i="156"/>
  <c r="C79" i="156" a="1"/>
  <c r="C79" i="156" s="1"/>
  <c r="D79" i="156" a="1"/>
  <c r="D79" i="156" s="1"/>
  <c r="E79" i="156" a="1"/>
  <c r="E79" i="156" s="1"/>
  <c r="F79" i="156" a="1"/>
  <c r="F79" i="156"/>
  <c r="G79" i="156" a="1"/>
  <c r="G79" i="156" s="1"/>
  <c r="H79" i="156" a="1"/>
  <c r="H79" i="156"/>
  <c r="J79" i="156" a="1"/>
  <c r="J79" i="156"/>
  <c r="K79" i="156" a="1"/>
  <c r="K79" i="156"/>
  <c r="L79" i="156" a="1"/>
  <c r="L79" i="156"/>
  <c r="M79" i="156" a="1"/>
  <c r="M79" i="156"/>
  <c r="N79" i="156" a="1"/>
  <c r="N79" i="156" s="1"/>
  <c r="O79" i="156" a="1"/>
  <c r="O79" i="156" s="1"/>
  <c r="P79" i="156" a="1"/>
  <c r="P79" i="156"/>
  <c r="B80" i="156" a="1"/>
  <c r="B80" i="156" s="1"/>
  <c r="C80" i="156" a="1"/>
  <c r="C80" i="156" s="1"/>
  <c r="D80" i="156" a="1"/>
  <c r="D80" i="156" s="1"/>
  <c r="E80" i="156" a="1"/>
  <c r="E80" i="156"/>
  <c r="F80" i="156" a="1"/>
  <c r="F80" i="156" s="1"/>
  <c r="G80" i="156" a="1"/>
  <c r="G80" i="156"/>
  <c r="H80" i="156" a="1"/>
  <c r="H80" i="156"/>
  <c r="J80" i="156" a="1"/>
  <c r="J80" i="156"/>
  <c r="K80" i="156" a="1"/>
  <c r="K80" i="156"/>
  <c r="L80" i="156" a="1"/>
  <c r="L80" i="156"/>
  <c r="M80" i="156" a="1"/>
  <c r="M80" i="156" s="1"/>
  <c r="N80" i="156" a="1"/>
  <c r="N80" i="156" s="1"/>
  <c r="O80" i="156" a="1"/>
  <c r="O80" i="156"/>
  <c r="P80" i="156" a="1"/>
  <c r="P80" i="156"/>
  <c r="B81" i="156" a="1"/>
  <c r="B81" i="156" s="1"/>
  <c r="C81" i="156" a="1"/>
  <c r="C81" i="156" s="1"/>
  <c r="D81" i="156" a="1"/>
  <c r="D81" i="156"/>
  <c r="E81" i="156" a="1"/>
  <c r="E81" i="156" s="1"/>
  <c r="F81" i="156" a="1"/>
  <c r="F81" i="156"/>
  <c r="G81" i="156" a="1"/>
  <c r="G81" i="156"/>
  <c r="H81" i="156" a="1"/>
  <c r="H81" i="156" s="1"/>
  <c r="J81" i="156" a="1"/>
  <c r="J81" i="156"/>
  <c r="K81" i="156" a="1"/>
  <c r="K81" i="156"/>
  <c r="L81" i="156" a="1"/>
  <c r="L81" i="156" s="1"/>
  <c r="M81" i="156" a="1"/>
  <c r="M81" i="156" s="1"/>
  <c r="N81" i="156" a="1"/>
  <c r="N81" i="156"/>
  <c r="O81" i="156" a="1"/>
  <c r="O81" i="156"/>
  <c r="P81" i="156" a="1"/>
  <c r="P81" i="156"/>
  <c r="B82" i="156" a="1"/>
  <c r="B82" i="156" s="1"/>
  <c r="C82" i="156" a="1"/>
  <c r="C82" i="156"/>
  <c r="D82" i="156" a="1"/>
  <c r="D82" i="156" s="1"/>
  <c r="E82" i="156" a="1"/>
  <c r="E82" i="156" s="1"/>
  <c r="F82" i="156" a="1"/>
  <c r="F82" i="156"/>
  <c r="G82" i="156" a="1"/>
  <c r="G82" i="156" s="1"/>
  <c r="H82" i="156" a="1"/>
  <c r="H82" i="156" s="1"/>
  <c r="J82" i="156" a="1"/>
  <c r="J82" i="156"/>
  <c r="K82" i="156" a="1"/>
  <c r="K82" i="156" s="1"/>
  <c r="L82" i="156" a="1"/>
  <c r="L82" i="156" s="1"/>
  <c r="M82" i="156" a="1"/>
  <c r="M82" i="156"/>
  <c r="N82" i="156" a="1"/>
  <c r="N82" i="156"/>
  <c r="O82" i="156" a="1"/>
  <c r="O82" i="156"/>
  <c r="P82" i="156" a="1"/>
  <c r="P82" i="156"/>
  <c r="B83" i="156" a="1"/>
  <c r="B83" i="156"/>
  <c r="I83" i="156" s="1"/>
  <c r="C83" i="156" a="1"/>
  <c r="C83" i="156" s="1"/>
  <c r="D83" i="156" a="1"/>
  <c r="D83" i="156"/>
  <c r="E83" i="156" a="1"/>
  <c r="E83" i="156"/>
  <c r="F83" i="156" a="1"/>
  <c r="F83" i="156" s="1"/>
  <c r="G83" i="156" a="1"/>
  <c r="G83" i="156" s="1"/>
  <c r="H83" i="156" a="1"/>
  <c r="H83" i="156" s="1"/>
  <c r="J83" i="156" a="1"/>
  <c r="J83" i="156" s="1"/>
  <c r="K83" i="156" a="1"/>
  <c r="K83" i="156" s="1"/>
  <c r="L83" i="156" a="1"/>
  <c r="L83" i="156"/>
  <c r="M83" i="156" a="1"/>
  <c r="M83" i="156"/>
  <c r="N83" i="156" a="1"/>
  <c r="N83" i="156"/>
  <c r="O83" i="156" a="1"/>
  <c r="O83" i="156"/>
  <c r="P83" i="156" a="1"/>
  <c r="P83" i="156"/>
  <c r="B84" i="156" a="1"/>
  <c r="B84" i="156" s="1"/>
  <c r="C84" i="156" a="1"/>
  <c r="C84" i="156"/>
  <c r="D84" i="156" a="1"/>
  <c r="D84" i="156"/>
  <c r="E84" i="156" a="1"/>
  <c r="E84" i="156" s="1"/>
  <c r="F84" i="156" a="1"/>
  <c r="F84" i="156" s="1"/>
  <c r="G84" i="156" a="1"/>
  <c r="G84" i="156" s="1"/>
  <c r="H84" i="156" a="1"/>
  <c r="H84" i="156"/>
  <c r="J84" i="156" a="1"/>
  <c r="J84" i="156" s="1"/>
  <c r="K84" i="156" a="1"/>
  <c r="K84" i="156"/>
  <c r="L84" i="156" a="1"/>
  <c r="L84" i="156" s="1"/>
  <c r="M84" i="156" a="1"/>
  <c r="M84" i="156"/>
  <c r="N84" i="156" a="1"/>
  <c r="N84" i="156"/>
  <c r="O84" i="156" a="1"/>
  <c r="O84" i="156"/>
  <c r="P84" i="156" a="1"/>
  <c r="P84" i="156" s="1"/>
  <c r="B85" i="156" a="1"/>
  <c r="B85" i="156" s="1"/>
  <c r="I85" i="156" s="1"/>
  <c r="C85" i="156" a="1"/>
  <c r="C85" i="156"/>
  <c r="D85" i="156" a="1"/>
  <c r="D85" i="156" s="1"/>
  <c r="E85" i="156" a="1"/>
  <c r="E85" i="156" s="1"/>
  <c r="F85" i="156" a="1"/>
  <c r="F85" i="156" s="1"/>
  <c r="G85" i="156" a="1"/>
  <c r="G85" i="156"/>
  <c r="H85" i="156" a="1"/>
  <c r="H85" i="156" s="1"/>
  <c r="J85" i="156" a="1"/>
  <c r="J85" i="156"/>
  <c r="K85" i="156" a="1"/>
  <c r="K85" i="156"/>
  <c r="L85" i="156" a="1"/>
  <c r="L85" i="156"/>
  <c r="M85" i="156" a="1"/>
  <c r="M85" i="156"/>
  <c r="N85" i="156" a="1"/>
  <c r="N85" i="156"/>
  <c r="O85" i="156" a="1"/>
  <c r="O85" i="156" s="1"/>
  <c r="P85" i="156" a="1"/>
  <c r="P85" i="156" s="1"/>
  <c r="B86" i="156" a="1"/>
  <c r="B86" i="156"/>
  <c r="C86" i="156" a="1"/>
  <c r="C86" i="156" s="1"/>
  <c r="D86" i="156" a="1"/>
  <c r="D86" i="156" s="1"/>
  <c r="E86" i="156" a="1"/>
  <c r="E86" i="156" s="1"/>
  <c r="F86" i="156" a="1"/>
  <c r="F86" i="156"/>
  <c r="G86" i="156" a="1"/>
  <c r="G86" i="156" s="1"/>
  <c r="H86" i="156" a="1"/>
  <c r="H86" i="156" s="1"/>
  <c r="J86" i="156" a="1"/>
  <c r="J86" i="156"/>
  <c r="K86" i="156" a="1"/>
  <c r="K86" i="156"/>
  <c r="L86" i="156" a="1"/>
  <c r="L86" i="156"/>
  <c r="M86" i="156" a="1"/>
  <c r="M86" i="156"/>
  <c r="N86" i="156" a="1"/>
  <c r="N86" i="156" s="1"/>
  <c r="O86" i="156" a="1"/>
  <c r="O86" i="156" s="1"/>
  <c r="P86" i="156" a="1"/>
  <c r="P86" i="156"/>
  <c r="B87" i="156" a="1"/>
  <c r="B87" i="156" s="1"/>
  <c r="I87" i="156" s="1"/>
  <c r="C87" i="156" a="1"/>
  <c r="C87" i="156" s="1"/>
  <c r="D87" i="156" a="1"/>
  <c r="D87" i="156" s="1"/>
  <c r="E87" i="156" a="1"/>
  <c r="E87" i="156"/>
  <c r="F87" i="156" a="1"/>
  <c r="F87" i="156" s="1"/>
  <c r="G87" i="156" a="1"/>
  <c r="G87" i="156" s="1"/>
  <c r="H87" i="156" a="1"/>
  <c r="H87" i="156"/>
  <c r="J87" i="156" a="1"/>
  <c r="J87" i="156"/>
  <c r="K87" i="156" a="1"/>
  <c r="K87" i="156" s="1"/>
  <c r="L87" i="156" a="1"/>
  <c r="L87" i="156"/>
  <c r="M87" i="156" a="1"/>
  <c r="M87" i="156" s="1"/>
  <c r="N87" i="156" a="1"/>
  <c r="N87" i="156" s="1"/>
  <c r="O87" i="156" a="1"/>
  <c r="O87" i="156" s="1"/>
  <c r="P87" i="156" a="1"/>
  <c r="P87" i="156"/>
  <c r="C11" i="156"/>
  <c r="D11" i="156"/>
  <c r="B4" i="156"/>
  <c r="C4" i="156"/>
  <c r="D4" i="156"/>
  <c r="B5" i="156"/>
  <c r="C5" i="156"/>
  <c r="D5" i="156"/>
  <c r="B6" i="156"/>
  <c r="C6" i="156"/>
  <c r="D6" i="156"/>
  <c r="B7" i="156"/>
  <c r="C7" i="156"/>
  <c r="D7" i="156"/>
  <c r="B8" i="156"/>
  <c r="C8" i="156"/>
  <c r="D8" i="156"/>
  <c r="B9" i="156"/>
  <c r="C9" i="156"/>
  <c r="D9" i="156"/>
  <c r="B10" i="156"/>
  <c r="C10" i="156"/>
  <c r="D10" i="156"/>
  <c r="E51" i="156"/>
  <c r="F51" i="156"/>
  <c r="G51" i="156"/>
  <c r="H51" i="156"/>
  <c r="I51" i="156"/>
  <c r="J51" i="156"/>
  <c r="K51" i="156"/>
  <c r="B16" i="156"/>
  <c r="C16" i="156"/>
  <c r="D16" i="156"/>
  <c r="E16" i="156"/>
  <c r="F16" i="156"/>
  <c r="G16" i="156"/>
  <c r="H16" i="156"/>
  <c r="I16" i="156"/>
  <c r="J16" i="156"/>
  <c r="K16" i="156"/>
  <c r="B17" i="156"/>
  <c r="C17" i="156"/>
  <c r="D17" i="156"/>
  <c r="E17" i="156"/>
  <c r="F17" i="156"/>
  <c r="G17" i="156"/>
  <c r="H17" i="156"/>
  <c r="I17" i="156"/>
  <c r="J17" i="156"/>
  <c r="K17" i="156"/>
  <c r="B18" i="156"/>
  <c r="C18" i="156"/>
  <c r="D18" i="156"/>
  <c r="E18" i="156"/>
  <c r="F18" i="156"/>
  <c r="G18" i="156"/>
  <c r="H18" i="156"/>
  <c r="I18" i="156"/>
  <c r="J18" i="156"/>
  <c r="K18" i="156"/>
  <c r="B19" i="156"/>
  <c r="C19" i="156"/>
  <c r="D19" i="156"/>
  <c r="E19" i="156"/>
  <c r="F19" i="156"/>
  <c r="G19" i="156"/>
  <c r="H19" i="156"/>
  <c r="I19" i="156"/>
  <c r="J19" i="156"/>
  <c r="K19" i="156"/>
  <c r="B20" i="156"/>
  <c r="C20" i="156"/>
  <c r="D20" i="156"/>
  <c r="E20" i="156"/>
  <c r="F20" i="156"/>
  <c r="G20" i="156"/>
  <c r="H20" i="156"/>
  <c r="I20" i="156"/>
  <c r="J20" i="156"/>
  <c r="K20" i="156"/>
  <c r="B21" i="156"/>
  <c r="C21" i="156"/>
  <c r="D21" i="156"/>
  <c r="E21" i="156"/>
  <c r="F21" i="156"/>
  <c r="G21" i="156"/>
  <c r="H21" i="156"/>
  <c r="I21" i="156"/>
  <c r="J21" i="156"/>
  <c r="K21" i="156"/>
  <c r="B22" i="156"/>
  <c r="C22" i="156"/>
  <c r="D22" i="156"/>
  <c r="E22" i="156"/>
  <c r="F22" i="156"/>
  <c r="G22" i="156"/>
  <c r="H22" i="156"/>
  <c r="I22" i="156"/>
  <c r="J22" i="156"/>
  <c r="K22" i="156"/>
  <c r="B23" i="156"/>
  <c r="C23" i="156"/>
  <c r="D23" i="156"/>
  <c r="E23" i="156"/>
  <c r="F23" i="156"/>
  <c r="G23" i="156"/>
  <c r="H23" i="156"/>
  <c r="I23" i="156"/>
  <c r="J23" i="156"/>
  <c r="K23" i="156"/>
  <c r="B24" i="156"/>
  <c r="C24" i="156"/>
  <c r="D24" i="156"/>
  <c r="E24" i="156"/>
  <c r="F24" i="156"/>
  <c r="G24" i="156"/>
  <c r="H24" i="156"/>
  <c r="I24" i="156"/>
  <c r="J24" i="156"/>
  <c r="K24" i="156"/>
  <c r="B25" i="156"/>
  <c r="C25" i="156"/>
  <c r="D25" i="156"/>
  <c r="E25" i="156"/>
  <c r="F25" i="156"/>
  <c r="G25" i="156"/>
  <c r="H25" i="156"/>
  <c r="I25" i="156"/>
  <c r="J25" i="156"/>
  <c r="K25" i="156"/>
  <c r="B26" i="156"/>
  <c r="C26" i="156"/>
  <c r="D26" i="156"/>
  <c r="E26" i="156"/>
  <c r="F26" i="156"/>
  <c r="G26" i="156"/>
  <c r="H26" i="156"/>
  <c r="I26" i="156"/>
  <c r="J26" i="156"/>
  <c r="K26" i="156"/>
  <c r="B27" i="156"/>
  <c r="C27" i="156"/>
  <c r="D27" i="156"/>
  <c r="E27" i="156"/>
  <c r="F27" i="156"/>
  <c r="G27" i="156"/>
  <c r="H27" i="156"/>
  <c r="I27" i="156"/>
  <c r="J27" i="156"/>
  <c r="K27" i="156"/>
  <c r="B28" i="156"/>
  <c r="C28" i="156"/>
  <c r="D28" i="156"/>
  <c r="E28" i="156"/>
  <c r="F28" i="156"/>
  <c r="G28" i="156"/>
  <c r="H28" i="156"/>
  <c r="I28" i="156"/>
  <c r="J28" i="156"/>
  <c r="K28" i="156"/>
  <c r="B29" i="156"/>
  <c r="C29" i="156"/>
  <c r="D29" i="156"/>
  <c r="E29" i="156"/>
  <c r="F29" i="156"/>
  <c r="G29" i="156"/>
  <c r="H29" i="156"/>
  <c r="I29" i="156"/>
  <c r="J29" i="156"/>
  <c r="K29" i="156"/>
  <c r="B30" i="156"/>
  <c r="C30" i="156"/>
  <c r="D30" i="156"/>
  <c r="E30" i="156"/>
  <c r="F30" i="156"/>
  <c r="G30" i="156"/>
  <c r="H30" i="156"/>
  <c r="I30" i="156"/>
  <c r="J30" i="156"/>
  <c r="K30" i="156"/>
  <c r="B31" i="156"/>
  <c r="C31" i="156"/>
  <c r="D31" i="156"/>
  <c r="E31" i="156"/>
  <c r="F31" i="156"/>
  <c r="G31" i="156"/>
  <c r="H31" i="156"/>
  <c r="I31" i="156"/>
  <c r="J31" i="156"/>
  <c r="K31" i="156"/>
  <c r="B32" i="156"/>
  <c r="C32" i="156"/>
  <c r="D32" i="156"/>
  <c r="E32" i="156"/>
  <c r="F32" i="156"/>
  <c r="G32" i="156"/>
  <c r="H32" i="156"/>
  <c r="I32" i="156"/>
  <c r="J32" i="156"/>
  <c r="K32" i="156"/>
  <c r="B33" i="156"/>
  <c r="C33" i="156"/>
  <c r="D33" i="156"/>
  <c r="E33" i="156"/>
  <c r="F33" i="156"/>
  <c r="G33" i="156"/>
  <c r="H33" i="156"/>
  <c r="I33" i="156"/>
  <c r="J33" i="156"/>
  <c r="K33" i="156"/>
  <c r="B34" i="156"/>
  <c r="C34" i="156"/>
  <c r="D34" i="156"/>
  <c r="E34" i="156"/>
  <c r="F34" i="156"/>
  <c r="G34" i="156"/>
  <c r="H34" i="156"/>
  <c r="I34" i="156"/>
  <c r="J34" i="156"/>
  <c r="K34" i="156"/>
  <c r="B35" i="156"/>
  <c r="C35" i="156"/>
  <c r="D35" i="156"/>
  <c r="E35" i="156"/>
  <c r="F35" i="156"/>
  <c r="G35" i="156"/>
  <c r="H35" i="156"/>
  <c r="I35" i="156"/>
  <c r="J35" i="156"/>
  <c r="K35" i="156"/>
  <c r="B36" i="156"/>
  <c r="C36" i="156"/>
  <c r="D36" i="156"/>
  <c r="E36" i="156"/>
  <c r="F36" i="156"/>
  <c r="G36" i="156"/>
  <c r="H36" i="156"/>
  <c r="I36" i="156"/>
  <c r="J36" i="156"/>
  <c r="K36" i="156"/>
  <c r="B37" i="156"/>
  <c r="C37" i="156"/>
  <c r="D37" i="156"/>
  <c r="E37" i="156"/>
  <c r="F37" i="156"/>
  <c r="G37" i="156"/>
  <c r="H37" i="156"/>
  <c r="I37" i="156"/>
  <c r="J37" i="156"/>
  <c r="K37" i="156"/>
  <c r="B38" i="156"/>
  <c r="C38" i="156"/>
  <c r="D38" i="156"/>
  <c r="E38" i="156"/>
  <c r="F38" i="156"/>
  <c r="G38" i="156"/>
  <c r="H38" i="156"/>
  <c r="I38" i="156"/>
  <c r="J38" i="156"/>
  <c r="K38" i="156"/>
  <c r="B39" i="156"/>
  <c r="C39" i="156"/>
  <c r="D39" i="156"/>
  <c r="E39" i="156"/>
  <c r="F39" i="156"/>
  <c r="G39" i="156"/>
  <c r="H39" i="156"/>
  <c r="I39" i="156"/>
  <c r="J39" i="156"/>
  <c r="K39" i="156"/>
  <c r="B40" i="156"/>
  <c r="C40" i="156"/>
  <c r="D40" i="156"/>
  <c r="E40" i="156"/>
  <c r="F40" i="156"/>
  <c r="G40" i="156"/>
  <c r="H40" i="156"/>
  <c r="I40" i="156"/>
  <c r="J40" i="156"/>
  <c r="K40" i="156"/>
  <c r="B41" i="156"/>
  <c r="C41" i="156"/>
  <c r="D41" i="156"/>
  <c r="E41" i="156"/>
  <c r="F41" i="156"/>
  <c r="G41" i="156"/>
  <c r="H41" i="156"/>
  <c r="I41" i="156"/>
  <c r="J41" i="156"/>
  <c r="K41" i="156"/>
  <c r="B42" i="156"/>
  <c r="C42" i="156"/>
  <c r="D42" i="156"/>
  <c r="E42" i="156"/>
  <c r="F42" i="156"/>
  <c r="G42" i="156"/>
  <c r="H42" i="156"/>
  <c r="I42" i="156"/>
  <c r="J42" i="156"/>
  <c r="K42" i="156"/>
  <c r="B43" i="156"/>
  <c r="C43" i="156"/>
  <c r="D43" i="156"/>
  <c r="E43" i="156"/>
  <c r="F43" i="156"/>
  <c r="G43" i="156"/>
  <c r="H43" i="156"/>
  <c r="I43" i="156"/>
  <c r="J43" i="156"/>
  <c r="K43" i="156"/>
  <c r="B44" i="156"/>
  <c r="C44" i="156"/>
  <c r="D44" i="156"/>
  <c r="E44" i="156"/>
  <c r="F44" i="156"/>
  <c r="G44" i="156"/>
  <c r="H44" i="156"/>
  <c r="I44" i="156"/>
  <c r="J44" i="156"/>
  <c r="K44" i="156"/>
  <c r="B45" i="156"/>
  <c r="C45" i="156" s="1"/>
  <c r="D45" i="156"/>
  <c r="E45" i="156"/>
  <c r="F45" i="156"/>
  <c r="G45" i="156"/>
  <c r="H45" i="156"/>
  <c r="I45" i="156"/>
  <c r="J45" i="156"/>
  <c r="K45" i="156"/>
  <c r="B46" i="156"/>
  <c r="C46" i="156"/>
  <c r="D46" i="156"/>
  <c r="E46" i="156"/>
  <c r="F46" i="156"/>
  <c r="G46" i="156"/>
  <c r="H46" i="156"/>
  <c r="I46" i="156"/>
  <c r="J46" i="156"/>
  <c r="K46" i="156"/>
  <c r="B47" i="156"/>
  <c r="C47" i="156"/>
  <c r="D47" i="156"/>
  <c r="E47" i="156"/>
  <c r="F47" i="156"/>
  <c r="G47" i="156"/>
  <c r="H47" i="156"/>
  <c r="I47" i="156"/>
  <c r="J47" i="156"/>
  <c r="K47" i="156"/>
  <c r="B48" i="156"/>
  <c r="C48" i="156"/>
  <c r="D48" i="156"/>
  <c r="E48" i="156"/>
  <c r="F48" i="156"/>
  <c r="G48" i="156"/>
  <c r="H48" i="156"/>
  <c r="I48" i="156"/>
  <c r="J48" i="156"/>
  <c r="K48" i="156"/>
  <c r="B49" i="156"/>
  <c r="C49" i="156"/>
  <c r="D49" i="156"/>
  <c r="E49" i="156"/>
  <c r="F49" i="156"/>
  <c r="G49" i="156"/>
  <c r="H49" i="156"/>
  <c r="I49" i="156"/>
  <c r="J49" i="156"/>
  <c r="K49" i="156"/>
  <c r="B50" i="156"/>
  <c r="C50" i="156"/>
  <c r="D50" i="156"/>
  <c r="E50" i="156"/>
  <c r="F50" i="156"/>
  <c r="G50" i="156"/>
  <c r="H50" i="156"/>
  <c r="I50" i="156"/>
  <c r="J50" i="156"/>
  <c r="K50" i="156"/>
  <c r="E31" i="16"/>
  <c r="F31" i="16"/>
  <c r="E32" i="16"/>
  <c r="F32" i="16" s="1"/>
  <c r="E33" i="16"/>
  <c r="F33" i="16" s="1"/>
  <c r="E34" i="16"/>
  <c r="F34" i="16"/>
  <c r="E35" i="16"/>
  <c r="F35" i="16"/>
  <c r="E36" i="16"/>
  <c r="F36" i="16" s="1"/>
  <c r="E37" i="16"/>
  <c r="F37" i="16"/>
  <c r="E38" i="16"/>
  <c r="F38" i="16"/>
  <c r="E39" i="16"/>
  <c r="F39" i="16" s="1"/>
  <c r="E40" i="16"/>
  <c r="F40" i="16" s="1"/>
  <c r="E41" i="16"/>
  <c r="F41" i="16"/>
  <c r="E42" i="16"/>
  <c r="F42" i="16"/>
  <c r="E43" i="16"/>
  <c r="F43" i="16" s="1"/>
  <c r="E44" i="16"/>
  <c r="F44" i="16"/>
  <c r="E45" i="16"/>
  <c r="F45" i="16"/>
  <c r="E46" i="16"/>
  <c r="F46" i="16" s="1"/>
  <c r="E47" i="16"/>
  <c r="F47" i="16" s="1"/>
  <c r="E48" i="16"/>
  <c r="F48" i="16"/>
  <c r="E49" i="16"/>
  <c r="F49" i="16"/>
  <c r="E50" i="16"/>
  <c r="F50" i="16" s="1"/>
  <c r="E51" i="16"/>
  <c r="F51" i="16"/>
  <c r="E52" i="16"/>
  <c r="F52" i="16"/>
  <c r="E53" i="16"/>
  <c r="F53" i="16" s="1"/>
  <c r="J4" i="16"/>
  <c r="J5" i="16"/>
  <c r="J6" i="16"/>
  <c r="J7" i="16"/>
  <c r="J8" i="16"/>
  <c r="J9" i="16"/>
  <c r="J10" i="16"/>
  <c r="J11" i="16"/>
  <c r="J12" i="16"/>
  <c r="J13" i="16"/>
  <c r="J14" i="16"/>
  <c r="J15" i="16"/>
  <c r="J16" i="16"/>
  <c r="J17" i="16"/>
  <c r="J18" i="16"/>
  <c r="J19" i="16"/>
  <c r="J20" i="16"/>
  <c r="J21" i="16"/>
  <c r="J22" i="16"/>
  <c r="J23" i="16"/>
  <c r="J24" i="16"/>
  <c r="J25" i="16"/>
  <c r="J26" i="16"/>
  <c r="B4" i="154"/>
  <c r="S4" i="154"/>
  <c r="B5" i="154"/>
  <c r="B6" i="154"/>
  <c r="B7" i="154"/>
  <c r="B8" i="154"/>
  <c r="B9" i="154"/>
  <c r="B10" i="154"/>
  <c r="B11" i="154"/>
  <c r="B12" i="154"/>
  <c r="B13" i="154"/>
  <c r="S13" i="154"/>
  <c r="B14" i="154"/>
  <c r="B15" i="154"/>
  <c r="B16" i="154"/>
  <c r="B17" i="154"/>
  <c r="B18" i="154"/>
  <c r="B19" i="154"/>
  <c r="B20" i="154"/>
  <c r="B21" i="154"/>
  <c r="B22" i="154"/>
  <c r="S22" i="154"/>
  <c r="B23" i="154"/>
  <c r="B24" i="154"/>
  <c r="B25" i="154"/>
  <c r="B26" i="154"/>
  <c r="B27" i="154"/>
  <c r="B28" i="154"/>
  <c r="B29" i="154"/>
  <c r="B30" i="154"/>
  <c r="B31" i="154"/>
  <c r="S31" i="154"/>
  <c r="B32" i="154"/>
  <c r="B33" i="154"/>
  <c r="B34" i="154"/>
  <c r="B35" i="154"/>
  <c r="B36" i="154"/>
  <c r="B37" i="154"/>
  <c r="B38" i="154"/>
  <c r="B39" i="154"/>
  <c r="B40" i="154"/>
  <c r="S40" i="154"/>
  <c r="B41" i="154"/>
  <c r="B42" i="154"/>
  <c r="B43" i="154"/>
  <c r="B44" i="154"/>
  <c r="B45" i="154"/>
  <c r="B46" i="154"/>
  <c r="B47" i="154"/>
  <c r="B48" i="154"/>
  <c r="B49" i="154"/>
  <c r="S49" i="154"/>
  <c r="B50" i="154"/>
  <c r="B51" i="154"/>
  <c r="B52" i="154"/>
  <c r="B53" i="154"/>
  <c r="B54" i="154"/>
  <c r="B55" i="154"/>
  <c r="B56" i="154"/>
  <c r="B57" i="154"/>
  <c r="B4" i="153"/>
  <c r="S4" i="153"/>
  <c r="B5" i="153"/>
  <c r="B6" i="153"/>
  <c r="B7" i="153"/>
  <c r="B8" i="153"/>
  <c r="B9" i="153"/>
  <c r="B10" i="153"/>
  <c r="B11" i="153"/>
  <c r="B12" i="153"/>
  <c r="B13" i="153"/>
  <c r="S13" i="153"/>
  <c r="B14" i="153"/>
  <c r="B15" i="153"/>
  <c r="B16" i="153"/>
  <c r="B17" i="153"/>
  <c r="B18" i="153"/>
  <c r="B19" i="153"/>
  <c r="B20" i="153"/>
  <c r="B21" i="153"/>
  <c r="B22" i="153"/>
  <c r="S22" i="153"/>
  <c r="B23" i="153"/>
  <c r="B24" i="153"/>
  <c r="B25" i="153"/>
  <c r="B26" i="153"/>
  <c r="B27" i="153"/>
  <c r="B28" i="153"/>
  <c r="B29" i="153"/>
  <c r="B30" i="153"/>
  <c r="S30" i="153"/>
  <c r="B31" i="153"/>
  <c r="B32" i="153"/>
  <c r="B33" i="153"/>
  <c r="B34" i="153"/>
  <c r="B35" i="153"/>
  <c r="B36" i="153"/>
  <c r="B37" i="153"/>
  <c r="B38" i="153"/>
  <c r="S38" i="153"/>
  <c r="B39" i="153"/>
  <c r="B40" i="153"/>
  <c r="B41" i="153"/>
  <c r="B42" i="153"/>
  <c r="B43" i="153"/>
  <c r="B44" i="153"/>
  <c r="B45" i="153"/>
  <c r="B46" i="153"/>
  <c r="B47" i="153"/>
  <c r="S47" i="153"/>
  <c r="B48" i="153"/>
  <c r="B49" i="153"/>
  <c r="B50" i="153"/>
  <c r="B51" i="153"/>
  <c r="B52" i="153"/>
  <c r="B53" i="153"/>
  <c r="B54" i="153"/>
  <c r="B55" i="153"/>
  <c r="S55" i="153"/>
  <c r="B56" i="153"/>
  <c r="B57" i="153"/>
  <c r="B58" i="153"/>
  <c r="B59" i="153"/>
  <c r="B60" i="153"/>
  <c r="B4" i="152"/>
  <c r="O4" i="152"/>
  <c r="B5" i="152"/>
  <c r="B6" i="152"/>
  <c r="B7" i="152"/>
  <c r="B8" i="152"/>
  <c r="B9" i="152"/>
  <c r="B10" i="152"/>
  <c r="B11" i="152"/>
  <c r="B12" i="152"/>
  <c r="B13" i="152"/>
  <c r="O13" i="152"/>
  <c r="B14" i="152"/>
  <c r="B15" i="152"/>
  <c r="B16" i="152"/>
  <c r="B17" i="152"/>
  <c r="B18" i="152"/>
  <c r="B19" i="152"/>
  <c r="B20" i="152"/>
  <c r="B21" i="152"/>
  <c r="B22" i="152"/>
  <c r="O22" i="152"/>
  <c r="B23" i="152"/>
  <c r="B24" i="152"/>
  <c r="B25" i="152"/>
  <c r="B26" i="152"/>
  <c r="B27" i="152"/>
  <c r="B28" i="152"/>
  <c r="B29" i="152"/>
  <c r="B30" i="152"/>
  <c r="B31" i="152"/>
  <c r="B32" i="152"/>
  <c r="O32" i="152"/>
  <c r="B33" i="152"/>
  <c r="B34" i="152"/>
  <c r="B35" i="152"/>
  <c r="B36" i="152"/>
  <c r="B37" i="152"/>
  <c r="B38" i="152"/>
  <c r="B39" i="152"/>
  <c r="B40" i="152"/>
  <c r="B41" i="152"/>
  <c r="B42" i="152"/>
  <c r="O42" i="152"/>
  <c r="B43" i="152"/>
  <c r="B44" i="152"/>
  <c r="B45" i="152"/>
  <c r="B46" i="152"/>
  <c r="B47" i="152"/>
  <c r="B48" i="152"/>
  <c r="B49" i="152"/>
  <c r="B50" i="152"/>
  <c r="B51" i="152"/>
  <c r="B52" i="152"/>
  <c r="O52" i="152"/>
  <c r="B53" i="152"/>
  <c r="B54" i="152"/>
  <c r="B55" i="152"/>
  <c r="B56" i="152"/>
  <c r="B57" i="152"/>
  <c r="B58" i="152"/>
  <c r="B59" i="152"/>
  <c r="B60" i="152"/>
  <c r="B61" i="152"/>
  <c r="B62" i="152"/>
  <c r="O62" i="152"/>
  <c r="B63" i="152"/>
  <c r="B64" i="152"/>
  <c r="B65" i="152"/>
  <c r="B66" i="152"/>
  <c r="B67" i="152"/>
  <c r="B68" i="152"/>
  <c r="B69" i="152"/>
  <c r="B70" i="152"/>
  <c r="B71" i="152"/>
  <c r="B72" i="152"/>
  <c r="B73" i="152"/>
  <c r="B74" i="152"/>
  <c r="B75" i="152"/>
  <c r="B4" i="151"/>
  <c r="O4" i="151"/>
  <c r="B5" i="151"/>
  <c r="B6" i="151"/>
  <c r="B7" i="151"/>
  <c r="B8" i="151"/>
  <c r="B9" i="151"/>
  <c r="B10" i="151"/>
  <c r="B11" i="151"/>
  <c r="B12" i="151"/>
  <c r="B13" i="151"/>
  <c r="O13" i="151"/>
  <c r="B14" i="151"/>
  <c r="B15" i="151"/>
  <c r="B16" i="151"/>
  <c r="B17" i="151"/>
  <c r="B18" i="151"/>
  <c r="B19" i="151"/>
  <c r="B20" i="151"/>
  <c r="B21" i="151"/>
  <c r="B22" i="151"/>
  <c r="O22" i="151"/>
  <c r="B23" i="151"/>
  <c r="B24" i="151"/>
  <c r="B25" i="151"/>
  <c r="B26" i="151"/>
  <c r="B27" i="151"/>
  <c r="B28" i="151"/>
  <c r="B29" i="151"/>
  <c r="B30" i="151"/>
  <c r="O30" i="151"/>
  <c r="B31" i="151"/>
  <c r="B32" i="151"/>
  <c r="B33" i="151"/>
  <c r="B34" i="151"/>
  <c r="B35" i="151"/>
  <c r="B36" i="151"/>
  <c r="B37" i="151"/>
  <c r="B38" i="151"/>
  <c r="O38" i="151"/>
  <c r="B39" i="151"/>
  <c r="B40" i="151"/>
  <c r="B41" i="151"/>
  <c r="B42" i="151"/>
  <c r="B43" i="151"/>
  <c r="B44" i="151"/>
  <c r="B45" i="151"/>
  <c r="B46" i="151"/>
  <c r="B47" i="151"/>
  <c r="O47" i="151"/>
  <c r="B48" i="151"/>
  <c r="B49" i="151"/>
  <c r="B50" i="151"/>
  <c r="B51" i="151"/>
  <c r="B52" i="151"/>
  <c r="B53" i="151"/>
  <c r="B54" i="151"/>
  <c r="B55" i="151"/>
  <c r="O55" i="151"/>
  <c r="B56" i="151"/>
  <c r="B57" i="151"/>
  <c r="B58" i="151"/>
  <c r="B59" i="151"/>
  <c r="B60" i="151"/>
  <c r="B4" i="150"/>
  <c r="N4" i="150"/>
  <c r="B5" i="150"/>
  <c r="B6" i="150"/>
  <c r="B7" i="150"/>
  <c r="B8" i="150"/>
  <c r="B9" i="150"/>
  <c r="B10" i="150"/>
  <c r="B11" i="150"/>
  <c r="B12" i="150"/>
  <c r="B13" i="150"/>
  <c r="N13" i="150"/>
  <c r="B14" i="150"/>
  <c r="B15" i="150"/>
  <c r="B16" i="150"/>
  <c r="B17" i="150"/>
  <c r="B18" i="150"/>
  <c r="B19" i="150"/>
  <c r="B20" i="150"/>
  <c r="B21" i="150"/>
  <c r="B22" i="150"/>
  <c r="B23" i="150"/>
  <c r="N23" i="150"/>
  <c r="B24" i="150"/>
  <c r="B25" i="150"/>
  <c r="B26" i="150"/>
  <c r="B27" i="150"/>
  <c r="B28" i="150"/>
  <c r="B29" i="150"/>
  <c r="B30" i="150"/>
  <c r="B31" i="150"/>
  <c r="B32" i="150"/>
  <c r="N32" i="150"/>
  <c r="B33" i="150"/>
  <c r="B34" i="150"/>
  <c r="B35" i="150"/>
  <c r="B36" i="150"/>
  <c r="B37" i="150"/>
  <c r="B38" i="150"/>
  <c r="B39" i="150"/>
  <c r="B40" i="150"/>
  <c r="B41" i="150"/>
  <c r="N41" i="150"/>
  <c r="B42" i="150"/>
  <c r="B43" i="150"/>
  <c r="B44" i="150"/>
  <c r="B45" i="150"/>
  <c r="B46" i="150"/>
  <c r="B47" i="150"/>
  <c r="B48" i="150"/>
  <c r="B49" i="150"/>
  <c r="B50" i="150"/>
  <c r="B51" i="150"/>
  <c r="N51" i="150"/>
  <c r="B52" i="150"/>
  <c r="B53" i="150"/>
  <c r="B54" i="150"/>
  <c r="B55" i="150"/>
  <c r="B56" i="150"/>
  <c r="B57" i="150"/>
  <c r="B58" i="150"/>
  <c r="B59" i="150"/>
  <c r="B60" i="150"/>
  <c r="N60" i="150"/>
  <c r="B61" i="150"/>
  <c r="B62" i="150"/>
  <c r="B63" i="150"/>
  <c r="B64" i="150"/>
  <c r="B65" i="150"/>
  <c r="B4" i="149"/>
  <c r="M4" i="149"/>
  <c r="B5" i="149"/>
  <c r="B6" i="149"/>
  <c r="B7" i="149"/>
  <c r="B8" i="149"/>
  <c r="B9" i="149"/>
  <c r="B10" i="149"/>
  <c r="B11" i="149"/>
  <c r="B12" i="149"/>
  <c r="B13" i="149"/>
  <c r="M13" i="149"/>
  <c r="B14" i="149"/>
  <c r="B15" i="149"/>
  <c r="B16" i="149"/>
  <c r="B17" i="149"/>
  <c r="B18" i="149"/>
  <c r="B19" i="149"/>
  <c r="B20" i="149"/>
  <c r="B21" i="149"/>
  <c r="B22" i="149"/>
  <c r="B23" i="149"/>
  <c r="M23" i="149"/>
  <c r="B24" i="149"/>
  <c r="B25" i="149"/>
  <c r="B26" i="149"/>
  <c r="B27" i="149"/>
  <c r="B28" i="149"/>
  <c r="B29" i="149"/>
  <c r="B30" i="149"/>
  <c r="B31" i="149"/>
  <c r="B32" i="149"/>
  <c r="M32" i="149"/>
  <c r="B33" i="149"/>
  <c r="B34" i="149"/>
  <c r="B35" i="149"/>
  <c r="B36" i="149"/>
  <c r="B37" i="149"/>
  <c r="B38" i="149"/>
  <c r="B39" i="149"/>
  <c r="B40" i="149"/>
  <c r="B41" i="149"/>
  <c r="M41" i="149"/>
  <c r="B42" i="149"/>
  <c r="B43" i="149"/>
  <c r="B44" i="149"/>
  <c r="B45" i="149"/>
  <c r="B46" i="149"/>
  <c r="B47" i="149"/>
  <c r="B48" i="149"/>
  <c r="B49" i="149"/>
  <c r="B50" i="149"/>
  <c r="B51" i="149"/>
  <c r="M51" i="149"/>
  <c r="B52" i="149"/>
  <c r="B53" i="149"/>
  <c r="B54" i="149"/>
  <c r="B55" i="149"/>
  <c r="B56" i="149"/>
  <c r="B57" i="149"/>
  <c r="B58" i="149"/>
  <c r="B59" i="149"/>
  <c r="B60" i="149"/>
  <c r="M60" i="149"/>
  <c r="B61" i="149"/>
  <c r="B62" i="149"/>
  <c r="B63" i="149"/>
  <c r="B64" i="149"/>
  <c r="B65" i="149"/>
  <c r="B4" i="148"/>
  <c r="N4" i="148"/>
  <c r="B5" i="148"/>
  <c r="B6" i="148"/>
  <c r="B7" i="148"/>
  <c r="B8" i="148"/>
  <c r="B9" i="148"/>
  <c r="B10" i="148"/>
  <c r="B11" i="148"/>
  <c r="B12" i="148"/>
  <c r="B13" i="148"/>
  <c r="N13" i="148"/>
  <c r="B14" i="148"/>
  <c r="B15" i="148"/>
  <c r="B16" i="148"/>
  <c r="B17" i="148"/>
  <c r="B18" i="148"/>
  <c r="B19" i="148"/>
  <c r="B20" i="148"/>
  <c r="B21" i="148"/>
  <c r="B22" i="148"/>
  <c r="B23" i="148"/>
  <c r="N23" i="148"/>
  <c r="B24" i="148"/>
  <c r="B25" i="148"/>
  <c r="B26" i="148"/>
  <c r="B27" i="148"/>
  <c r="B28" i="148"/>
  <c r="B29" i="148"/>
  <c r="B30" i="148"/>
  <c r="B31" i="148"/>
  <c r="B32" i="148"/>
  <c r="N32" i="148"/>
  <c r="B33" i="148"/>
  <c r="B34" i="148"/>
  <c r="B35" i="148"/>
  <c r="B36" i="148"/>
  <c r="B37" i="148"/>
  <c r="B38" i="148"/>
  <c r="B39" i="148"/>
  <c r="B40" i="148"/>
  <c r="B41" i="148"/>
  <c r="N41" i="148"/>
  <c r="B42" i="148"/>
  <c r="B43" i="148"/>
  <c r="B44" i="148"/>
  <c r="B45" i="148"/>
  <c r="B46" i="148"/>
  <c r="B47" i="148"/>
  <c r="B48" i="148"/>
  <c r="B49" i="148"/>
  <c r="B50" i="148"/>
  <c r="B51" i="148"/>
  <c r="N51" i="148"/>
  <c r="B52" i="148"/>
  <c r="B53" i="148"/>
  <c r="B54" i="148"/>
  <c r="B55" i="148"/>
  <c r="B56" i="148"/>
  <c r="B57" i="148"/>
  <c r="B58" i="148"/>
  <c r="B59" i="148"/>
  <c r="B60" i="148"/>
  <c r="N60" i="148"/>
  <c r="B61" i="148"/>
  <c r="B62" i="148"/>
  <c r="B63" i="148"/>
  <c r="B64" i="148"/>
  <c r="B65" i="148"/>
  <c r="B66" i="148"/>
  <c r="B4" i="147"/>
  <c r="K4" i="147"/>
  <c r="B5" i="147"/>
  <c r="B6" i="147"/>
  <c r="B7" i="147"/>
  <c r="B8" i="147"/>
  <c r="B9" i="147"/>
  <c r="B10" i="147"/>
  <c r="B11" i="147"/>
  <c r="B12" i="147"/>
  <c r="B13" i="147"/>
  <c r="K13" i="147"/>
  <c r="B14" i="147"/>
  <c r="B15" i="147"/>
  <c r="B16" i="147"/>
  <c r="B17" i="147"/>
  <c r="B18" i="147"/>
  <c r="B19" i="147"/>
  <c r="B20" i="147"/>
  <c r="B21" i="147"/>
  <c r="B22" i="147"/>
  <c r="K22" i="147"/>
  <c r="B23" i="147"/>
  <c r="B24" i="147"/>
  <c r="B25" i="147"/>
  <c r="B26" i="147"/>
  <c r="B27" i="147"/>
  <c r="B28" i="147"/>
  <c r="B29" i="147"/>
  <c r="B30" i="147"/>
  <c r="B31" i="147"/>
  <c r="B32" i="147"/>
  <c r="K32" i="147"/>
  <c r="B33" i="147"/>
  <c r="B34" i="147"/>
  <c r="B35" i="147"/>
  <c r="B36" i="147"/>
  <c r="B37" i="147"/>
  <c r="B38" i="147"/>
  <c r="B39" i="147"/>
  <c r="B40" i="147"/>
  <c r="B41" i="147"/>
  <c r="B42" i="147"/>
  <c r="K42" i="147"/>
  <c r="B43" i="147"/>
  <c r="B44" i="147"/>
  <c r="B45" i="147"/>
  <c r="B46" i="147"/>
  <c r="B47" i="147"/>
  <c r="B48" i="147"/>
  <c r="B49" i="147"/>
  <c r="B50" i="147"/>
  <c r="B51" i="147"/>
  <c r="B52" i="147"/>
  <c r="K52" i="147"/>
  <c r="B53" i="147"/>
  <c r="B54" i="147"/>
  <c r="B55" i="147"/>
  <c r="B56" i="147"/>
  <c r="B57" i="147"/>
  <c r="B58" i="147"/>
  <c r="B59" i="147"/>
  <c r="B60" i="147"/>
  <c r="B61" i="147"/>
  <c r="B62" i="147"/>
  <c r="K62" i="147"/>
  <c r="B63" i="147"/>
  <c r="B64" i="147"/>
  <c r="B65" i="147"/>
  <c r="B66" i="147"/>
  <c r="B67" i="147"/>
  <c r="B68" i="147"/>
  <c r="B69" i="147"/>
  <c r="B70" i="147"/>
  <c r="B71" i="147"/>
  <c r="B72" i="147"/>
  <c r="B73" i="147"/>
  <c r="B74" i="147"/>
  <c r="B75" i="147"/>
  <c r="B4" i="146"/>
  <c r="J4" i="146"/>
  <c r="B5" i="146"/>
  <c r="B6" i="146"/>
  <c r="B7" i="146"/>
  <c r="B8" i="146"/>
  <c r="B9" i="146"/>
  <c r="B10" i="146"/>
  <c r="B11" i="146"/>
  <c r="B12" i="146"/>
  <c r="B13" i="146"/>
  <c r="J13" i="146"/>
  <c r="B14" i="146"/>
  <c r="B15" i="146"/>
  <c r="B16" i="146"/>
  <c r="B17" i="146"/>
  <c r="B18" i="146"/>
  <c r="B19" i="146"/>
  <c r="B20" i="146"/>
  <c r="B21" i="146"/>
  <c r="B22" i="146"/>
  <c r="B23" i="146"/>
  <c r="J23" i="146"/>
  <c r="B24" i="146"/>
  <c r="B25" i="146"/>
  <c r="B26" i="146"/>
  <c r="B27" i="146"/>
  <c r="B28" i="146"/>
  <c r="B29" i="146"/>
  <c r="B30" i="146"/>
  <c r="B31" i="146"/>
  <c r="B32" i="146"/>
  <c r="J32" i="146"/>
  <c r="B33" i="146"/>
  <c r="B34" i="146"/>
  <c r="B35" i="146"/>
  <c r="B36" i="146"/>
  <c r="B37" i="146"/>
  <c r="B38" i="146"/>
  <c r="B39" i="146"/>
  <c r="B40" i="146"/>
  <c r="B41" i="146"/>
  <c r="J41" i="146"/>
  <c r="B42" i="146"/>
  <c r="B43" i="146"/>
  <c r="B44" i="146"/>
  <c r="B45" i="146"/>
  <c r="B46" i="146"/>
  <c r="B47" i="146"/>
  <c r="B48" i="146"/>
  <c r="B49" i="146"/>
  <c r="B50" i="146"/>
  <c r="B51" i="146"/>
  <c r="J51" i="146"/>
  <c r="B52" i="146"/>
  <c r="B53" i="146"/>
  <c r="B54" i="146"/>
  <c r="B55" i="146"/>
  <c r="B56" i="146"/>
  <c r="B57" i="146"/>
  <c r="B58" i="146"/>
  <c r="B59" i="146"/>
  <c r="B60" i="146"/>
  <c r="J60" i="146"/>
  <c r="B61" i="146"/>
  <c r="B62" i="146"/>
  <c r="B63" i="146"/>
  <c r="B64" i="146"/>
  <c r="B65" i="146"/>
  <c r="B4" i="145"/>
  <c r="K4" i="145"/>
  <c r="B5" i="145"/>
  <c r="B6" i="145"/>
  <c r="B7" i="145"/>
  <c r="B8" i="145"/>
  <c r="B9" i="145"/>
  <c r="B10" i="145"/>
  <c r="B11" i="145"/>
  <c r="B12" i="145"/>
  <c r="B13" i="145"/>
  <c r="K13" i="145"/>
  <c r="B14" i="145"/>
  <c r="B15" i="145"/>
  <c r="B16" i="145"/>
  <c r="B17" i="145"/>
  <c r="B18" i="145"/>
  <c r="B19" i="145"/>
  <c r="B20" i="145"/>
  <c r="B21" i="145"/>
  <c r="B22" i="145"/>
  <c r="K22" i="145"/>
  <c r="B23" i="145"/>
  <c r="B24" i="145"/>
  <c r="B25" i="145"/>
  <c r="B26" i="145"/>
  <c r="B27" i="145"/>
  <c r="B28" i="145"/>
  <c r="B29" i="145"/>
  <c r="B30" i="145"/>
  <c r="K30" i="145"/>
  <c r="B31" i="145"/>
  <c r="B32" i="145"/>
  <c r="B33" i="145"/>
  <c r="B34" i="145"/>
  <c r="B35" i="145"/>
  <c r="B36" i="145"/>
  <c r="B37" i="145"/>
  <c r="B38" i="145"/>
  <c r="K38" i="145"/>
  <c r="B39" i="145"/>
  <c r="B40" i="145"/>
  <c r="B41" i="145"/>
  <c r="B42" i="145"/>
  <c r="B43" i="145"/>
  <c r="B44" i="145"/>
  <c r="B45" i="145"/>
  <c r="B46" i="145"/>
  <c r="B47" i="145"/>
  <c r="K47" i="145"/>
  <c r="B48" i="145"/>
  <c r="B49" i="145"/>
  <c r="B50" i="145"/>
  <c r="B51" i="145"/>
  <c r="B52" i="145"/>
  <c r="B53" i="145"/>
  <c r="B54" i="145"/>
  <c r="B55" i="145"/>
  <c r="K55" i="145"/>
  <c r="B56" i="145"/>
  <c r="B57" i="145"/>
  <c r="B58" i="145"/>
  <c r="B59" i="145"/>
  <c r="B60" i="145"/>
  <c r="B61" i="145"/>
  <c r="B4" i="144"/>
  <c r="J4" i="144"/>
  <c r="B5" i="144"/>
  <c r="B6" i="144"/>
  <c r="B7" i="144"/>
  <c r="B8" i="144"/>
  <c r="B9" i="144"/>
  <c r="B10" i="144"/>
  <c r="B11" i="144"/>
  <c r="B12" i="144"/>
  <c r="B13" i="144"/>
  <c r="J13" i="144"/>
  <c r="B14" i="144"/>
  <c r="B15" i="144"/>
  <c r="B16" i="144"/>
  <c r="B17" i="144"/>
  <c r="B18" i="144"/>
  <c r="B19" i="144"/>
  <c r="B20" i="144"/>
  <c r="B21" i="144"/>
  <c r="B22" i="144"/>
  <c r="B23" i="144"/>
  <c r="J23" i="144"/>
  <c r="B24" i="144"/>
  <c r="B25" i="144"/>
  <c r="B26" i="144"/>
  <c r="B27" i="144"/>
  <c r="B28" i="144"/>
  <c r="B29" i="144"/>
  <c r="B30" i="144"/>
  <c r="B31" i="144"/>
  <c r="B32" i="144"/>
  <c r="J32" i="144"/>
  <c r="B33" i="144"/>
  <c r="B34" i="144"/>
  <c r="B35" i="144"/>
  <c r="B36" i="144"/>
  <c r="B37" i="144"/>
  <c r="B38" i="144"/>
  <c r="B39" i="144"/>
  <c r="B40" i="144"/>
  <c r="B41" i="144"/>
  <c r="J41" i="144"/>
  <c r="B42" i="144"/>
  <c r="B43" i="144"/>
  <c r="B44" i="144"/>
  <c r="B45" i="144"/>
  <c r="B46" i="144"/>
  <c r="B47" i="144"/>
  <c r="B48" i="144"/>
  <c r="B49" i="144"/>
  <c r="B50" i="144"/>
  <c r="B51" i="144"/>
  <c r="J51" i="144"/>
  <c r="B52" i="144"/>
  <c r="B53" i="144"/>
  <c r="B54" i="144"/>
  <c r="B55" i="144"/>
  <c r="B56" i="144"/>
  <c r="B57" i="144"/>
  <c r="B58" i="144"/>
  <c r="B59" i="144"/>
  <c r="B60" i="144"/>
  <c r="J60" i="144"/>
  <c r="B61" i="144"/>
  <c r="B62" i="144"/>
  <c r="B63" i="144"/>
  <c r="B64" i="144"/>
  <c r="B65" i="144"/>
  <c r="B66" i="144"/>
  <c r="B4" i="143"/>
  <c r="I4" i="143"/>
  <c r="B5" i="143"/>
  <c r="B6" i="143"/>
  <c r="B7" i="143"/>
  <c r="B8" i="143"/>
  <c r="B9" i="143"/>
  <c r="B10" i="143"/>
  <c r="B11" i="143"/>
  <c r="B12" i="143"/>
  <c r="B13" i="143"/>
  <c r="I13" i="143"/>
  <c r="B14" i="143"/>
  <c r="B15" i="143"/>
  <c r="B16" i="143"/>
  <c r="B17" i="143"/>
  <c r="B18" i="143"/>
  <c r="B19" i="143"/>
  <c r="B20" i="143"/>
  <c r="B21" i="143"/>
  <c r="B22" i="143"/>
  <c r="I22" i="143"/>
  <c r="B23" i="143"/>
  <c r="B24" i="143"/>
  <c r="B25" i="143"/>
  <c r="B26" i="143"/>
  <c r="B27" i="143"/>
  <c r="B28" i="143"/>
  <c r="B29" i="143"/>
  <c r="B30" i="143"/>
  <c r="B31" i="143"/>
  <c r="B32" i="143"/>
  <c r="I32" i="143"/>
  <c r="B33" i="143"/>
  <c r="B34" i="143"/>
  <c r="B35" i="143"/>
  <c r="B36" i="143"/>
  <c r="B37" i="143"/>
  <c r="B38" i="143"/>
  <c r="B39" i="143"/>
  <c r="B40" i="143"/>
  <c r="B41" i="143"/>
  <c r="B42" i="143"/>
  <c r="I42" i="143"/>
  <c r="B43" i="143"/>
  <c r="B44" i="143"/>
  <c r="B45" i="143"/>
  <c r="B46" i="143"/>
  <c r="B47" i="143"/>
  <c r="B48" i="143"/>
  <c r="B49" i="143"/>
  <c r="B50" i="143"/>
  <c r="B51" i="143"/>
  <c r="B52" i="143"/>
  <c r="I52" i="143"/>
  <c r="B53" i="143"/>
  <c r="B54" i="143"/>
  <c r="B55" i="143"/>
  <c r="B56" i="143"/>
  <c r="B57" i="143"/>
  <c r="B58" i="143"/>
  <c r="B59" i="143"/>
  <c r="B60" i="143"/>
  <c r="B61" i="143"/>
  <c r="B62" i="143"/>
  <c r="I62" i="143"/>
  <c r="B63" i="143"/>
  <c r="B64" i="143"/>
  <c r="B65" i="143"/>
  <c r="B66" i="143"/>
  <c r="B67" i="143"/>
  <c r="B68" i="143"/>
  <c r="B4" i="142"/>
  <c r="G4" i="142"/>
  <c r="B5" i="142"/>
  <c r="B6" i="142"/>
  <c r="B7" i="142"/>
  <c r="B8" i="142"/>
  <c r="B9" i="142"/>
  <c r="B10" i="142"/>
  <c r="B11" i="142"/>
  <c r="B12" i="142"/>
  <c r="B13" i="142"/>
  <c r="G13" i="142"/>
  <c r="B14" i="142"/>
  <c r="B15" i="142"/>
  <c r="B16" i="142"/>
  <c r="B17" i="142"/>
  <c r="B18" i="142"/>
  <c r="B19" i="142"/>
  <c r="B20" i="142"/>
  <c r="B21" i="142"/>
  <c r="B22" i="142"/>
  <c r="G22" i="142"/>
  <c r="B23" i="142"/>
  <c r="B24" i="142"/>
  <c r="B25" i="142"/>
  <c r="B26" i="142"/>
  <c r="B27" i="142"/>
  <c r="B28" i="142"/>
  <c r="B29" i="142"/>
  <c r="B30" i="142"/>
  <c r="B31" i="142"/>
  <c r="B32" i="142"/>
  <c r="G32" i="142"/>
  <c r="B33" i="142"/>
  <c r="B34" i="142"/>
  <c r="B35" i="142"/>
  <c r="B36" i="142"/>
  <c r="B37" i="142"/>
  <c r="B38" i="142"/>
  <c r="B39" i="142"/>
  <c r="B40" i="142"/>
  <c r="B41" i="142"/>
  <c r="B42" i="142"/>
  <c r="G42" i="142"/>
  <c r="B43" i="142"/>
  <c r="B44" i="142"/>
  <c r="B45" i="142"/>
  <c r="B46" i="142"/>
  <c r="B47" i="142"/>
  <c r="B48" i="142"/>
  <c r="B49" i="142"/>
  <c r="B50" i="142"/>
  <c r="B51" i="142"/>
  <c r="B52" i="142"/>
  <c r="G52" i="142"/>
  <c r="B53" i="142"/>
  <c r="B54" i="142"/>
  <c r="B55" i="142"/>
  <c r="B56" i="142"/>
  <c r="B57" i="142"/>
  <c r="B58" i="142"/>
  <c r="B59" i="142"/>
  <c r="B60" i="142"/>
  <c r="B61" i="142"/>
  <c r="B4" i="141"/>
  <c r="G4" i="141"/>
  <c r="B5" i="141"/>
  <c r="B6" i="141"/>
  <c r="B7" i="141"/>
  <c r="B8" i="141"/>
  <c r="B9" i="141"/>
  <c r="B10" i="141"/>
  <c r="B11" i="141"/>
  <c r="B12" i="141"/>
  <c r="B13" i="141"/>
  <c r="G13" i="141"/>
  <c r="B14" i="141"/>
  <c r="B15" i="141"/>
  <c r="B16" i="141"/>
  <c r="B17" i="141"/>
  <c r="B18" i="141"/>
  <c r="B19" i="141"/>
  <c r="B20" i="141"/>
  <c r="B21" i="141"/>
  <c r="B22" i="141"/>
  <c r="G22" i="141"/>
  <c r="B23" i="141"/>
  <c r="B24" i="141"/>
  <c r="B25" i="141"/>
  <c r="B26" i="141"/>
  <c r="B27" i="141"/>
  <c r="B28" i="141"/>
  <c r="B29" i="141"/>
  <c r="B30" i="141"/>
  <c r="B31" i="141"/>
  <c r="G31" i="141"/>
  <c r="B32" i="141"/>
  <c r="B33" i="141"/>
  <c r="B34" i="141"/>
  <c r="B35" i="141"/>
  <c r="B36" i="141"/>
  <c r="B37" i="141"/>
  <c r="B38" i="141"/>
  <c r="B39" i="141"/>
  <c r="B40" i="141"/>
  <c r="G40" i="141"/>
  <c r="B41" i="141"/>
  <c r="B42" i="141"/>
  <c r="B43" i="141"/>
  <c r="B44" i="141"/>
  <c r="B45" i="141"/>
  <c r="B46" i="141"/>
  <c r="B47" i="141"/>
  <c r="B48" i="141"/>
  <c r="B49" i="141"/>
  <c r="G49" i="141"/>
  <c r="B50" i="141"/>
  <c r="B51" i="141"/>
  <c r="B52" i="141"/>
  <c r="B53" i="141"/>
  <c r="B54" i="141"/>
  <c r="B55" i="141"/>
  <c r="B56" i="141"/>
  <c r="B57" i="141"/>
  <c r="B4" i="140"/>
  <c r="G4" i="140"/>
  <c r="B5" i="140"/>
  <c r="B6" i="140"/>
  <c r="B7" i="140"/>
  <c r="B8" i="140"/>
  <c r="B9" i="140"/>
  <c r="B10" i="140"/>
  <c r="B11" i="140"/>
  <c r="B12" i="140"/>
  <c r="B13" i="140"/>
  <c r="G13" i="140"/>
  <c r="B14" i="140"/>
  <c r="B15" i="140"/>
  <c r="B16" i="140"/>
  <c r="B17" i="140"/>
  <c r="B18" i="140"/>
  <c r="B19" i="140"/>
  <c r="B20" i="140"/>
  <c r="B21" i="140"/>
  <c r="B22" i="140"/>
  <c r="G22" i="140"/>
  <c r="B23" i="140"/>
  <c r="B24" i="140"/>
  <c r="B25" i="140"/>
  <c r="B26" i="140"/>
  <c r="B27" i="140"/>
  <c r="B28" i="140"/>
  <c r="B29" i="140"/>
  <c r="B30" i="140"/>
  <c r="B31" i="140"/>
  <c r="G31" i="140"/>
  <c r="B32" i="140"/>
  <c r="B33" i="140"/>
  <c r="B34" i="140"/>
  <c r="B35" i="140"/>
  <c r="B36" i="140"/>
  <c r="B37" i="140"/>
  <c r="B38" i="140"/>
  <c r="B39" i="140"/>
  <c r="B40" i="140"/>
  <c r="G40" i="140"/>
  <c r="B41" i="140"/>
  <c r="B42" i="140"/>
  <c r="B43" i="140"/>
  <c r="B44" i="140"/>
  <c r="B45" i="140"/>
  <c r="B46" i="140"/>
  <c r="B47" i="140"/>
  <c r="B48" i="140"/>
  <c r="B49" i="140"/>
  <c r="G49" i="140"/>
  <c r="B50" i="140"/>
  <c r="B51" i="140"/>
  <c r="B52" i="140"/>
  <c r="B4" i="139"/>
  <c r="G4" i="139"/>
  <c r="B5" i="139"/>
  <c r="B6" i="139"/>
  <c r="B7" i="139"/>
  <c r="B8" i="139"/>
  <c r="B9" i="139"/>
  <c r="B10" i="139"/>
  <c r="B11" i="139"/>
  <c r="B12" i="139"/>
  <c r="B13" i="139"/>
  <c r="G13" i="139"/>
  <c r="B14" i="139"/>
  <c r="B15" i="139"/>
  <c r="B16" i="139"/>
  <c r="B17" i="139"/>
  <c r="B18" i="139"/>
  <c r="B19" i="139"/>
  <c r="B20" i="139"/>
  <c r="B21" i="139"/>
  <c r="B22" i="139"/>
  <c r="G22" i="139"/>
  <c r="B23" i="139"/>
  <c r="B24" i="139"/>
  <c r="B25" i="139"/>
  <c r="B26" i="139"/>
  <c r="B27" i="139"/>
  <c r="B28" i="139"/>
  <c r="B29" i="139"/>
  <c r="B30" i="139"/>
  <c r="B31" i="139"/>
  <c r="B32" i="139"/>
  <c r="G32" i="139"/>
  <c r="B33" i="139"/>
  <c r="B34" i="139"/>
  <c r="B35" i="139"/>
  <c r="B36" i="139"/>
  <c r="B37" i="139"/>
  <c r="B38" i="139"/>
  <c r="B39" i="139"/>
  <c r="B40" i="139"/>
  <c r="B41" i="139"/>
  <c r="B42" i="139"/>
  <c r="G42" i="139"/>
  <c r="B43" i="139"/>
  <c r="B44" i="139"/>
  <c r="B45" i="139"/>
  <c r="B46" i="139"/>
  <c r="B47" i="139"/>
  <c r="B48" i="139"/>
  <c r="B49" i="139"/>
  <c r="B50" i="139"/>
  <c r="B51" i="139"/>
  <c r="B52" i="139"/>
  <c r="G52" i="139"/>
  <c r="B53" i="139"/>
  <c r="B54" i="139"/>
  <c r="B55" i="139"/>
  <c r="B56" i="139"/>
  <c r="B57" i="139"/>
  <c r="B58" i="139"/>
  <c r="B59" i="139"/>
  <c r="B60" i="139"/>
  <c r="B61" i="139"/>
  <c r="B62" i="139"/>
  <c r="G62" i="139"/>
  <c r="B63" i="139"/>
  <c r="B64" i="139"/>
  <c r="B65" i="139"/>
  <c r="B66" i="139"/>
  <c r="B67" i="139"/>
  <c r="B68" i="139"/>
  <c r="B69" i="139"/>
  <c r="B70" i="139"/>
  <c r="B71" i="139"/>
  <c r="B72" i="139"/>
  <c r="B73" i="139"/>
  <c r="B74" i="139"/>
  <c r="B75" i="139"/>
  <c r="B4" i="138"/>
  <c r="G4" i="138"/>
  <c r="B5" i="138"/>
  <c r="B6" i="138"/>
  <c r="B7" i="138"/>
  <c r="B8" i="138"/>
  <c r="B9" i="138"/>
  <c r="B10" i="138"/>
  <c r="B11" i="138"/>
  <c r="B12" i="138"/>
  <c r="B13" i="138"/>
  <c r="G13" i="138"/>
  <c r="B14" i="138"/>
  <c r="B15" i="138"/>
  <c r="B16" i="138"/>
  <c r="B17" i="138"/>
  <c r="B18" i="138"/>
  <c r="B19" i="138"/>
  <c r="B20" i="138"/>
  <c r="B21" i="138"/>
  <c r="B22" i="138"/>
  <c r="G22" i="138"/>
  <c r="B23" i="138"/>
  <c r="B24" i="138"/>
  <c r="B25" i="138"/>
  <c r="B26" i="138"/>
  <c r="B27" i="138"/>
  <c r="B28" i="138"/>
  <c r="B29" i="138"/>
  <c r="B30" i="138"/>
  <c r="G30" i="138"/>
  <c r="B31" i="138"/>
  <c r="B32" i="138"/>
  <c r="B33" i="138"/>
  <c r="B34" i="138"/>
  <c r="B35" i="138"/>
  <c r="B36" i="138"/>
  <c r="B37" i="138"/>
  <c r="B38" i="138"/>
  <c r="G38" i="138"/>
  <c r="B39" i="138"/>
  <c r="B40" i="138"/>
  <c r="B41" i="138"/>
  <c r="B42" i="138"/>
  <c r="B43" i="138"/>
  <c r="B44" i="138"/>
  <c r="B45" i="138"/>
  <c r="B46" i="138"/>
  <c r="B47" i="138"/>
  <c r="G47" i="138"/>
  <c r="B48" i="138"/>
  <c r="B49" i="138"/>
  <c r="B50" i="138"/>
  <c r="B51" i="138"/>
  <c r="B52" i="138"/>
  <c r="B53" i="138"/>
  <c r="B54" i="138"/>
  <c r="B55" i="138"/>
  <c r="G55" i="138"/>
  <c r="B56" i="138"/>
  <c r="B57" i="138"/>
  <c r="B58" i="138"/>
  <c r="B59" i="138"/>
  <c r="B60" i="138"/>
  <c r="B4" i="137"/>
  <c r="F4" i="137"/>
  <c r="B5" i="137"/>
  <c r="B6" i="137"/>
  <c r="B7" i="137"/>
  <c r="B8" i="137"/>
  <c r="B9" i="137"/>
  <c r="B10" i="137"/>
  <c r="B11" i="137"/>
  <c r="B12" i="137"/>
  <c r="B13" i="137"/>
  <c r="F13" i="137"/>
  <c r="B14" i="137"/>
  <c r="B15" i="137"/>
  <c r="B16" i="137"/>
  <c r="B17" i="137"/>
  <c r="B18" i="137"/>
  <c r="B19" i="137"/>
  <c r="B20" i="137"/>
  <c r="B21" i="137"/>
  <c r="B22" i="137"/>
  <c r="B23" i="137"/>
  <c r="F23" i="137"/>
  <c r="B24" i="137"/>
  <c r="B25" i="137"/>
  <c r="B26" i="137"/>
  <c r="B27" i="137"/>
  <c r="B28" i="137"/>
  <c r="B29" i="137"/>
  <c r="B30" i="137"/>
  <c r="B31" i="137"/>
  <c r="B32" i="137"/>
  <c r="F32" i="137"/>
  <c r="B33" i="137"/>
  <c r="B34" i="137"/>
  <c r="B35" i="137"/>
  <c r="B36" i="137"/>
  <c r="B37" i="137"/>
  <c r="B38" i="137"/>
  <c r="B39" i="137"/>
  <c r="B40" i="137"/>
  <c r="B41" i="137"/>
  <c r="F41" i="137"/>
  <c r="B42" i="137"/>
  <c r="B43" i="137"/>
  <c r="B44" i="137"/>
  <c r="B45" i="137"/>
  <c r="B46" i="137"/>
  <c r="B47" i="137"/>
  <c r="B48" i="137"/>
  <c r="B49" i="137"/>
  <c r="B50" i="137"/>
  <c r="B51" i="137"/>
  <c r="F51" i="137"/>
  <c r="B52" i="137"/>
  <c r="B53" i="137"/>
  <c r="B54" i="137"/>
  <c r="B55" i="137"/>
  <c r="B56" i="137"/>
  <c r="B57" i="137"/>
  <c r="B58" i="137"/>
  <c r="B59" i="137"/>
  <c r="B4" i="136"/>
  <c r="E4" i="136"/>
  <c r="B5" i="136"/>
  <c r="B6" i="136"/>
  <c r="B7" i="136"/>
  <c r="B8" i="136"/>
  <c r="B9" i="136"/>
  <c r="B10" i="136"/>
  <c r="B11" i="136"/>
  <c r="B12" i="136"/>
  <c r="B13" i="136"/>
  <c r="E13" i="136"/>
  <c r="B14" i="136"/>
  <c r="B15" i="136"/>
  <c r="B16" i="136"/>
  <c r="B17" i="136"/>
  <c r="B18" i="136"/>
  <c r="B19" i="136"/>
  <c r="B20" i="136"/>
  <c r="B21" i="136"/>
  <c r="B22" i="136"/>
  <c r="E22" i="136"/>
  <c r="B23" i="136"/>
  <c r="B24" i="136"/>
  <c r="B25" i="136"/>
  <c r="B26" i="136"/>
  <c r="B27" i="136"/>
  <c r="B28" i="136"/>
  <c r="B29" i="136"/>
  <c r="B30" i="136"/>
  <c r="B31" i="136"/>
  <c r="B32" i="136"/>
  <c r="E32" i="136"/>
  <c r="B33" i="136"/>
  <c r="B34" i="136"/>
  <c r="B35" i="136"/>
  <c r="B36" i="136"/>
  <c r="B37" i="136"/>
  <c r="B38" i="136"/>
  <c r="B39" i="136"/>
  <c r="B40" i="136"/>
  <c r="B41" i="136"/>
  <c r="B42" i="136"/>
  <c r="E42" i="136"/>
  <c r="B43" i="136"/>
  <c r="B44" i="136"/>
  <c r="B45" i="136"/>
  <c r="B46" i="136"/>
  <c r="B47" i="136"/>
  <c r="B48" i="136"/>
  <c r="B49" i="136"/>
  <c r="B50" i="136"/>
  <c r="B51" i="136"/>
  <c r="B52" i="136"/>
  <c r="E52" i="136"/>
  <c r="B53" i="136"/>
  <c r="B54" i="136"/>
  <c r="B55" i="136"/>
  <c r="B56" i="136"/>
  <c r="B57" i="136"/>
  <c r="B58" i="136"/>
  <c r="B59" i="136"/>
  <c r="B60" i="136"/>
  <c r="B61" i="136"/>
  <c r="B4" i="135"/>
  <c r="F4" i="135"/>
  <c r="B5" i="135"/>
  <c r="B6" i="135"/>
  <c r="B7" i="135"/>
  <c r="B8" i="135"/>
  <c r="B9" i="135"/>
  <c r="B10" i="135"/>
  <c r="B11" i="135"/>
  <c r="F11" i="135"/>
  <c r="B12" i="135"/>
  <c r="B13" i="135"/>
  <c r="B14" i="135"/>
  <c r="B15" i="135"/>
  <c r="B16" i="135"/>
  <c r="B17" i="135"/>
  <c r="B18" i="135"/>
  <c r="F18" i="135"/>
  <c r="B19" i="135"/>
  <c r="B20" i="135"/>
  <c r="B21" i="135"/>
  <c r="B22" i="135"/>
  <c r="B23" i="135"/>
  <c r="B24" i="135"/>
  <c r="B25" i="135"/>
  <c r="F25" i="135"/>
  <c r="B26" i="135"/>
  <c r="B27" i="135"/>
  <c r="B28" i="135"/>
  <c r="B29" i="135"/>
  <c r="B30" i="135"/>
  <c r="B31" i="135"/>
  <c r="B32" i="135"/>
  <c r="F32" i="135"/>
  <c r="B33" i="135"/>
  <c r="B34" i="135"/>
  <c r="B35" i="135"/>
  <c r="B36" i="135"/>
  <c r="B37" i="135"/>
  <c r="B38" i="135"/>
  <c r="B39" i="135"/>
  <c r="F39" i="135"/>
  <c r="B40" i="135"/>
  <c r="B41" i="135"/>
  <c r="B42" i="135"/>
  <c r="B43" i="135"/>
  <c r="B44" i="135"/>
  <c r="B45" i="135"/>
  <c r="B46" i="135"/>
  <c r="B47" i="135"/>
  <c r="I81" i="156" l="1"/>
  <c r="I66" i="156"/>
  <c r="I79" i="156"/>
  <c r="I77" i="156"/>
  <c r="I62" i="156"/>
  <c r="I74" i="156"/>
  <c r="I70" i="156"/>
  <c r="I65" i="156"/>
  <c r="I58" i="156"/>
  <c r="I86" i="156"/>
  <c r="I73" i="156"/>
  <c r="I82" i="156"/>
  <c r="I64" i="156"/>
  <c r="I61" i="156"/>
  <c r="I76" i="156"/>
  <c r="I57" i="156"/>
  <c r="I69" i="156"/>
  <c r="I80" i="156"/>
  <c r="I78" i="156"/>
  <c r="I72" i="156"/>
  <c r="I68" i="156"/>
  <c r="I84" i="156"/>
  <c r="I75" i="156"/>
  <c r="I63" i="156"/>
  <c r="I60" i="156"/>
  <c r="B4" i="101" l="1"/>
  <c r="D4" i="101"/>
  <c r="B5" i="101"/>
  <c r="B6" i="101"/>
  <c r="B7" i="101"/>
  <c r="B8" i="101"/>
  <c r="B9" i="101"/>
  <c r="B10" i="101"/>
  <c r="B11" i="101"/>
  <c r="B12" i="101"/>
  <c r="B13" i="101"/>
  <c r="B14" i="101"/>
  <c r="D14" i="101"/>
  <c r="B15" i="101"/>
  <c r="B16" i="101"/>
  <c r="B17" i="101"/>
  <c r="B18" i="101"/>
  <c r="B19" i="101"/>
  <c r="B20" i="101"/>
  <c r="B21" i="101"/>
  <c r="B22" i="101"/>
  <c r="B23" i="101"/>
  <c r="B24" i="101"/>
  <c r="D24" i="101"/>
  <c r="B25" i="101"/>
  <c r="B26" i="101"/>
  <c r="B27" i="101"/>
  <c r="B28" i="101"/>
  <c r="B29" i="101"/>
  <c r="B30" i="101"/>
  <c r="B31" i="101"/>
  <c r="B32" i="101"/>
  <c r="B33" i="101"/>
  <c r="B34" i="101"/>
  <c r="D34" i="101"/>
  <c r="B35" i="101"/>
  <c r="B36" i="101"/>
  <c r="B37" i="101"/>
  <c r="B38" i="101"/>
  <c r="B39" i="101"/>
  <c r="B40" i="101"/>
  <c r="B41" i="101"/>
  <c r="B42" i="101"/>
  <c r="B43" i="101"/>
  <c r="B44" i="101"/>
  <c r="D44" i="101"/>
  <c r="B45" i="101"/>
  <c r="B46" i="101"/>
  <c r="B47" i="101"/>
  <c r="B48" i="101"/>
  <c r="B49" i="101"/>
  <c r="B50" i="101"/>
  <c r="B51" i="101"/>
  <c r="B52" i="101"/>
  <c r="B53" i="101"/>
  <c r="B54" i="101"/>
  <c r="D54" i="101"/>
  <c r="B55" i="101"/>
  <c r="B56" i="101"/>
  <c r="B57" i="101"/>
  <c r="B58" i="101"/>
  <c r="B59" i="101"/>
  <c r="B60" i="101"/>
  <c r="B61" i="101"/>
  <c r="B62" i="101"/>
  <c r="B63" i="101"/>
  <c r="B64" i="101"/>
  <c r="D64" i="101"/>
  <c r="B65" i="101"/>
  <c r="B66" i="101"/>
  <c r="B67" i="101"/>
  <c r="B68" i="101"/>
  <c r="B69" i="101"/>
  <c r="B70" i="101"/>
  <c r="B71" i="101"/>
  <c r="B72" i="101"/>
  <c r="B73" i="101"/>
  <c r="K46" i="85" l="1"/>
  <c r="K39" i="85"/>
  <c r="K32" i="85"/>
  <c r="K25" i="85"/>
  <c r="K18" i="85"/>
  <c r="K11" i="85"/>
  <c r="K4" i="85"/>
  <c r="B4" i="85"/>
  <c r="B5" i="85"/>
  <c r="B6" i="85"/>
  <c r="B7" i="85"/>
  <c r="B8" i="85"/>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G46" i="78"/>
  <c r="G39" i="78"/>
  <c r="G32" i="78"/>
  <c r="G25" i="78"/>
  <c r="G18" i="78"/>
  <c r="G11" i="78"/>
  <c r="G4" i="78"/>
  <c r="B4" i="78"/>
  <c r="B5" i="78"/>
  <c r="B6" i="78"/>
  <c r="B7" i="78"/>
  <c r="B8" i="78"/>
  <c r="B9" i="78"/>
  <c r="B10" i="78"/>
  <c r="B11" i="78"/>
  <c r="B12" i="78"/>
  <c r="B13" i="78"/>
  <c r="B14" i="78"/>
  <c r="B15" i="78"/>
  <c r="B16" i="78"/>
  <c r="B17" i="78"/>
  <c r="B18" i="78"/>
  <c r="B19" i="78"/>
  <c r="B20" i="78"/>
  <c r="B21" i="78"/>
  <c r="B22" i="78"/>
  <c r="B23" i="78"/>
  <c r="B24" i="78"/>
  <c r="B25" i="78"/>
  <c r="B26" i="78"/>
  <c r="B27" i="78"/>
  <c r="B28" i="78"/>
  <c r="B29" i="78"/>
  <c r="B30" i="78"/>
  <c r="B31" i="78"/>
  <c r="B32" i="78"/>
  <c r="B33" i="78"/>
  <c r="B34" i="78"/>
  <c r="B35" i="78"/>
  <c r="B36" i="78"/>
  <c r="B37" i="78"/>
  <c r="B38" i="78"/>
  <c r="B39" i="78"/>
  <c r="B40" i="78"/>
  <c r="B41" i="78"/>
  <c r="B42" i="78"/>
  <c r="B43" i="78"/>
  <c r="B44" i="78"/>
  <c r="B45" i="78"/>
  <c r="B46" i="78"/>
  <c r="B47" i="78"/>
  <c r="B48" i="78"/>
  <c r="B49" i="78"/>
  <c r="B50" i="78"/>
  <c r="B51" i="78"/>
  <c r="B52" i="78"/>
  <c r="B7" i="15" l="1"/>
  <c r="Q88" i="15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<sst xmlns="http://schemas.openxmlformats.org/spreadsheetml/2006/main" count="9044" uniqueCount="1289">
  <si>
    <t>صفحة المدخلات – إعدادات جداول البطولات</t>
  </si>
  <si>
    <t>البند</t>
  </si>
  <si>
    <t>القيمة</t>
  </si>
  <si>
    <t>وقت بداية اليوم</t>
  </si>
  <si>
    <t>مدة المباراة (دقيقة)</t>
  </si>
  <si>
    <t>الفاصل بين المباريات (دقيقة)</t>
  </si>
  <si>
    <t>طول الفترة الكاملة (دقيقة)</t>
  </si>
  <si>
    <t>الوقت</t>
  </si>
  <si>
    <t>ملعب 1</t>
  </si>
  <si>
    <t>ملعب 2</t>
  </si>
  <si>
    <t>2 ضد 5</t>
  </si>
  <si>
    <t>1 ضد 3</t>
  </si>
  <si>
    <t>4 ضد 6</t>
  </si>
  <si>
    <t>4 ضد 5</t>
  </si>
  <si>
    <t>1 ضد 2</t>
  </si>
  <si>
    <t>3 ضد 6</t>
  </si>
  <si>
    <t>3 ضد 5</t>
  </si>
  <si>
    <t>2 ضد 4</t>
  </si>
  <si>
    <t>1 ضد 6</t>
  </si>
  <si>
    <t>5 ضد 6</t>
  </si>
  <si>
    <t>2 ضد 3</t>
  </si>
  <si>
    <t>1 ضد 4</t>
  </si>
  <si>
    <t>3 ضد 4</t>
  </si>
  <si>
    <t>1 ضد 5</t>
  </si>
  <si>
    <t>2 ضد 6</t>
  </si>
  <si>
    <t>2 ضد 7</t>
  </si>
  <si>
    <t>6 ضد 7</t>
  </si>
  <si>
    <t>5 ضد 7</t>
  </si>
  <si>
    <t>1 ضد 7</t>
  </si>
  <si>
    <t>4 ضد 7</t>
  </si>
  <si>
    <t>3 ضد 7</t>
  </si>
  <si>
    <t>6 ضد 8</t>
  </si>
  <si>
    <t>1 ضد 8</t>
  </si>
  <si>
    <t>7 ضد 8</t>
  </si>
  <si>
    <t>2 ضد 8</t>
  </si>
  <si>
    <t>4 ضد 8</t>
  </si>
  <si>
    <t>3 ضد 8</t>
  </si>
  <si>
    <t>5 ضد 8</t>
  </si>
  <si>
    <t>4 ضد 9</t>
  </si>
  <si>
    <t>1 ضد 9</t>
  </si>
  <si>
    <t>6 ضد 9</t>
  </si>
  <si>
    <t>5 ضد 9</t>
  </si>
  <si>
    <t>3 ضد 9</t>
  </si>
  <si>
    <t>2 ضد 9</t>
  </si>
  <si>
    <t>8 ضد 9</t>
  </si>
  <si>
    <t>7 ضد 9</t>
  </si>
  <si>
    <t>1 ضد 10</t>
  </si>
  <si>
    <t>2 ضد 10</t>
  </si>
  <si>
    <t>8 ضد 10</t>
  </si>
  <si>
    <t>9 ضد 10</t>
  </si>
  <si>
    <t>5 ضد 10</t>
  </si>
  <si>
    <t>4 ضد 10</t>
  </si>
  <si>
    <t>7 ضد 10</t>
  </si>
  <si>
    <t>3 ضد 10</t>
  </si>
  <si>
    <t>6 ضد 10</t>
  </si>
  <si>
    <t>9 ضد 11</t>
  </si>
  <si>
    <t>8 ضد 11</t>
  </si>
  <si>
    <t>1 ضد 11</t>
  </si>
  <si>
    <t>2 ضد 11</t>
  </si>
  <si>
    <t>10 ضد 11</t>
  </si>
  <si>
    <t>6 ضد 11</t>
  </si>
  <si>
    <t>4 ضد 11</t>
  </si>
  <si>
    <t>3 ضد 11</t>
  </si>
  <si>
    <t>7 ضد 11</t>
  </si>
  <si>
    <t>5 ضد 11</t>
  </si>
  <si>
    <t>1 ضد 12</t>
  </si>
  <si>
    <t>7 ضد 12</t>
  </si>
  <si>
    <t>10 ضد 12</t>
  </si>
  <si>
    <t>3 ضد 12</t>
  </si>
  <si>
    <t>2 ضد 12</t>
  </si>
  <si>
    <t>9 ضد 12</t>
  </si>
  <si>
    <t>8 ضد 12</t>
  </si>
  <si>
    <t>6 ضد 12</t>
  </si>
  <si>
    <t>5 ضد 12</t>
  </si>
  <si>
    <t>4 ضد 12</t>
  </si>
  <si>
    <t>11 ضد 12</t>
  </si>
  <si>
    <t>عدد الفرق</t>
  </si>
  <si>
    <t>عدد الملاعب</t>
  </si>
  <si>
    <t>وقت البداية</t>
  </si>
  <si>
    <t>9 ضد 13</t>
  </si>
  <si>
    <t>12 ضد 13</t>
  </si>
  <si>
    <t>8 ضد 13</t>
  </si>
  <si>
    <t>12 ضد 14</t>
  </si>
  <si>
    <t>11 ضد 14</t>
  </si>
  <si>
    <t>ملعب 3</t>
  </si>
  <si>
    <t>14 ضد 16</t>
  </si>
  <si>
    <t>11 ضد 15</t>
  </si>
  <si>
    <t>10 ضد 16</t>
  </si>
  <si>
    <t>15 ضد 16</t>
  </si>
  <si>
    <t>11 ضد 16</t>
  </si>
  <si>
    <t>12 ضد 15</t>
  </si>
  <si>
    <t>13 ضد 14</t>
  </si>
  <si>
    <t>9 ضد 14</t>
  </si>
  <si>
    <t>10 ضد 13</t>
  </si>
  <si>
    <t>13 ضد 17</t>
  </si>
  <si>
    <t>9 ضد 17</t>
  </si>
  <si>
    <t>16 ضد 17</t>
  </si>
  <si>
    <t>12 ضد 17</t>
  </si>
  <si>
    <t>13 ضد 16</t>
  </si>
  <si>
    <t>14 ضد 15</t>
  </si>
  <si>
    <t>9 ضد 16</t>
  </si>
  <si>
    <t>10 ضد 15</t>
  </si>
  <si>
    <t>16 ضد 18</t>
  </si>
  <si>
    <t>12 ضد 18</t>
  </si>
  <si>
    <t>15 ضد 18</t>
  </si>
  <si>
    <t>11 ضد 18</t>
  </si>
  <si>
    <t>15 ضد 19</t>
  </si>
  <si>
    <t>11 ضد 19</t>
  </si>
  <si>
    <t>16 ضد 19</t>
  </si>
  <si>
    <t>17 ضد 18</t>
  </si>
  <si>
    <t>12 ضد 19</t>
  </si>
  <si>
    <t>13 ضد 18</t>
  </si>
  <si>
    <t>14 ضد 17</t>
  </si>
  <si>
    <t>10 ضد 17</t>
  </si>
  <si>
    <t>18 ضد 20</t>
  </si>
  <si>
    <t>14 ضد 20</t>
  </si>
  <si>
    <t>19 ضد 20</t>
  </si>
  <si>
    <t>15 ضد 20</t>
  </si>
  <si>
    <t>11 ضد 20</t>
  </si>
  <si>
    <t>ملعب 4</t>
  </si>
  <si>
    <t>17 ضد 24</t>
  </si>
  <si>
    <t>18 ضد 23</t>
  </si>
  <si>
    <t>19 ضد 22</t>
  </si>
  <si>
    <t>20 ضد 21</t>
  </si>
  <si>
    <t>22 ضد 24</t>
  </si>
  <si>
    <t>17 ضد 22</t>
  </si>
  <si>
    <t>18 ضد 19</t>
  </si>
  <si>
    <t>20 ضد 22</t>
  </si>
  <si>
    <t>19 ضد 23</t>
  </si>
  <si>
    <t>18 ضد 24</t>
  </si>
  <si>
    <t>17 ضد 20</t>
  </si>
  <si>
    <t>23 ضد 24</t>
  </si>
  <si>
    <t>19 ضد 24</t>
  </si>
  <si>
    <t>20 ضد 23</t>
  </si>
  <si>
    <t>21 ضد 22</t>
  </si>
  <si>
    <t>14 ضد 19</t>
  </si>
  <si>
    <t>20 ضد 25</t>
  </si>
  <si>
    <t>21 ضد 24</t>
  </si>
  <si>
    <t>22 ضد 23</t>
  </si>
  <si>
    <t>11 ضد 13</t>
  </si>
  <si>
    <t>17 ضد 19</t>
  </si>
  <si>
    <t>23 ضد 25</t>
  </si>
  <si>
    <t>15 ضد 17</t>
  </si>
  <si>
    <t>21 ضد 23</t>
  </si>
  <si>
    <t>22 ضد 25</t>
  </si>
  <si>
    <t>16 ضد 21</t>
  </si>
  <si>
    <t>22 ضد 27</t>
  </si>
  <si>
    <t>23 ضد 26</t>
  </si>
  <si>
    <t>24 ضد 25</t>
  </si>
  <si>
    <t>25 ضد 27</t>
  </si>
  <si>
    <t>10 ضد 14</t>
  </si>
  <si>
    <t>17 ضد 21</t>
  </si>
  <si>
    <t>24 ضد 27</t>
  </si>
  <si>
    <t>25 ضد 26</t>
  </si>
  <si>
    <t>18 ضد 21</t>
  </si>
  <si>
    <t>26 ضد 31</t>
  </si>
  <si>
    <t>27 ضد 30</t>
  </si>
  <si>
    <t>28 ضد 29</t>
  </si>
  <si>
    <t>25 ضد 30</t>
  </si>
  <si>
    <t>26 ضد 27</t>
  </si>
  <si>
    <t>28 ضد 30</t>
  </si>
  <si>
    <t>27 ضد 31</t>
  </si>
  <si>
    <t>25 ضد 28</t>
  </si>
  <si>
    <t>26 ضد 28</t>
  </si>
  <si>
    <t>28 ضد 31</t>
  </si>
  <si>
    <t>29 ضد 30</t>
  </si>
  <si>
    <t>28 ضد 33</t>
  </si>
  <si>
    <t>29 ضد 32</t>
  </si>
  <si>
    <t>30 ضد 31</t>
  </si>
  <si>
    <t>31 ضد 33</t>
  </si>
  <si>
    <t>29 ضد 31</t>
  </si>
  <si>
    <t>30 ضد 33</t>
  </si>
  <si>
    <t>31 ضد 32</t>
  </si>
  <si>
    <t>23 ضد 28</t>
  </si>
  <si>
    <t>29 ضد 34</t>
  </si>
  <si>
    <t>32 ضد 34</t>
  </si>
  <si>
    <t>24 ضد 28</t>
  </si>
  <si>
    <t>30 ضد 32</t>
  </si>
  <si>
    <t>31 ضد 34</t>
  </si>
  <si>
    <t>32 ضد 33</t>
  </si>
  <si>
    <t>24 ضد 29</t>
  </si>
  <si>
    <t>31 ضد 36</t>
  </si>
  <si>
    <t>32 ضد 35</t>
  </si>
  <si>
    <t>33 ضد 34</t>
  </si>
  <si>
    <t>30 ضد 35</t>
  </si>
  <si>
    <t>19 ضد 21</t>
  </si>
  <si>
    <t>18 ضد 22</t>
  </si>
  <si>
    <t>25 ضد 29</t>
  </si>
  <si>
    <t>33 ضد 35</t>
  </si>
  <si>
    <t>32 ضد 36</t>
  </si>
  <si>
    <t>24 ضد 26</t>
  </si>
  <si>
    <t>26 ضد 29</t>
  </si>
  <si>
    <t>27 ضد 28</t>
  </si>
  <si>
    <t>33 ضد 36</t>
  </si>
  <si>
    <t>34 ضد 35</t>
  </si>
  <si>
    <t>25 ضد 32</t>
  </si>
  <si>
    <t>35 ضد 38</t>
  </si>
  <si>
    <t>36 ضد 37</t>
  </si>
  <si>
    <t>41 ضد 48</t>
  </si>
  <si>
    <t>42 ضد 47</t>
  </si>
  <si>
    <t>43 ضد 46</t>
  </si>
  <si>
    <t>44 ضد 45</t>
  </si>
  <si>
    <t>46 ضد 48</t>
  </si>
  <si>
    <t>41 ضد 46</t>
  </si>
  <si>
    <t>42 ضد 43</t>
  </si>
  <si>
    <t>26 ضد 32</t>
  </si>
  <si>
    <t>36 ضد 38</t>
  </si>
  <si>
    <t>44 ضد 46</t>
  </si>
  <si>
    <t>43 ضد 47</t>
  </si>
  <si>
    <t>42 ضد 48</t>
  </si>
  <si>
    <t>39 ضد 40</t>
  </si>
  <si>
    <t>41 ضد 44</t>
  </si>
  <si>
    <t>47 ضد 48</t>
  </si>
  <si>
    <t>34 ضد 36</t>
  </si>
  <si>
    <t>42 ضد 44</t>
  </si>
  <si>
    <t>27 ضد 32</t>
  </si>
  <si>
    <t>37 ضد 38</t>
  </si>
  <si>
    <t>41 ضد 42</t>
  </si>
  <si>
    <t>43 ضد 48</t>
  </si>
  <si>
    <t>44 ضد 47</t>
  </si>
  <si>
    <t>45 ضد 46</t>
  </si>
  <si>
    <t>عدد المجموعات</t>
  </si>
  <si>
    <t>13 ضد 15</t>
  </si>
  <si>
    <t>14 ضد 18</t>
  </si>
  <si>
    <t>12 ضد 16</t>
  </si>
  <si>
    <t>15 ضد 21</t>
  </si>
  <si>
    <t>16 ضد 20</t>
  </si>
  <si>
    <t>25 ضد 31</t>
  </si>
  <si>
    <t>26 ضد 30</t>
  </si>
  <si>
    <t>27 ضد 29</t>
  </si>
  <si>
    <t>22 ضد 28</t>
  </si>
  <si>
    <t>23 ضد 27</t>
  </si>
  <si>
    <t>22 ضد 26</t>
  </si>
  <si>
    <t>35 ضد 36</t>
  </si>
  <si>
    <t>16 ضد 22</t>
  </si>
  <si>
    <t>30 ضد 36</t>
  </si>
  <si>
    <t>23 ضد 29</t>
  </si>
  <si>
    <t>9 ضد 15</t>
  </si>
  <si>
    <t>31 ضد 35</t>
  </si>
  <si>
    <t>30 ضد 34</t>
  </si>
  <si>
    <t>مباريات كل فريق في الموسم</t>
  </si>
  <si>
    <t>13 ضد 21</t>
  </si>
  <si>
    <t>15 ضد 23</t>
  </si>
  <si>
    <t>14 ضد 24</t>
  </si>
  <si>
    <t>14 ضد 21</t>
  </si>
  <si>
    <t>15 ضد 24</t>
  </si>
  <si>
    <t>13 ضد 22</t>
  </si>
  <si>
    <t>16 ضد 23</t>
  </si>
  <si>
    <t>18 ضد 25</t>
  </si>
  <si>
    <t>13 ضد 20</t>
  </si>
  <si>
    <t>15 ضد 22</t>
  </si>
  <si>
    <t>12 ضد 21</t>
  </si>
  <si>
    <t>14 ضد 23</t>
  </si>
  <si>
    <t>13 ضد 24</t>
  </si>
  <si>
    <t>21 ضد 26</t>
  </si>
  <si>
    <t>20 ضد 27</t>
  </si>
  <si>
    <t>19 ضد 26</t>
  </si>
  <si>
    <t>21 ضد 28</t>
  </si>
  <si>
    <t>24 ضد 31</t>
  </si>
  <si>
    <t>23 ضد 30</t>
  </si>
  <si>
    <t>21 ضد 25</t>
  </si>
  <si>
    <t>20 ضد 24</t>
  </si>
  <si>
    <t>17 ضد 23</t>
  </si>
  <si>
    <t>20 ضد 26</t>
  </si>
  <si>
    <t>24 ضد 30</t>
  </si>
  <si>
    <t>23 ضد 31</t>
  </si>
  <si>
    <t>19 ضد 25</t>
  </si>
  <si>
    <t>19 ضد 27</t>
  </si>
  <si>
    <t>17 ضد 25</t>
  </si>
  <si>
    <t>21 ضد 27</t>
  </si>
  <si>
    <t>27 ضد 33</t>
  </si>
  <si>
    <t>28 ضد 32</t>
  </si>
  <si>
    <t>26 ضد 33</t>
  </si>
  <si>
    <t>27 ضد 34</t>
  </si>
  <si>
    <t>25 ضد 34</t>
  </si>
  <si>
    <t>28 ضد 34</t>
  </si>
  <si>
    <t>27 ضد 35</t>
  </si>
  <si>
    <t>29 ضد 33</t>
  </si>
  <si>
    <t>25 ضد 33</t>
  </si>
  <si>
    <t>26 ضد 35</t>
  </si>
  <si>
    <t>29 ضد 36</t>
  </si>
  <si>
    <t>39 ضد 43</t>
  </si>
  <si>
    <t>41 ضد 45</t>
  </si>
  <si>
    <t>40 ضد 42</t>
  </si>
  <si>
    <t>39 ضد 47</t>
  </si>
  <si>
    <t>40 ضد 46</t>
  </si>
  <si>
    <t>40 ضد 47</t>
  </si>
  <si>
    <t>39 ضد 48</t>
  </si>
  <si>
    <t>40 ضد 43</t>
  </si>
  <si>
    <t>39 ضد 44</t>
  </si>
  <si>
    <t>42 ضد 45</t>
  </si>
  <si>
    <t>43 ضد 44</t>
  </si>
  <si>
    <t>46 ضد 47</t>
  </si>
  <si>
    <t>40 ضد 41</t>
  </si>
  <si>
    <t>39 ضد 42</t>
  </si>
  <si>
    <t>34 ضد 37</t>
  </si>
  <si>
    <t>45 ضد 48</t>
  </si>
  <si>
    <t>40 ضد 45</t>
  </si>
  <si>
    <t>39 ضد 46</t>
  </si>
  <si>
    <t>11 ضد 17</t>
  </si>
  <si>
    <t>13 ضد 19</t>
  </si>
  <si>
    <t>14 ضد 22</t>
  </si>
  <si>
    <t>12 ضد 20</t>
  </si>
  <si>
    <t>13 ضد 23</t>
  </si>
  <si>
    <t>26 ضد 34</t>
  </si>
  <si>
    <t>28 ضد 35</t>
  </si>
  <si>
    <t>45 ضد 47</t>
  </si>
  <si>
    <t>39 ضد 41</t>
  </si>
  <si>
    <t>41 ضد 43</t>
  </si>
  <si>
    <t>35 ضد 37</t>
  </si>
  <si>
    <t>40 ضد 44</t>
  </si>
  <si>
    <t>34 ضد 38</t>
  </si>
  <si>
    <t>عدد المهرجانات في الموسم</t>
  </si>
  <si>
    <t>مبادئ تصميم جداول البطولات</t>
  </si>
  <si>
    <t>#</t>
  </si>
  <si>
    <t>المبدأ</t>
  </si>
  <si>
    <t>الشرح</t>
  </si>
  <si>
    <t>عدالة تكرار الأزواج</t>
  </si>
  <si>
    <t>تقسيم المجموعات</t>
  </si>
  <si>
    <t>الأوقات</t>
  </si>
  <si>
    <t>كل الأوقات مشتقّة بصيغ من ورقة المدخلات: وقت البداية ومدة المباراة والفاصل بينها.</t>
  </si>
  <si>
    <t>7 ضد 13</t>
  </si>
  <si>
    <t>16 ضد 24</t>
  </si>
  <si>
    <t>29 ضد 35</t>
  </si>
  <si>
    <t>28 ضد 36</t>
  </si>
  <si>
    <t>25 ضد 35</t>
  </si>
  <si>
    <t>44 ضد 48</t>
  </si>
  <si>
    <t>43 ضد 45</t>
  </si>
  <si>
    <t>42 ضد 46</t>
  </si>
  <si>
    <t>41 ضد 47</t>
  </si>
  <si>
    <t>40 ضد 48</t>
  </si>
  <si>
    <t>39 ضد 45</t>
  </si>
  <si>
    <t>8 ضد 14</t>
  </si>
  <si>
    <t>الراحة 15 أو 30 دقيقة</t>
  </si>
  <si>
    <t>يرتاح الفريق فترة أو فترتين بين مباراتين، أي راحة 15 أو 30 دقيقة فقط. لا يلعب أبداً في فترتين متتاليتين، ولا تزيد راحته على 30 دقيقة.</t>
  </si>
  <si>
    <t>المجموعات ذات العدد الفردي</t>
  </si>
  <si>
    <t>توزيع المجموعات على الفترات</t>
  </si>
  <si>
    <t>لا تلعب كل المجموعات في كل فترة؛ تتوزّع المجموعات على الفترات بما يناسب عدد الملاعب، فتتشارك نفس الملاعب ويقصُر اليوم.</t>
  </si>
  <si>
    <t>عدد الملاعب مُحدّد لكل بطولة (موضح في عنوان كل ورقة)، ويُبنى الجدول بحيث لا يتجاوز عدد مباريات الفترة عدد الملاعب.</t>
  </si>
  <si>
    <t>عدد الملاعب (5 ضد 5)</t>
  </si>
  <si>
    <t>عدد الملاعب القانونية</t>
  </si>
  <si>
    <t>ملاعب مصغّرة داخل الملعب القانوني</t>
  </si>
  <si>
    <t>توزيع الفرق في المجموعات</t>
  </si>
  <si>
    <t>1 ضد 13</t>
  </si>
  <si>
    <t>5 ضد 13</t>
  </si>
  <si>
    <t>2 ضد 13</t>
  </si>
  <si>
    <t>3 ضد 13</t>
  </si>
  <si>
    <t>6 ضد 13</t>
  </si>
  <si>
    <t>4 ضد 13</t>
  </si>
  <si>
    <t>10 ضد 19</t>
  </si>
  <si>
    <t>9 ضد 18</t>
  </si>
  <si>
    <t>10 ضد 18</t>
  </si>
  <si>
    <t>21 ضد 30</t>
  </si>
  <si>
    <t>22 ضد 31</t>
  </si>
  <si>
    <t>21 ضد 31</t>
  </si>
  <si>
    <t>21 ضد 29</t>
  </si>
  <si>
    <t>22 ضد 30</t>
  </si>
  <si>
    <t>22 ضد 29</t>
  </si>
  <si>
    <t>45 ضد 49</t>
  </si>
  <si>
    <t>48 ضد 49</t>
  </si>
  <si>
    <t>47 ضد 49</t>
  </si>
  <si>
    <t>46 ضد 49</t>
  </si>
  <si>
    <t>ترتيب مواجهة الخصوم</t>
  </si>
  <si>
    <t>عدالة توزيع الفترات</t>
  </si>
  <si>
    <t>المجموعة</t>
  </si>
  <si>
    <t>38 ضد 39</t>
  </si>
  <si>
    <t>38 ضد 42</t>
  </si>
  <si>
    <t>37 ضد 40</t>
  </si>
  <si>
    <t>37 ضد 42</t>
  </si>
  <si>
    <t>36 ضد 40</t>
  </si>
  <si>
    <t>38 ضد 41</t>
  </si>
  <si>
    <t>36 ضد 39</t>
  </si>
  <si>
    <t>38 ضد 40</t>
  </si>
  <si>
    <t>37 ضد 45</t>
  </si>
  <si>
    <t>37 ضد 43</t>
  </si>
  <si>
    <t>38 ضد 43</t>
  </si>
  <si>
    <t>37 ضد 44</t>
  </si>
  <si>
    <t>38 ضد 44</t>
  </si>
  <si>
    <t>38 ضد 45</t>
  </si>
  <si>
    <t>37 ضد 39</t>
  </si>
  <si>
    <t>37 ضد 41</t>
  </si>
  <si>
    <t>4 + 4</t>
  </si>
  <si>
    <t>28 + 28</t>
  </si>
  <si>
    <t>3 + 3</t>
  </si>
  <si>
    <t>4:00 م</t>
  </si>
  <si>
    <t>6:15 م</t>
  </si>
  <si>
    <t>عدد المباريات والأدوار</t>
  </si>
  <si>
    <t>داخل المجموعة يلتقي كل زوج العدد نفسه من المرات بلا أي تفاوت (الفارق صفر)، لأن الجدول يُبنى من أدوار كاملة. ويظهر هذا العدد في عمود «لقاءات كل خصم (أدوار كاملة)» في ورقة ملخص البطولات، وفي جدول تكرار الأزواج أسفل كل ورقة. وقد يختلف العدد من مجموعة إلى أخرى داخل البطولة نفسها لاختلاف أحجام المجموعات.</t>
  </si>
  <si>
    <t>37 ضد 47</t>
  </si>
  <si>
    <t>37 ضد 48</t>
  </si>
  <si>
    <t>38 ضد 47</t>
  </si>
  <si>
    <t>37 ضد 46</t>
  </si>
  <si>
    <t>38 ضد 48</t>
  </si>
  <si>
    <t>38 ضد 46</t>
  </si>
  <si>
    <t>35 ضد 40</t>
  </si>
  <si>
    <t>34 ضد 39</t>
  </si>
  <si>
    <t>34 ضد 40</t>
  </si>
  <si>
    <t>35 ضد 39</t>
  </si>
  <si>
    <t>4 + 3</t>
  </si>
  <si>
    <t>28 + 27</t>
  </si>
  <si>
    <t>عدد الأدوار</t>
  </si>
  <si>
    <t>عدد المهرجانات</t>
  </si>
  <si>
    <t>توزيع مباريات الفريق على المهرجانات</t>
  </si>
  <si>
    <t>24 + 24</t>
  </si>
  <si>
    <t>28 + 24</t>
  </si>
  <si>
    <t>24 + 27</t>
  </si>
  <si>
    <t>4 + 4 + 3</t>
  </si>
  <si>
    <t>28 + 28 + 24</t>
  </si>
  <si>
    <t>3 + 3 + 3</t>
  </si>
  <si>
    <t>4 مباريات في 5 مهرجانات، ثم 5 مباريات في المهرجان الأخير (المجموع 25)</t>
  </si>
  <si>
    <t>4 مباريات في 6 مهرجانات (المجموع 24)</t>
  </si>
  <si>
    <t>4 مباريات في 7 مهرجانات (المجموع 28)</t>
  </si>
  <si>
    <t>4 مباريات في 6 مهرجانات، ثم 3 مباريات في المهرجان الأخير (المجموع 27)</t>
  </si>
  <si>
    <t>4 مباريات في 5 مهرجانات، ثم مباراتان في المهرجان الأخير (المجموع 22)</t>
  </si>
  <si>
    <t>أ: 7 | ب: 7</t>
  </si>
  <si>
    <t>أ: 8 | ب: 8</t>
  </si>
  <si>
    <t>أ: 8 | ب: 9</t>
  </si>
  <si>
    <t>أ: 8 | ب: 10</t>
  </si>
  <si>
    <t>أ: 9 | ب: 10</t>
  </si>
  <si>
    <t>أ: 8 | ب: 8 | ج: 9</t>
  </si>
  <si>
    <t>توزيع فترات الراحة بين مباراتي الفريق في المهرجان الواحد</t>
  </si>
  <si>
    <t>راحة 15 دقيقة</t>
  </si>
  <si>
    <t>راحة 30 دقيقة</t>
  </si>
  <si>
    <t>راحة 45 دقيقة</t>
  </si>
  <si>
    <t>إجمالي فترات الراحة</t>
  </si>
  <si>
    <t>نسبة الراحة القصيرة</t>
  </si>
  <si>
    <t>المهرجان</t>
  </si>
  <si>
    <t>مجموع مباريات المهرجان</t>
  </si>
  <si>
    <t>المهرجان 1</t>
  </si>
  <si>
    <t>المهرجان 2</t>
  </si>
  <si>
    <t>المهرجان 3</t>
  </si>
  <si>
    <t>المهرجان 4</t>
  </si>
  <si>
    <t>المهرجان 5</t>
  </si>
  <si>
    <t>5:45 م</t>
  </si>
  <si>
    <t>المهرجان 6</t>
  </si>
  <si>
    <t>المهرجان 7</t>
  </si>
  <si>
    <t>عدم التنقل بين الملاعب القانونية</t>
  </si>
  <si>
    <t>الملاعب القانونية غير متجاورة، فلا يستطيع الفريق الانتقال من ملعب قانوني إلى آخر خلال اليوم نفسه. لذلك يُبنى الجدول بحيث تبقى كل مجموعة داخل ملعب قانوني واحد طوال المهرجان (بحد أقصى 4 ملاعب مصغّرة داخله). وإذا استُخدم أكثر من ملعب قانوني وجب أن تنقسم البطولة إلى مجموعات مستقلة تماماً، كل مجموعة في ملعبها، ولا تتقاطع مبارياتها.</t>
  </si>
  <si>
    <t>الملعب القانوني 1 — المجموعة أ (الفرق 1–8)</t>
  </si>
  <si>
    <t>الملعب القانوني 2 — المجموعة ب (الفرق 9–16)</t>
  </si>
  <si>
    <t>جدول مباريات بطولة 17 فريقاً — مجموعتان (8 + 9) في ملعبين قانونيين منفصلين</t>
  </si>
  <si>
    <t>الملعب القانوني 2 — المجموعة ب (الفرق 9–17)</t>
  </si>
  <si>
    <t>جدول مباريات بطولة 18 فريقاً — مجموعتان (8 + 10) في ملعبين قانونيين منفصلين</t>
  </si>
  <si>
    <t>الملعب القانوني 2 — المجموعة ب (الفرق 9–18)</t>
  </si>
  <si>
    <t>جدول مباريات بطولة 19 فريقاً — مجموعتان (9 + 10) في ملعبين قانونيين منفصلين</t>
  </si>
  <si>
    <t>الملعب القانوني 1 — المجموعة أ (الفرق 1–9)</t>
  </si>
  <si>
    <t>الملعب القانوني 2 — المجموعة ب (الفرق 10–19)</t>
  </si>
  <si>
    <t>الملعب القانوني 1 — المجموعة أ (الفرق 1–10)</t>
  </si>
  <si>
    <t>الملعب القانوني 2 — المجموعة ب (الفرق 11–20)</t>
  </si>
  <si>
    <t>الملعب القانوني 1 — المجموعة أ (الفرق 1–12)</t>
  </si>
  <si>
    <t>الملعب القانوني 2 — المجموعة ب (الفرق 13–24)</t>
  </si>
  <si>
    <t>جدول مباريات بطولة 25 فريقاً — ثلاث مجموعات (8 + 8 + 9) في ثلاثة ملاعب قانونية منفصلة</t>
  </si>
  <si>
    <t>الملعب القانوني 3 — المجموعة ج (الفرق 17–25)</t>
  </si>
  <si>
    <t>الملعب القانوني 2 — المجموعة ب (الفرق 10–18)</t>
  </si>
  <si>
    <t>الملعب القانوني 1 — المجموعة أ (الفرق 1–11)</t>
  </si>
  <si>
    <t>جدول مباريات بطولة 16 فريقاً — مجموعتان (8 + 8) في ملعبين قانونيين منفصلين</t>
  </si>
  <si>
    <t>جدول مباريات بطولة 10 فرق — مجموعة واحدة داخل ملعب قانوني واحد (4 ملاعب مصغّرة)</t>
  </si>
  <si>
    <t>جدول مباريات بطولة 12 فريقاً — مجموعة واحدة داخل ملعب قانوني واحد (4 ملاعب مصغّرة)</t>
  </si>
  <si>
    <t>جدول مباريات بطولة 31 فريقاً — ثلاث مجموعات (10 + 10 + 11) في ثلاثة ملاعب قانونية منفصلة</t>
  </si>
  <si>
    <t>الملعب القانوني 3 — المجموعة ج (الفرق 21–31)</t>
  </si>
  <si>
    <t>الملعب القانوني 3 — المجموعة ج (الفرق 25–36)</t>
  </si>
  <si>
    <t>27 ضد 36</t>
  </si>
  <si>
    <t>25 ضد 36</t>
  </si>
  <si>
    <t>26 ضد 36</t>
  </si>
  <si>
    <t>أ: 10 | ب: 10 | ج: 11</t>
  </si>
  <si>
    <t>27 + 27 + 30</t>
  </si>
  <si>
    <t>2 + 2 + 2 + 2</t>
  </si>
  <si>
    <t>جدول مباريات بطولة 8 فرق — مجموعة واحدة داخل ملعب قانوني واحد (4 ملاعب مصغّرة)</t>
  </si>
  <si>
    <t>جدول مباريات بطولة 9 فرق — مجموعة واحدة داخل ملعب قانوني واحد (3 ملاعب مصغّرة)</t>
  </si>
  <si>
    <t>جدول مباريات بطولة 11 فريقاً — مجموعة واحدة داخل ملعب قانوني واحد (4 ملاعب مصغّرة)</t>
  </si>
  <si>
    <t>جدول مباريات بطولة 13 فريقاً — مجموعة واحدة داخل ملعب قانوني واحد (4 ملاعب مصغّرة)</t>
  </si>
  <si>
    <t>الملعب القانوني 1 — المجموعة أ (الفرق 1–13)</t>
  </si>
  <si>
    <t>جدول مباريات بطولة 5 فرق — مجموعة واحدة داخل ملعب قانوني واحد (ملعب مصغّر واحد)</t>
  </si>
  <si>
    <t>الملعب القانوني 1 — المجموعة أ (الفرق 1–5)</t>
  </si>
  <si>
    <t>جدول مباريات بطولة 15 فريقاً — مجموعتان (7 + 8) في ملعبين قانونيين منفصلين</t>
  </si>
  <si>
    <t>الملعب القانوني 1 — المجموعة أ (الفرق 1–7)</t>
  </si>
  <si>
    <t>الملعب القانوني 2 — المجموعة ب (الفرق 8–15)</t>
  </si>
  <si>
    <t>8 ضد 15</t>
  </si>
  <si>
    <t>جدول مباريات بطولة 21 فريقاً — مجموعتان (10 + 11) في ملعبين قانونيين منفصلين</t>
  </si>
  <si>
    <t>الملعب القانوني 2 — المجموعة ب (الفرق 11–21)</t>
  </si>
  <si>
    <t>11 ضد 21</t>
  </si>
  <si>
    <t>جدول مباريات بطولة 28 فريقاً — ثلاث مجموعات (9 + 9 + 10) في ثلاثة ملاعب قانونية منفصلة</t>
  </si>
  <si>
    <t>الملعب القانوني 3 — المجموعة ج (الفرق 19–28)</t>
  </si>
  <si>
    <t>19 ضد 28</t>
  </si>
  <si>
    <t>20 ضد 28</t>
  </si>
  <si>
    <t>جدول مباريات بطولة 29 فريقاً — ثلاث مجموعات (9 + 10 + 10) في ثلاثة ملاعب قانونية منفصلة</t>
  </si>
  <si>
    <t>الملعب القانوني 3 — المجموعة ج (الفرق 20–29)</t>
  </si>
  <si>
    <t>20 ضد 29</t>
  </si>
  <si>
    <t>جدول مباريات بطولة 30 فريقاً — ثلاث مجموعات (10 + 10 + 10) في ثلاثة ملاعب قانونية منفصلة</t>
  </si>
  <si>
    <t>الملعب القانوني 3 — المجموعة ج (الفرق 21–30)</t>
  </si>
  <si>
    <t>جدول مباريات بطولة 40 فريقاً — أربع مجموعات (10 × 4) في أربعة ملاعب قانونية منفصلة</t>
  </si>
  <si>
    <t>الملعب القانوني 4 — المجموعة د (الفرق 31–40)</t>
  </si>
  <si>
    <t>33 ضد 38</t>
  </si>
  <si>
    <t>31 ضد 37</t>
  </si>
  <si>
    <t>33 ضد 39</t>
  </si>
  <si>
    <t>33 ضد 40</t>
  </si>
  <si>
    <t>31 ضد 38</t>
  </si>
  <si>
    <t>32 ضد 39</t>
  </si>
  <si>
    <t>31 ضد 40</t>
  </si>
  <si>
    <t>31 ضد 39</t>
  </si>
  <si>
    <t>33 ضد 37</t>
  </si>
  <si>
    <t>32 ضد 37</t>
  </si>
  <si>
    <t>32 ضد 38</t>
  </si>
  <si>
    <t>32 ضد 40</t>
  </si>
  <si>
    <t>جدول مباريات بطولة 49 فريقاً — أربع مجموعات (12 + 12 + 12 + 13) في أربعة ملاعب قانونية منفصلة</t>
  </si>
  <si>
    <t>الملعب القانوني 4 — المجموعة د (الفرق 37–49)</t>
  </si>
  <si>
    <t>43 ضد 49</t>
  </si>
  <si>
    <t>37 ضد 49</t>
  </si>
  <si>
    <t>38 ضد 49</t>
  </si>
  <si>
    <t>40 ضد 49</t>
  </si>
  <si>
    <t>44 ضد 49</t>
  </si>
  <si>
    <t>42 ضد 49</t>
  </si>
  <si>
    <t>39 ضد 49</t>
  </si>
  <si>
    <t>41 ضد 49</t>
  </si>
  <si>
    <t>6:30 م</t>
  </si>
  <si>
    <t>أ: 7 | ب: 8</t>
  </si>
  <si>
    <t>24 + 28</t>
  </si>
  <si>
    <t>أ: 10 | ب: 11</t>
  </si>
  <si>
    <t>27 + 30</t>
  </si>
  <si>
    <t>أ: 9 | ب: 9 | ج: 10</t>
  </si>
  <si>
    <t>24 + 24 + 27</t>
  </si>
  <si>
    <t>أ: 9 | ب: 10 | ج: 10</t>
  </si>
  <si>
    <t>24 + 27 + 27</t>
  </si>
  <si>
    <t>أ: 10 | ب: 10 | ج: 10</t>
  </si>
  <si>
    <t>27 + 27 + 27</t>
  </si>
  <si>
    <t>أ: 10 | ب: 10 | ج: 10 | د: 10</t>
  </si>
  <si>
    <t>3 + 3 + 3 + 3</t>
  </si>
  <si>
    <t>27 + 27 + 27 + 27</t>
  </si>
  <si>
    <t>أ: 12 | ب: 12 | ج: 12 | د: 13</t>
  </si>
  <si>
    <t>22 + 22 + 22 + 24</t>
  </si>
  <si>
    <t>ملخص البطولات – 23 بطولة من 5 إلى 49 فريقاً</t>
  </si>
  <si>
    <t>في المجموعة الفردية يجلس فريق أو أكثر في كل فترة، والأصل ألا تتجاوز الراحة 30 دقيقة. وتُستخدم مجموعة من 5 فرق في بطولة الـ5 فرق وحدها؛ ولتفادي أي راحة تفوق 30 دقيقة يمتد يومها إلى 10 فترات (4:00–6:30 م) بمباراة واحدة في كل فترة على ملعب مصغّر واحد (أما 8 أو 9 فترات فلا تكفي). فلا توجد أي راحة تبلغ 45 أو 60 دقيقة في الملف.</t>
  </si>
  <si>
    <t>يُعتمد توزيع الفرق المدوّن في عمود «توزيع الفرق في المجموعات» بورقة ملخص البطولات، وتُبنى الجداول عليه مباشرة، وتُفضّل المجموعات المتقاربة في الحجم. ولا تُستخدم مجموعة من 5 فرق إلا في بطولة الـ5 فرق نفسها (لا تدخل في تقسيم أي بطولة أكبر)، ولا من 3 أو 4 فرق لأنّها تفرض لقاء الخصم مرتين في اليوم نفسه. وكلما كبرت المجموعة قلّ عدد الأدوار ومعه عدد المباريات.</t>
  </si>
  <si>
    <t>الملعب القانوني 2 — المجموعة ب (الفرق 8–14)</t>
  </si>
  <si>
    <t>الملعب القانوني 1 — المجموعة أ (الفرق 1–6)</t>
  </si>
  <si>
    <t>جدول مباريات بطولة 6 فرق — مجموعة واحدة داخل ملعب قانوني واحد (3 ملاعب مصغّرة)</t>
  </si>
  <si>
    <t>جدول مباريات بطولة 7 فرق — مجموعة واحدة داخل ملعب قانوني واحد (ملعبان مصغّران)</t>
  </si>
  <si>
    <t>جدول مباريات بطولة 14 فريقاً — مجموعتان (7 + 7) في ملعبين قانونيين منفصلين</t>
  </si>
  <si>
    <t>كل مجموعة: 4 مباريات في 7 مهرجانات (المجموع 28)</t>
  </si>
  <si>
    <t>وقت النهاية (أطول يوم)</t>
  </si>
  <si>
    <t>مدة اليوم (أطول يوم)</t>
  </si>
  <si>
    <t>لا يلتقي الفريق خصماً مرة ثانية قبل أن يلاعب جميع فرق مجموعته مرة، ولا يلتقي الفريقان مرتين في اليوم نفسه، ولا يلعب الفريق مباراتين في الفترة الزمنية نفسها.</t>
  </si>
  <si>
    <t>4 مباريات في 6 مهرجانات، ثم 6 مباريات في المهرجان الأخير (المجموع 30)</t>
  </si>
  <si>
    <t>7:30 م</t>
  </si>
  <si>
    <t>كل مجموعة: 4 مباريات في 6 مهرجانات (المجموع 24)</t>
  </si>
  <si>
    <t>أ: 4 مباريات في 6 مهرجانات (المجموع 24) | ب: 4 مباريات في 7 مهرجانات (المجموع 28)</t>
  </si>
  <si>
    <t>أ: 4 مباريات في 7 مهرجانات (المجموع 28) | ب: 4 مباريات في 6 مهرجانات (المجموع 24)</t>
  </si>
  <si>
    <t>أ: 4 مباريات في 7 مهرجانات (المجموع 28) | ب: 4 مباريات في 6 مهرجانات، ثم 3 مباريات في المهرجان الأخير (المجموع 27)</t>
  </si>
  <si>
    <t>أ: 4 مباريات في 6 مهرجانات (المجموع 24) | ب: 4 مباريات في 6 مهرجانات، ثم 3 مباريات في المهرجان الأخير (المجموع 27)</t>
  </si>
  <si>
    <t>أ: 4 مباريات في 6 مهرجانات، ثم 3 مباريات في المهرجان الأخير (المجموع 27) | ب: 4 مباريات في 6 مهرجانات، ثم 6 مباريات في المهرجان الأخير (المجموع 30)</t>
  </si>
  <si>
    <t>أ: 4 مباريات في 7 مهرجانات (المجموع 28) | ب: 4 مباريات في 7 مهرجانات (المجموع 28) | ج: 4 مباريات في 6 مهرجانات (المجموع 24)</t>
  </si>
  <si>
    <t>أ: 4 مباريات في 6 مهرجانات (المجموع 24) | ب: 4 مباريات في 6 مهرجانات (المجموع 24) | ج: 4 مباريات في 6 مهرجانات، ثم 3 مباريات في المهرجان الأخير (المجموع 27)</t>
  </si>
  <si>
    <t>أ: 4 مباريات في 6 مهرجانات (المجموع 24) | ب: 4 مباريات في 6 مهرجانات، ثم 3 مباريات في المهرجان الأخير (المجموع 27) | ج: 4 مباريات في 6 مهرجانات، ثم 3 مباريات في المهرجان الأخير (المجموع 27)</t>
  </si>
  <si>
    <t>كل مجموعة: 4 مباريات في 6 مهرجانات، ثم 3 مباريات في المهرجان الأخير (المجموع 27)</t>
  </si>
  <si>
    <t>أ: 4 مباريات في 6 مهرجانات، ثم 3 مباريات في المهرجان الأخير (المجموع 27) | ب: 4 مباريات في 6 مهرجانات، ثم 3 مباريات في المهرجان الأخير (المجموع 27) | ج: 4 مباريات في 6 مهرجانات، ثم 6 مباريات في المهرجان الأخير (المجموع 30)</t>
  </si>
  <si>
    <t>أ: 4 مباريات في 5 مهرجانات، ثم مباراتان في المهرجان الأخير (المجموع 22) | ب: 4 مباريات في 5 مهرجانات، ثم مباراتان في المهرجان الأخير (المجموع 22) | ج: 4 مباريات في 5 مهرجانات، ثم مباراتان في المهرجان الأخير (المجموع 22) | د: 4 مباريات في 6 مهرجانات (المجموع 24)</t>
  </si>
  <si>
    <t>كل مجموعة تلعب أدواراً كاملة: عدد الأدوار = صحيح(28 ÷ (عدد فرق المجموعة − 1))، ومباريات الفريق في الموسم = عدد الأدوار × (عدد فرق المجموعة − 1)، وتتراوح بين 22 و30 مباراة. يلعب كل فريق 4 مباريات في كل مهرجان، ما عدا المهرجان الأخير فيقل أو يزيد بالتساوي بين كل فرق المجموعة بما يكمل المجموع (مثلاً: 3 أو 2 أو 6 مباريات في الأخير). ولا يُشترط عدد مباريات أدنى؛ فالأولوية لاكتمال الأدوار وللتوزيع المعتمد في ورقة ملخص البطولات. وتُستثنى مجموعة الـ11 فريقاً: لإكمال ثلاثة أدوار (30 مباراة) تلعب 4 مباريات في 6 مهرجانات ثم 6 مباريات في المهرجان الأخير، فيطول ذلك اليوم وحده.</t>
  </si>
  <si>
    <t>تتغير فترات الفريق من يوم لآخر؛ فلا يبدأ فريق واحد أول اليوم دائماً ولا يتأخر آخره دائماً. ولا يستريح أي فريق مهرجاناً كاملاً داخل مهرجانات مجموعته؛ أما في البطولة متعددة المجموعات فالمجموعة التي تكمل أدوارها في 6 مهرجانات (مجموعتا الـ7 والـ9) تنتهي قبل المجموعات الأخرى ولا تلعب في المهرجان السابع.</t>
  </si>
  <si>
    <t>تحت 14</t>
  </si>
  <si>
    <t>مجموعة نجران</t>
  </si>
  <si>
    <t>نجران</t>
  </si>
  <si>
    <t>تحت 5</t>
  </si>
  <si>
    <t>مجموعة طبرجل</t>
  </si>
  <si>
    <t>طبرجل</t>
  </si>
  <si>
    <t>تحت 7</t>
  </si>
  <si>
    <t>تحت 9</t>
  </si>
  <si>
    <t>مجموعة الخرج</t>
  </si>
  <si>
    <t>الخرج</t>
  </si>
  <si>
    <t>تحت 12</t>
  </si>
  <si>
    <t>مجموعة شرورة</t>
  </si>
  <si>
    <t>شرورة</t>
  </si>
  <si>
    <t>مجموعة الدوادمي</t>
  </si>
  <si>
    <t>الدوادمي</t>
  </si>
  <si>
    <t>تحت 11</t>
  </si>
  <si>
    <t>مجموعة القريات</t>
  </si>
  <si>
    <t>القريات</t>
  </si>
  <si>
    <t>تحت 13</t>
  </si>
  <si>
    <t>مجموعة الباحة</t>
  </si>
  <si>
    <t>الباحة، العقيق</t>
  </si>
  <si>
    <t>الباحة، بلقرن، العقيق</t>
  </si>
  <si>
    <t>الباحة</t>
  </si>
  <si>
    <t>مجموعة حائل</t>
  </si>
  <si>
    <t>حائل</t>
  </si>
  <si>
    <t>الباحة، بلقرن</t>
  </si>
  <si>
    <t>مجموعة أبها</t>
  </si>
  <si>
    <t>أبها، خميس مشيط</t>
  </si>
  <si>
    <t>مجموعة الرس</t>
  </si>
  <si>
    <t>الرس، البدائع</t>
  </si>
  <si>
    <t>مجموعة جازان</t>
  </si>
  <si>
    <t>جيزان</t>
  </si>
  <si>
    <t>الخرج، الدلم</t>
  </si>
  <si>
    <t>مجموعة مركز الرفيعة</t>
  </si>
  <si>
    <t>مركز الرفيعة</t>
  </si>
  <si>
    <t>مجموعة القطيف</t>
  </si>
  <si>
    <t>القطيف</t>
  </si>
  <si>
    <t>مجموعة أحد المسارحة</t>
  </si>
  <si>
    <t>أحد المسارحة</t>
  </si>
  <si>
    <t>مجموعة أملج</t>
  </si>
  <si>
    <t>ينبع، أملج</t>
  </si>
  <si>
    <t>مجموعة تبوك</t>
  </si>
  <si>
    <t>تبوك</t>
  </si>
  <si>
    <t>مجموعة سكاكا</t>
  </si>
  <si>
    <t>سكاكا، دومة الجندل</t>
  </si>
  <si>
    <t>البكيرية، الرس، رياض الخبراء، البدائع</t>
  </si>
  <si>
    <t>مجموعة الدمام</t>
  </si>
  <si>
    <t>الخبر، الدمام، سيهات</t>
  </si>
  <si>
    <t>مجموعة صامطة</t>
  </si>
  <si>
    <t>صامطة</t>
  </si>
  <si>
    <t>مجموعة القنفذة</t>
  </si>
  <si>
    <t>القنفذة</t>
  </si>
  <si>
    <t>مجموعة المدينة المنورة</t>
  </si>
  <si>
    <t>المدينة المنورة</t>
  </si>
  <si>
    <t>مجموعة أبو عريش</t>
  </si>
  <si>
    <t>أبو عريش</t>
  </si>
  <si>
    <t>مجموعة القصيم</t>
  </si>
  <si>
    <t>بريدة، عيون الجواء، المذنب، عنيزة</t>
  </si>
  <si>
    <t>القطيف، الجبيل</t>
  </si>
  <si>
    <t>مجموعة الخبر</t>
  </si>
  <si>
    <t>الظهران، الخبر</t>
  </si>
  <si>
    <t>مجموعة الطائف</t>
  </si>
  <si>
    <t>الطائف</t>
  </si>
  <si>
    <t>حائل، سميراء</t>
  </si>
  <si>
    <t>القنفذة، الليث</t>
  </si>
  <si>
    <t>الظهران، الخبر، الدمام، سيهات</t>
  </si>
  <si>
    <t>مجموعة الخفجي</t>
  </si>
  <si>
    <t>الخفجي</t>
  </si>
  <si>
    <t>مجموعة الأحساء</t>
  </si>
  <si>
    <t>الأحساء</t>
  </si>
  <si>
    <t>مجموعة صبيا</t>
  </si>
  <si>
    <t>صبيا، ضمد</t>
  </si>
  <si>
    <t>الدمام، سيهات</t>
  </si>
  <si>
    <t>مجموعة مكة المكرمة</t>
  </si>
  <si>
    <t>مكة المكرمة</t>
  </si>
  <si>
    <t>مجموعة حفر الباطن</t>
  </si>
  <si>
    <t>حفر الباطن</t>
  </si>
  <si>
    <t>مجموعة الرياض</t>
  </si>
  <si>
    <t>الرياض</t>
  </si>
  <si>
    <t>مجموعة جدة</t>
  </si>
  <si>
    <t>جدة</t>
  </si>
  <si>
    <t>مكة المكرمة، الجموم</t>
  </si>
  <si>
    <t>الملاعب القانونية (عدد المجموعات)</t>
  </si>
  <si>
    <t>الملاعب المصغّرة (5 ضد 5)</t>
  </si>
  <si>
    <t>مصدر الرقم</t>
  </si>
  <si>
    <t>عدد فرق المجموعة</t>
  </si>
  <si>
    <t>المجموع</t>
  </si>
  <si>
    <t>الفئة</t>
  </si>
  <si>
    <t>عدد البطولات</t>
  </si>
  <si>
    <t>الملاعب القانونية</t>
  </si>
  <si>
    <t>الأعلى بين الفئات</t>
  </si>
  <si>
    <t>الملاعب المطلوبة في كل مجموعة (الأعلى بين الفئات لأن كل فئة في يوم مختلف)</t>
  </si>
  <si>
    <t>الأعلى (قانونية)</t>
  </si>
  <si>
    <t>الأعلى (مصغّرة)</t>
  </si>
  <si>
    <t>المجموع (إجمالي الملاعب الفعلية)</t>
  </si>
  <si>
    <t>عدد الملاعب المطلوبة لكل فئة (كل فئة في يوم مختلف) – بناءً على Sheet1</t>
  </si>
  <si>
    <t>الملاعب القانونية = عدد المجموعات في البطولة؛ الملاعب المصغّرة (5 ضد 5) داخل الملاعب القانونية. كل صف في Sheet1 = بطولة واحدة بعدد فرقه، ومجموع الفئة = مجموع بطولاتها لأنها تُلعب في اليوم نفسه.</t>
  </si>
  <si>
    <t>الأحجام غير الموجودة في ملخص البطولات (22، 23، 24، 26، 27، 34، 35، 38، 39، 48، 52، 56) محسوبة بقاعدة: مجموعة واحدة حتى 13 فريقاً، ثم ROUNDUP(الفرق ÷ 11) مجموعة (بحد أقصى 4 حتى 52 فريقاً، ثم ÷ 13)، بتوزيع متقارب الحجم.</t>
  </si>
  <si>
    <t>تفصيل الحساب: عدد بطولات Sheet1 لكل حجم وفئة</t>
  </si>
  <si>
    <t>جدول المدخلات</t>
  </si>
  <si>
    <t>عدد الملاعب المطلوبة لفئتي تحت 7 وتحت 9 (كل فئة في يوم مختلف)</t>
  </si>
  <si>
    <t>الأعلى بين الفئتين</t>
  </si>
  <si>
    <t>عدد الفرق والملاعب والمباريات لكل مجموعة – فئتا تحت 7 وتحت 9 (كل فئة تُلعب في يوم مختلف)</t>
  </si>
  <si>
    <t>مباريات كل فريق في المهرجان (اليوم العادي)</t>
  </si>
  <si>
    <t>مباريات اليوم = عدد الفرق × مباريات الفريق ÷ 2 (كل مباراة تضم فريقين). في المهرجان الأخير قد يختلف العدد (3 أو 2 أو 6 مباريات لكل فريق).</t>
  </si>
  <si>
    <t>المطلوب (الأعلى بين الفئتين)</t>
  </si>
  <si>
    <t>سبب عدد الملاعب</t>
  </si>
  <si>
    <t>المباريات في اليوم</t>
  </si>
  <si>
    <t>سبب العدد – تحت 7</t>
  </si>
  <si>
    <t>سبب العدد – تحت 9</t>
  </si>
  <si>
    <t>جدول مرجعي: لماذا يحتاج كل حجم مجموعة هذا العدد من الملاعب المصغّرة؟ (الفرق لا تلعب فترتين متتاليتين، وراحتها 15 أو 30 دقيقة، وحد الملعب القانوني 4 ملاعب مصغّرة)</t>
  </si>
  <si>
    <t>الملاعب المصغّرة</t>
  </si>
  <si>
    <t>مباريات كل ملعب</t>
  </si>
  <si>
    <t>التفسير</t>
  </si>
  <si>
    <t>ملاحظة: عدد الملاعب المصغّرة لكل حجم مأخوذ من ورقة «ملخص البطولات»، والملاعب القانونية = عدد المجموعات المستقلة في البطولة. مجموع كل فئة في الصف 34 يطابق «حساب الملاعب»؛ أما «المطلوب» فهو الأعلى بين الفئتين لكل مجموعة لأن الفئتين في يومين مختلفين، ومجموعه (162) هو مجموع أعلى رقم لكل مجموعة.</t>
  </si>
  <si>
    <t>عدد الحكام ومدة الحكم بالساعة في المهرجان الواحد – فئتا تحت 7 وتحت 9 (حكم واحد لكل ملعب مصغّر)</t>
  </si>
  <si>
    <t>عدد الحكام (الملاعب المصغّرة)</t>
  </si>
  <si>
    <t>مدة الحكم للفرد (ساعة)</t>
  </si>
  <si>
    <t>إجمالي ساعات الحكام</t>
  </si>
  <si>
    <t>عدد الحكام المطلوب</t>
  </si>
  <si>
    <t>إجمالي ساعات الحكام (اليومان)</t>
  </si>
  <si>
    <t>ملاحظات:</t>
  </si>
  <si>
    <t>• عدد الحكام = عدد الملاعب المصغّرة (5 ضد 5) المأخوذ من ورقة «ملاعب تحت 7 وتحت 9».</t>
  </si>
  <si>
    <t>• مدة الحكم = مدة أطول يوم في المهرجان لحجم البطولة (من وقت البداية إلى نهاية آخر مباراة) من ورقة «ملخص البطولات»، ويُفترض بقاء الحكم طوال اليوم.</t>
  </si>
  <si>
    <t>• الفئتان في يومين مختلفين، فيكفي لكل مجموعة العدد الأعلى من الحكام، أما الساعات فتُجمع لأن لكل يوم مدته.</t>
  </si>
  <si>
    <t>البطولة كاملة (كل المهرجانات)</t>
  </si>
  <si>
    <t>عدد مهرجانات تحت 7</t>
  </si>
  <si>
    <t>ساعات الحكام – تحت 7</t>
  </si>
  <si>
    <t>عدد مهرجانات تحت 9</t>
  </si>
  <si>
    <t>ساعات الحكام – تحت 9</t>
  </si>
  <si>
    <t>إجمالي ساعات الحكام للبطولة كاملة</t>
  </si>
  <si>
    <t>• البطولة كاملة = ساعات المهرجان الواحد × عدد مهرجانات البطولة (من ورقة «ملخص البطولات»)؛ وهو تقدير أعلى قليلاً لأن بعض المجموعات (7 و9 فرق) تنتهي في 6 مهرجانات، وقد يقصر المهرجان الأخير.</t>
  </si>
  <si>
    <t>عدد الفترات في كل مهرجان (حساب مساعد)</t>
  </si>
  <si>
    <t>عدد الفرق في المجموعة</t>
  </si>
  <si>
    <t>عدد الحكام في البطولة الواحدة</t>
  </si>
  <si>
    <t>مدة أطول مهرجان (ساعة)</t>
  </si>
  <si>
    <t>ساعات الحكام للبطولة الواحدة</t>
  </si>
  <si>
    <t>إجمالي الحكام لكل النوع</t>
  </si>
  <si>
    <t>إجمالي ساعات الحكام لكل النوع</t>
  </si>
  <si>
    <t>عدد المهرجانات في البطولة</t>
  </si>
  <si>
    <t>أطول مهرجان (عدد الفترات)</t>
  </si>
  <si>
    <t>إجمالي ساعات الحكام لكل النوع على مدار البطولة</t>
  </si>
  <si>
    <t>الإجمالي</t>
  </si>
  <si>
    <t>• البطولة كاملة (العمود J) = ساعات المهرجان الواحد (G) × عدد المهرجانات (H)، بأطول مدة مهرجان لكل نوع.</t>
  </si>
  <si>
    <t>عدد الحكام لكل ملعب مصغّر</t>
  </si>
  <si>
    <t>الحكام وساعات التحكيم — المهرجان الواحد والبطولة كاملة — فئتا تحت 7 وتحت 9</t>
  </si>
  <si>
    <t>عدد البطولات (تحت 7 + تحت 9)</t>
  </si>
  <si>
    <t>عدد البطولات حسب الفئة</t>
  </si>
  <si>
    <t>الحكام المطلوبون في يوم تحت 7</t>
  </si>
  <si>
    <t>الحكام المطلوبون في يوم تحت 9</t>
  </si>
  <si>
    <t>• لكل ملعب مصغّر حكم واحد (قابل للتغيير من ورقة المدخلات، الخلية B10)، ومدة الحكم = مدة أطول مهرجان في البطولة (بالفترات المحسوبة في M:S × مدة المباراة).</t>
  </si>
  <si>
    <t>• الفئتان تُلعبان في يومين مختلفين، لذا إجمالي الحكام في العمود F هو مجموع الفئتين؛ أما العدد المطلوب في اليوم الواحد فهو في الخانتين أسفل الجدول.</t>
  </si>
  <si>
    <t>الحكام وساعات التحكيم — المهرجان الواحد والبطولة كاملة — فئة تحت 7</t>
  </si>
  <si>
    <t>إجمالي ساعات الحكام لكل النوع (المهرجان الواحد)</t>
  </si>
  <si>
    <t>• لكل ملعب مصغّر حكم واحد (المدخلات!B10)، ومدة الحكم = مدة أطول مهرجان في البطولة (محسوبة في ورقة «الحكام حسب عدد الفرق»، العمود D).</t>
  </si>
  <si>
    <t>• البطولة كاملة (العمود I) = ساعات المهرجان الواحد (G) × عدد المهرجانات (H).</t>
  </si>
  <si>
    <t>الحكام وساعات التحكيم — المهرجان الواحد والبطولة كاملة — فئة تحت 9</t>
  </si>
  <si>
    <t>الحكام وساعات التحكيم حسب المدينة — فئة تحت 7 (المهرجان الواحد والبطولة كاملة)</t>
  </si>
  <si>
    <t>إجمالي ساعات الحكام – المهرجان الواحد</t>
  </si>
  <si>
    <t>إجمالي ساعات الحكام – البطولة كاملة</t>
  </si>
  <si>
    <t>• عدد الحكام = عدد الملاعب المصغّرة؛ ومدة الحكم = مدة أطول مهرجان في البطولة؛ والبطولة كاملة = ساعات المهرجان الواحد × عدد المهرجانات. المصدر: ورقة «حكام تحت 7 وتحت 9». المجموعات التي لا بطولة لها في هذه الفئة تظهر بـ «-».</t>
  </si>
  <si>
    <t>الحكام وساعات التحكيم حسب المدينة — فئة تحت 9 (المهرجان الواحد والبطولة كاملة)</t>
  </si>
  <si>
    <t>المدن</t>
  </si>
  <si>
    <t>جدول مباريات المجموعات التي فيها 12 فريقًا — أ: 6 فرق (1-6) | ب: 6 فرق (7-12)</t>
  </si>
  <si>
    <t>اليوم</t>
  </si>
  <si>
    <t>ملعب 1 (أ)</t>
  </si>
  <si>
    <t>ملعب 2 (أ)</t>
  </si>
  <si>
    <t>ملعب 3 (أ)</t>
  </si>
  <si>
    <t>ملعب 4 (ب)</t>
  </si>
  <si>
    <t>ملعب 5 (ب)</t>
  </si>
  <si>
    <t>ملعب 6 (ب)</t>
  </si>
  <si>
    <t>مجموع مباريات اليوم</t>
  </si>
  <si>
    <t>مباريات كل فريق (أ)</t>
  </si>
  <si>
    <t>مباريات كل فريق (ب)</t>
  </si>
  <si>
    <t>لاعبو الفترة (عمود مساعد)</t>
  </si>
  <si>
    <t>الفريق</t>
  </si>
  <si>
    <t>عدد مبارياته</t>
  </si>
  <si>
    <t>مباريات متتالية</t>
  </si>
  <si>
    <t>راحة أطول من 30</t>
  </si>
  <si>
    <t>اليوم 1</t>
  </si>
  <si>
    <t>استراحة (لا توجد مباريات)</t>
  </si>
  <si>
    <t>6 ضد 4</t>
  </si>
  <si>
    <t>12 ضد 10</t>
  </si>
  <si>
    <t>5 ضد 3</t>
  </si>
  <si>
    <t>6 ضد 2</t>
  </si>
  <si>
    <t>11 ضد 9</t>
  </si>
  <si>
    <t>12 ضد 8</t>
  </si>
  <si>
    <t>4 ضد 2</t>
  </si>
  <si>
    <t>10 ضد 8</t>
  </si>
  <si>
    <t>اليوم 2</t>
  </si>
  <si>
    <t>فترات اليوم</t>
  </si>
  <si>
    <t>اليوم 3</t>
  </si>
  <si>
    <t>اليوم 4</t>
  </si>
  <si>
    <t>اليوم 5</t>
  </si>
  <si>
    <t>اليوم 6</t>
  </si>
  <si>
    <t>توزيع الفرق على مجموعة الخفجي — يُعبّأ بأسماء الفرق</t>
  </si>
  <si>
    <t>المجموعة أ (الفرق 1-6)</t>
  </si>
  <si>
    <t>التصنيف</t>
  </si>
  <si>
    <t>المجموعة ب (الفرق 7-12)</t>
  </si>
  <si>
    <t>توزيع الفرق على مجموعة سكاكا (سكاكا، دومة الجندل) — يُعبّأ بأسماء الفرق</t>
  </si>
  <si>
    <t>المجموعة أ (الفرق 1-12)</t>
  </si>
  <si>
    <t>المجموعة أ (الفرق 1-5)</t>
  </si>
  <si>
    <t>المجموعة أ (الفرق 1-7)</t>
  </si>
  <si>
    <t>المجموعة أ (الفرق 1-8)</t>
  </si>
  <si>
    <t>المجموعة أ (الفرق 1-9)</t>
  </si>
  <si>
    <t>المجموعة أ (الفرق 1-10)</t>
  </si>
  <si>
    <t>المجموعة أ (الفرق 1-11)</t>
  </si>
  <si>
    <t>المجموعة أ (الفرق 1-13)</t>
  </si>
  <si>
    <t>المجموعة ب (الفرق 8-14)</t>
  </si>
  <si>
    <t>المجموعة ب (الفرق 8-15)</t>
  </si>
  <si>
    <t>المجموعة ب (الفرق 9-16)</t>
  </si>
  <si>
    <t>المجموعة ب (الفرق 9-17)</t>
  </si>
  <si>
    <t>المجموعة ب (الفرق 9-18)</t>
  </si>
  <si>
    <t>المجموعة ب (الفرق 10-19)</t>
  </si>
  <si>
    <t>المجموعة ب (الفرق 11-21)</t>
  </si>
  <si>
    <t>المجموعة ج (الفرق 17-25)</t>
  </si>
  <si>
    <t>المجموعة ب (الفرق 10-18)</t>
  </si>
  <si>
    <t>المجموعة ج (الفرق 19-28)</t>
  </si>
  <si>
    <t>المجموعة ج (الفرق 20-29)</t>
  </si>
  <si>
    <t>المجموعة ب (الفرق 11-20)</t>
  </si>
  <si>
    <t>المجموعة ج (الفرق 21-30)</t>
  </si>
  <si>
    <t>المجموعة ج (الفرق 21-31)</t>
  </si>
  <si>
    <t>المجموعة ب (الفرق 13-24)</t>
  </si>
  <si>
    <t>المجموعة ج (الفرق 25-36)</t>
  </si>
  <si>
    <t>المجموعة د (الفرق 37-49)</t>
  </si>
  <si>
    <t>المجموعة د (الفرق 31-40)</t>
  </si>
  <si>
    <t>توزيع الفرق على مجموعة طبرجل — تحت 7 — يُعبّأ بأسماء الفرق</t>
  </si>
  <si>
    <t>توزيع الفرق على مجموعة شرورة — تحت 7 — يُعبّأ بأسماء الفرق</t>
  </si>
  <si>
    <t>توزيع الفرق على مجموعة الخرج — تحت 9 — يُعبّأ بأسماء الفرق</t>
  </si>
  <si>
    <t>توزيع الفرق على مجموعة شرورة — تحت 9 — يُعبّأ بأسماء الفرق</t>
  </si>
  <si>
    <t>توزيع الفرق على مجموعة الدوادمي — تحت 9 — يُعبّأ بأسماء الفرق</t>
  </si>
  <si>
    <t>توزيع الفرق على مجموعة الباحة (الباحة، بلقرن) — تحت 7 — يُعبّأ بأسماء الفرق</t>
  </si>
  <si>
    <t>توزيع الفرق على مجموعة أبها (أبها، خميس مشيط) — تحت 7 — يُعبّأ بأسماء الفرق</t>
  </si>
  <si>
    <t>توزيع الفرق على مجموعة القريات — تحت 9 — يُعبّأ بأسماء الفرق</t>
  </si>
  <si>
    <t>توزيع الفرق على مجموعة طبرجل — تحت 9 — يُعبّأ بأسماء الفرق</t>
  </si>
  <si>
    <t>توزيع الفرق على مجموعة حائل — تحت 7 — يُعبّأ بأسماء الفرق</t>
  </si>
  <si>
    <t>توزيع الفرق على مجموعة مركز الرفيعة — تحت 7 — يُعبّأ بأسماء الفرق</t>
  </si>
  <si>
    <t>توزيع الفرق على مجموعة القريات — تحت 7 — يُعبّأ بأسماء الفرق</t>
  </si>
  <si>
    <t>توزيع الفرق على مجموعة مركز الرفيعة — تحت 9 — يُعبّأ بأسماء الفرق</t>
  </si>
  <si>
    <t>توزيع الفرق على مجموعة الباحة (الباحة، بلقرن، العقيق) — تحت 9 — يُعبّأ بأسماء الفرق</t>
  </si>
  <si>
    <t>توزيع الفرق على مجموعة جازان (جيزان) — تحت 7 — يُعبّأ بأسماء الفرق</t>
  </si>
  <si>
    <t>توزيع الفرق على مجموعة أحد المسارحة — تحت 7 — يُعبّأ بأسماء الفرق</t>
  </si>
  <si>
    <t>توزيع الفرق على مجموعة الرس (البكيرية، الرس، رياض الخبراء، البدائع) — تحت 9 — يُعبّأ بأسماء الفرق</t>
  </si>
  <si>
    <t>توزيع الفرق على مجموعة القنفذة — تحت 9 — يُعبّأ بأسماء الفرق</t>
  </si>
  <si>
    <t>توزيع الفرق على مجموعة أحد المسارحة — تحت 9 — يُعبّأ بأسماء الفرق</t>
  </si>
  <si>
    <t>توزيع الفرق على مجموعة القصيم (بريدة، عيون الجواء، المذنب، عنيزة) — تحت 7 — يُعبّأ بأسماء الفرق</t>
  </si>
  <si>
    <t>توزيع الفرق على مجموعة صامطة — تحت 7 — يُعبّأ بأسماء الفرق</t>
  </si>
  <si>
    <t>توزيع الفرق على مجموعة صامطة — تحت 9 — يُعبّأ بأسماء الفرق</t>
  </si>
  <si>
    <t>توزيع الفرق على مجموعة القطيف — تحت 7 — يُعبّأ بأسماء الفرق</t>
  </si>
  <si>
    <t>توزيع الفرق على مجموعة أبو عريش — تحت 7 — يُعبّأ بأسماء الفرق</t>
  </si>
  <si>
    <t>توزيع الفرق على مجموعة أبو عريش — تحت 9 — يُعبّأ بأسماء الفرق</t>
  </si>
  <si>
    <t>توزيع الفرق على مجموعة أبها (أبها، خميس مشيط) — تحت 9 — يُعبّأ بأسماء الفرق</t>
  </si>
  <si>
    <t>توزيع الفرق على مجموعة جازان (جيزان) — تحت 9 — يُعبّأ بأسماء الفرق</t>
  </si>
  <si>
    <t>توزيع الفرق على مجموعة سكاكا (سكاكا، دومة الجندل) — تحت 7 — يُعبّأ بأسماء الفرق</t>
  </si>
  <si>
    <t>توزيع الفرق على مجموعة حائل — تحت 9 — يُعبّأ بأسماء الفرق</t>
  </si>
  <si>
    <t>توزيع الفرق على مجموعة الخفجي — تحت 7 — يُعبّأ بأسماء الفرق</t>
  </si>
  <si>
    <t>توزيع الفرق على مجموعة الطائف — تحت 7 — يُعبّأ بأسماء الفرق</t>
  </si>
  <si>
    <t>توزيع الفرق على مجموعة الخفجي — تحت 9 — يُعبّأ بأسماء الفرق</t>
  </si>
  <si>
    <t>توزيع الفرق على مجموعة القصيم (بريدة، عيون الجواء، المذنب، عنيزة) — تحت 9 — يُعبّأ بأسماء الفرق</t>
  </si>
  <si>
    <t>توزيع الفرق على مجموعة صبيا (صبيا، ضمد) — تحت 7 — يُعبّأ بأسماء الفرق</t>
  </si>
  <si>
    <t>توزيع الفرق على مجموعة القطيف (القطيف، الجبيل) — تحت 9 — يُعبّأ بأسماء الفرق</t>
  </si>
  <si>
    <t>توزيع الفرق على مجموعة سكاكا (سكاكا، دومة الجندل) — تحت 9 — يُعبّأ بأسماء الفرق</t>
  </si>
  <si>
    <t>توزيع الفرق على مجموعة الطائف — تحت 9 — يُعبّأ بأسماء الفرق</t>
  </si>
  <si>
    <t>توزيع الفرق على مجموعة المدينة المنورة — تحت 7 — يُعبّأ بأسماء الفرق</t>
  </si>
  <si>
    <t>توزيع الفرق على مجموعة الدمام (الظهران، الخبر، الدمام، سيهات) — تحت 7 — يُعبّأ بأسماء الفرق</t>
  </si>
  <si>
    <t>توزيع الفرق على مجموعة صبيا (صبيا، ضمد) — تحت 9 — يُعبّأ بأسماء الفرق</t>
  </si>
  <si>
    <t>توزيع الفرق على مجموعة حفر الباطن — تحت 7 — يُعبّأ بأسماء الفرق</t>
  </si>
  <si>
    <t>توزيع الفرق على مجموعة الأحساء — تحت 7 — يُعبّأ بأسماء الفرق</t>
  </si>
  <si>
    <t>توزيع الفرق على مجموعة حفر الباطن — تحت 9 — يُعبّأ بأسماء الفرق</t>
  </si>
  <si>
    <t>توزيع الفرق على مجموعة مكة المكرمة — تحت 7 — يُعبّأ بأسماء الفرق</t>
  </si>
  <si>
    <t>توزيع الفرق على مجموعة المدينة المنورة — تحت 9 — يُعبّأ بأسماء الفرق</t>
  </si>
  <si>
    <t>توزيع الفرق على مجموعة الأحساء — تحت 9 — يُعبّأ بأسماء الفرق</t>
  </si>
  <si>
    <t>توزيع الفرق على مجموعة مكة المكرمة (مكة المكرمة، الجموم) — تحت 9 — يُعبّأ بأسماء الفرق</t>
  </si>
  <si>
    <t>توزيع الفرق على مجموعة الرياض — تحت 7 — يُعبّأ بأسماء الفرق</t>
  </si>
  <si>
    <t>توزيع الفرق على مجموعة جدة — تحت 7 — يُعبّأ بأسماء الفرق</t>
  </si>
  <si>
    <t>توزيع الفرق على مجموعة الدمام (الظهران، الخبر، الدمام، سيهات) — تحت 9 — يُعبّأ بأسماء الفرق</t>
  </si>
  <si>
    <t>توزيع الفرق على مجموعة الرياض — تحت 9 — يُعبّأ بأسماء الفرق</t>
  </si>
  <si>
    <t>توزيع الفرق على مجموعة جدة — تحت 9 — يُعبّأ بأسماء الفرق</t>
  </si>
  <si>
    <t>R20</t>
  </si>
  <si>
    <t>اكاديمية البندر</t>
  </si>
  <si>
    <t>شمال الوادي (1)</t>
  </si>
  <si>
    <t>شمال الوادي (2)</t>
  </si>
  <si>
    <t>نادي</t>
  </si>
  <si>
    <t>أكاديمية</t>
  </si>
  <si>
    <t>الصحاري</t>
  </si>
  <si>
    <t>جوهرة المستقبل (1)</t>
  </si>
  <si>
    <t>جوهرة المستقبل (2)</t>
  </si>
  <si>
    <t>جوهرة المستقبل (3)</t>
  </si>
  <si>
    <t>نادي السهام</t>
  </si>
  <si>
    <t>هواة</t>
  </si>
  <si>
    <t>اكاديمية ارتس فوتبول</t>
  </si>
  <si>
    <t>اكاديمية الكأس الرياضية (1)</t>
  </si>
  <si>
    <t>اكاديمية الكأس الرياضية (2)</t>
  </si>
  <si>
    <t>اكاديمية الكأس الرياضية (3)</t>
  </si>
  <si>
    <t>صفوة جيم</t>
  </si>
  <si>
    <t>البجادية (1)</t>
  </si>
  <si>
    <t>البجادية (2)</t>
  </si>
  <si>
    <t>البجادية (3)</t>
  </si>
  <si>
    <t>Future 2</t>
  </si>
  <si>
    <t>يزن ابراهيم محمد العبداللطيف</t>
  </si>
  <si>
    <t>البشائر (1)</t>
  </si>
  <si>
    <t>البشائر (2)</t>
  </si>
  <si>
    <t>اكاديمية مواهب الباحة</t>
  </si>
  <si>
    <t>اكاديمية مواهب بيشة</t>
  </si>
  <si>
    <t>اكاديمية اس اف</t>
  </si>
  <si>
    <t>اكاديمية صقل المواهب</t>
  </si>
  <si>
    <t>اكاديمية او اس الرياضية</t>
  </si>
  <si>
    <t>براعم الموهوبين</t>
  </si>
  <si>
    <t>مستقبل الخميس</t>
  </si>
  <si>
    <t>نخبة رواد القمة</t>
  </si>
  <si>
    <t>زعيم الجنوب</t>
  </si>
  <si>
    <t>صفوة مواهب الجنوب</t>
  </si>
  <si>
    <t>القريات (1)</t>
  </si>
  <si>
    <t>القريات (2)</t>
  </si>
  <si>
    <t>اشبيلية بارك الرياضية (1)</t>
  </si>
  <si>
    <t>اشبيلية بارك الرياضية (2)</t>
  </si>
  <si>
    <t>باريس الجوف</t>
  </si>
  <si>
    <t>وولف</t>
  </si>
  <si>
    <t>نخبة طبرجل</t>
  </si>
  <si>
    <t>الجبلين</t>
  </si>
  <si>
    <t>الريان</t>
  </si>
  <si>
    <t>الطائي</t>
  </si>
  <si>
    <t>فيد</t>
  </si>
  <si>
    <t>نادي جبة</t>
  </si>
  <si>
    <t>اكاديمية سلمى</t>
  </si>
  <si>
    <t>تكتيك</t>
  </si>
  <si>
    <t>قرية العليا</t>
  </si>
  <si>
    <t>اجيال اللهابه</t>
  </si>
  <si>
    <t>النخبوي</t>
  </si>
  <si>
    <t>صقور الرفيعة</t>
  </si>
  <si>
    <t>مواهب الشيحية</t>
  </si>
  <si>
    <t>نجوم الرفاع</t>
  </si>
  <si>
    <t>نخبة الصمان</t>
  </si>
  <si>
    <t>اكاديمية المستقبل</t>
  </si>
  <si>
    <t>الصحراء الرياضية</t>
  </si>
  <si>
    <t>تيم قول</t>
  </si>
  <si>
    <t>شعلة الباحة</t>
  </si>
  <si>
    <t>ستار ون</t>
  </si>
  <si>
    <t>الجاردن</t>
  </si>
  <si>
    <t>العدايا</t>
  </si>
  <si>
    <t>النجوم بجازان</t>
  </si>
  <si>
    <t>سانتوس جيزان</t>
  </si>
  <si>
    <t>سحار</t>
  </si>
  <si>
    <t>صقور الوادي</t>
  </si>
  <si>
    <t>فريق منشبة</t>
  </si>
  <si>
    <t>احلام النورس</t>
  </si>
  <si>
    <t>السويديه</t>
  </si>
  <si>
    <t>الوحوش</t>
  </si>
  <si>
    <t>الوسام</t>
  </si>
  <si>
    <t>تعاون الشعفولية</t>
  </si>
  <si>
    <t>جحا</t>
  </si>
  <si>
    <t>ساحل الوحلة</t>
  </si>
  <si>
    <t>سمبدوريا المسارحة</t>
  </si>
  <si>
    <t>الخلود</t>
  </si>
  <si>
    <t>الفيصلي</t>
  </si>
  <si>
    <t>القصيم</t>
  </si>
  <si>
    <t>نادي البدائع</t>
  </si>
  <si>
    <t>الشنانة</t>
  </si>
  <si>
    <t>اكاديمية اربع وعشرين الرياضية</t>
  </si>
  <si>
    <t>الجواهر</t>
  </si>
  <si>
    <t>معقل المواهب</t>
  </si>
  <si>
    <t>تضامن القنفذة بالقوز</t>
  </si>
  <si>
    <t>اكاديمية X5</t>
  </si>
  <si>
    <t>اكاديمية عز تن</t>
  </si>
  <si>
    <t>ثلاثا يبه</t>
  </si>
  <si>
    <t>زد ام سي القنفذة</t>
  </si>
  <si>
    <t>فريق بحلي</t>
  </si>
  <si>
    <t>وحدة عنيكر</t>
  </si>
  <si>
    <t>التقدم</t>
  </si>
  <si>
    <t>عيون الجواء</t>
  </si>
  <si>
    <t>نادي العربي</t>
  </si>
  <si>
    <t>اكاديمية موهبة الرياضية (1)</t>
  </si>
  <si>
    <t>اكاديمية موهبة الرياضية (2)</t>
  </si>
  <si>
    <t>تالنت</t>
  </si>
  <si>
    <t>اف 10 شقة (1)</t>
  </si>
  <si>
    <t>اف 10 شقة (2)</t>
  </si>
  <si>
    <t>الهدف الخامس</t>
  </si>
  <si>
    <t>أبو حجر</t>
  </si>
  <si>
    <t>إتحاد صامطة</t>
  </si>
  <si>
    <t>التضامن</t>
  </si>
  <si>
    <t>تعاون الطرشية</t>
  </si>
  <si>
    <t>تعاون ديحمة</t>
  </si>
  <si>
    <t>زين المباركة</t>
  </si>
  <si>
    <t>سامبا الوتد</t>
  </si>
  <si>
    <t>نجوم صامطة</t>
  </si>
  <si>
    <t>الازهر</t>
  </si>
  <si>
    <t>الترجي</t>
  </si>
  <si>
    <t>السلام</t>
  </si>
  <si>
    <t>النور</t>
  </si>
  <si>
    <t>مضر</t>
  </si>
  <si>
    <t>اتش اس سبورت</t>
  </si>
  <si>
    <t>النجوم المضيئة</t>
  </si>
  <si>
    <t>الولاء الرياضي</t>
  </si>
  <si>
    <t>كات</t>
  </si>
  <si>
    <t>مواهب الدانة</t>
  </si>
  <si>
    <t>أمجاد الخشابية</t>
  </si>
  <si>
    <t>احلام العبادلة</t>
  </si>
  <si>
    <t>الجوه</t>
  </si>
  <si>
    <t>الكواكب ابو عريش</t>
  </si>
  <si>
    <t>الهلال الشرقي</t>
  </si>
  <si>
    <t>شباب حاكمة ابي عريش</t>
  </si>
  <si>
    <t>صقور قامرة جازان</t>
  </si>
  <si>
    <t>فريق الخليج بأبو عريش</t>
  </si>
  <si>
    <t>مستقبل الخضراء</t>
  </si>
  <si>
    <t>هواة احلام الريان</t>
  </si>
  <si>
    <t>اكاديمية تلال ابها (1)</t>
  </si>
  <si>
    <t>اكاديمية تلال ابها (2)</t>
  </si>
  <si>
    <t>الرواد الرياضية</t>
  </si>
  <si>
    <t>مستقبل الخميس (1)</t>
  </si>
  <si>
    <t>مستقبل الخميس (2)</t>
  </si>
  <si>
    <t>اكاديمية تندحة الرياضية</t>
  </si>
  <si>
    <t>التهامي (1)</t>
  </si>
  <si>
    <t>التهامي (2)</t>
  </si>
  <si>
    <t>اكاديمية الزعيم</t>
  </si>
  <si>
    <t>الانطلاق (1)</t>
  </si>
  <si>
    <t>الانطلاق (2)</t>
  </si>
  <si>
    <t>الجندل (1)</t>
  </si>
  <si>
    <t>الجندل (2)</t>
  </si>
  <si>
    <t>الجندل (3)</t>
  </si>
  <si>
    <t>العروبة (1)</t>
  </si>
  <si>
    <t>العروبة (2)</t>
  </si>
  <si>
    <t>نادي القلعة</t>
  </si>
  <si>
    <t>أجيال الحياة</t>
  </si>
  <si>
    <t>اكاديمية المواهب</t>
  </si>
  <si>
    <t>الردع</t>
  </si>
  <si>
    <t>المتحد بالجوف</t>
  </si>
  <si>
    <t>فيد (1)</t>
  </si>
  <si>
    <t>فيد (2)</t>
  </si>
  <si>
    <t>قفار</t>
  </si>
  <si>
    <t>مستقبل النخبة</t>
  </si>
  <si>
    <t>أشبال سهما</t>
  </si>
  <si>
    <t>اكاديمية نيوكاسل</t>
  </si>
  <si>
    <t>العلمين</t>
  </si>
  <si>
    <t>الايمان الرياضية</t>
  </si>
  <si>
    <t>افاق الخفجي</t>
  </si>
  <si>
    <t>السهم</t>
  </si>
  <si>
    <t>الفرسان</t>
  </si>
  <si>
    <t>القانرز</t>
  </si>
  <si>
    <t>اولمبي الحزم</t>
  </si>
  <si>
    <t>حزم الخفجي</t>
  </si>
  <si>
    <t>زعيم الخفجي</t>
  </si>
  <si>
    <t>مدرسة اجيال الخفجي</t>
  </si>
  <si>
    <t>مدرسة الشرق الاهلية</t>
  </si>
  <si>
    <t>ميلان الخفجي</t>
  </si>
  <si>
    <t>نابولي الخفجي</t>
  </si>
  <si>
    <t>الأغر</t>
  </si>
  <si>
    <t>الوداد الطائفي</t>
  </si>
  <si>
    <t>عكاظ</t>
  </si>
  <si>
    <t>اكاديمية نجم الفرق</t>
  </si>
  <si>
    <t>فالكون</t>
  </si>
  <si>
    <t>نجوم مجد</t>
  </si>
  <si>
    <t>نخبة بالطايف</t>
  </si>
  <si>
    <t>اكاديمة السامبا</t>
  </si>
  <si>
    <t>اكاديمية الجوهره</t>
  </si>
  <si>
    <t>اكاديمية الرواد بالطائف</t>
  </si>
  <si>
    <t>الكوماندوز</t>
  </si>
  <si>
    <t>برشا الشطبة</t>
  </si>
  <si>
    <t>سر النجوم</t>
  </si>
  <si>
    <t>نجوم الخفجي</t>
  </si>
  <si>
    <t>تالنت (1)</t>
  </si>
  <si>
    <t>تالنت (3)</t>
  </si>
  <si>
    <t>اكاديمية أبناء</t>
  </si>
  <si>
    <t>شركة نادي الزلفي</t>
  </si>
  <si>
    <t>السرعة الفعالة</t>
  </si>
  <si>
    <t>تالنت (2)</t>
  </si>
  <si>
    <t>اكاديمية تايقرز</t>
  </si>
  <si>
    <t>الوطن</t>
  </si>
  <si>
    <t>وفاق الجنوب (1)</t>
  </si>
  <si>
    <t>الشاطئ</t>
  </si>
  <si>
    <t>العروبة بجخيرة</t>
  </si>
  <si>
    <t>المحمدية</t>
  </si>
  <si>
    <t>جميما</t>
  </si>
  <si>
    <t>شباب ابو القعايد</t>
  </si>
  <si>
    <t>الليث الابيض</t>
  </si>
  <si>
    <t>وفاق الجنوب (2)</t>
  </si>
  <si>
    <t>الامجاد ضمد</t>
  </si>
  <si>
    <t>الجزيرة بالحسيني</t>
  </si>
  <si>
    <t>السالمية</t>
  </si>
  <si>
    <t>الصمود</t>
  </si>
  <si>
    <t>القاضي</t>
  </si>
  <si>
    <t>جريبة</t>
  </si>
  <si>
    <t>اف اي في 7</t>
  </si>
  <si>
    <t>النجوم المضيئة (1)</t>
  </si>
  <si>
    <t>كات (2)</t>
  </si>
  <si>
    <t>الاعب الموهوب</t>
  </si>
  <si>
    <t>النجوم المضيئة (2)</t>
  </si>
  <si>
    <t>طائر العقاب</t>
  </si>
  <si>
    <t>كات (1)</t>
  </si>
  <si>
    <t>اكاديمية الجوبة الرياضية</t>
  </si>
  <si>
    <t>اكاديمية برشا</t>
  </si>
  <si>
    <t>الاخضر</t>
  </si>
  <si>
    <t>تورنيدو</t>
  </si>
  <si>
    <t>فارس الحميد الطائف</t>
  </si>
  <si>
    <t>أحد</t>
  </si>
  <si>
    <t>الانصار (1)</t>
  </si>
  <si>
    <t>الانصار (3)</t>
  </si>
  <si>
    <t>العلا (2)</t>
  </si>
  <si>
    <t>الكالتشيو</t>
  </si>
  <si>
    <t>مستقبل المتقدمة</t>
  </si>
  <si>
    <t>اكاديمية الليجا الرياضية</t>
  </si>
  <si>
    <t>البلاك ستارز</t>
  </si>
  <si>
    <t>الانصار (2)</t>
  </si>
  <si>
    <t>العلا (1)</t>
  </si>
  <si>
    <t>العلا (3)</t>
  </si>
  <si>
    <t>السفير</t>
  </si>
  <si>
    <t>شباب طيبة</t>
  </si>
  <si>
    <t>واعي</t>
  </si>
  <si>
    <t>اكاديمية نجوم الدعيثة</t>
  </si>
  <si>
    <t>فريق تاج العدالة</t>
  </si>
  <si>
    <t>الاتفاق</t>
  </si>
  <si>
    <t>الخليج</t>
  </si>
  <si>
    <t>وينرز (1)</t>
  </si>
  <si>
    <t>أشبال البراعم</t>
  </si>
  <si>
    <t>اكاديمية الظهران</t>
  </si>
  <si>
    <t>اكاديمية رايت (1)</t>
  </si>
  <si>
    <t>اكاديمية مروم الشرق</t>
  </si>
  <si>
    <t>قادسية الخبر (2)</t>
  </si>
  <si>
    <t>الثقبة</t>
  </si>
  <si>
    <t>وينرز (2)</t>
  </si>
  <si>
    <t>اكاديمية اجيال التفوق</t>
  </si>
  <si>
    <t>اكاديمية النخبة الرياضية</t>
  </si>
  <si>
    <t>اكاديمية رايت (2)</t>
  </si>
  <si>
    <t>شبه الجزيرة</t>
  </si>
  <si>
    <t>قادسية الخبر (1)</t>
  </si>
  <si>
    <t>قادسية الخبر (3)</t>
  </si>
  <si>
    <t>زمن الاحتراف</t>
  </si>
  <si>
    <t>القيصومة</t>
  </si>
  <si>
    <t>اف ستة عشر العالمية</t>
  </si>
  <si>
    <t>اكاديمية النجم</t>
  </si>
  <si>
    <t>القمة الرياضية</t>
  </si>
  <si>
    <t>مواهب اسباير</t>
  </si>
  <si>
    <t>مواهب السد</t>
  </si>
  <si>
    <t>الاختيار</t>
  </si>
  <si>
    <t>فريق اكاديمية الحفر</t>
  </si>
  <si>
    <t>الباطن</t>
  </si>
  <si>
    <t>نادي الحفر</t>
  </si>
  <si>
    <t>اكاديمية السارية للمواهب</t>
  </si>
  <si>
    <t>اكاديمية المملكة</t>
  </si>
  <si>
    <t>اكاديمية ايليت</t>
  </si>
  <si>
    <t>فيصل الدخيل</t>
  </si>
  <si>
    <t>مواهب الحفر</t>
  </si>
  <si>
    <t>التابلين حفر الباطن</t>
  </si>
  <si>
    <t>الوصل بحفر الباطن</t>
  </si>
  <si>
    <t>الجيل</t>
  </si>
  <si>
    <t>الفتح (2)</t>
  </si>
  <si>
    <t>هجر</t>
  </si>
  <si>
    <t>أحلام المنصورة (2)</t>
  </si>
  <si>
    <t>فوكس</t>
  </si>
  <si>
    <t>نجمة الهفوف</t>
  </si>
  <si>
    <t>الكواسر</t>
  </si>
  <si>
    <t>برذرتيم</t>
  </si>
  <si>
    <t>العيون</t>
  </si>
  <si>
    <t>الفتح (1)</t>
  </si>
  <si>
    <t>نادي الروضة</t>
  </si>
  <si>
    <t>أحلام المنصورة (1)</t>
  </si>
  <si>
    <t>اتحاد العزم</t>
  </si>
  <si>
    <t>اكاديمية الفوارس</t>
  </si>
  <si>
    <t>اكاديمية لحن</t>
  </si>
  <si>
    <t>قادسية الاحساء</t>
  </si>
  <si>
    <t>فريق الشهارين</t>
  </si>
  <si>
    <t>فريق هلال العيون</t>
  </si>
  <si>
    <t>اكاديمية البلوز</t>
  </si>
  <si>
    <t>الرشيد بحفر الباطن</t>
  </si>
  <si>
    <t>المجرة</t>
  </si>
  <si>
    <t>اكاديمية بناء الانسان الريايضية</t>
  </si>
  <si>
    <t>الرؤية المحترفة (1)</t>
  </si>
  <si>
    <t>مكة يارد</t>
  </si>
  <si>
    <t>أجيال الابطال الرياضية</t>
  </si>
  <si>
    <t>اكاديمية الكرة الراقية</t>
  </si>
  <si>
    <t>العاصمة البيضاء</t>
  </si>
  <si>
    <t>اوتو مكة</t>
  </si>
  <si>
    <t>عصر الاحتراف</t>
  </si>
  <si>
    <t>نحن النجوم</t>
  </si>
  <si>
    <t>الوحدة</t>
  </si>
  <si>
    <t>اكاديمية الأسياد</t>
  </si>
  <si>
    <t>الرؤية المحترفة (2)</t>
  </si>
  <si>
    <t>كرة النجوم</t>
  </si>
  <si>
    <t>اكاديمية أف 1</t>
  </si>
  <si>
    <t>اكاديمية القمة هواة</t>
  </si>
  <si>
    <t>اكاديمية مجد والعلياء الرياضية</t>
  </si>
  <si>
    <t>العطا تيم</t>
  </si>
  <si>
    <t>شباب الوادي</t>
  </si>
  <si>
    <t>نادي مدارس الفرسان الرياضي</t>
  </si>
  <si>
    <t>اكاديمية التحدي</t>
  </si>
  <si>
    <t>اكاديمية باليرمو (1)</t>
  </si>
  <si>
    <t>الكالتشيو (2)</t>
  </si>
  <si>
    <t>اكاديمية باليرمو (2)</t>
  </si>
  <si>
    <t>مستقبل المتقدمة (2)</t>
  </si>
  <si>
    <t>m 1</t>
  </si>
  <si>
    <t>نكست جول</t>
  </si>
  <si>
    <t>اشبيلية المدينة الرياضي</t>
  </si>
  <si>
    <t>الكالتشيو (1)</t>
  </si>
  <si>
    <t>مستقبل المتقدمة (1)</t>
  </si>
  <si>
    <t>الامام يعقوب</t>
  </si>
  <si>
    <t>قادسية الاحساء (2)</t>
  </si>
  <si>
    <t>ريف جواثا</t>
  </si>
  <si>
    <t>اكاديمية وهب  الكرة</t>
  </si>
  <si>
    <t>خليج الطرف</t>
  </si>
  <si>
    <t>نجوم الاحساء</t>
  </si>
  <si>
    <t>العدالة</t>
  </si>
  <si>
    <t>أحلام المنصورة (3)</t>
  </si>
  <si>
    <t>قادسية الاحساء (1)</t>
  </si>
  <si>
    <t>الرابية</t>
  </si>
  <si>
    <t>النورس بالرميلة</t>
  </si>
  <si>
    <t>فريق الجزيرة بالعيون</t>
  </si>
  <si>
    <t>اكاديمية بناء الانسان الريايضية (1)</t>
  </si>
  <si>
    <t>المحور ستة</t>
  </si>
  <si>
    <t>كرة النجوم (1)</t>
  </si>
  <si>
    <t>اكاديمية النوفاوي</t>
  </si>
  <si>
    <t>نجوم الروحاء</t>
  </si>
  <si>
    <t>اكاديمية بناء الانسان الريايضية (2)</t>
  </si>
  <si>
    <t>كرة النجوم (2)</t>
  </si>
  <si>
    <t>نادي الهجرة</t>
  </si>
  <si>
    <t>اكاديمية بناء الانسان الريايضية (3)</t>
  </si>
  <si>
    <t>همة الفرسان</t>
  </si>
  <si>
    <t>اكاديمية المنصور</t>
  </si>
  <si>
    <t>الشباب</t>
  </si>
  <si>
    <t>النصر (1)</t>
  </si>
  <si>
    <t>ليجيندز</t>
  </si>
  <si>
    <t>اكاديمية دايموند</t>
  </si>
  <si>
    <t>اكاديمية فارس الرياض (1)</t>
  </si>
  <si>
    <t>النسور الذهبية</t>
  </si>
  <si>
    <t>اي ار سي</t>
  </si>
  <si>
    <t>فريق عالم المنجزون</t>
  </si>
  <si>
    <t>مواهب الشرق</t>
  </si>
  <si>
    <t>هاي ليفل اوف برفورمانس (2)</t>
  </si>
  <si>
    <t>الفذ</t>
  </si>
  <si>
    <t>النصر (2)</t>
  </si>
  <si>
    <t>مجد القنفذة</t>
  </si>
  <si>
    <t>اكاديمية الشنكل</t>
  </si>
  <si>
    <t>اكاديمية ستورم</t>
  </si>
  <si>
    <t>اكاديمية فارس الرياض (2)</t>
  </si>
  <si>
    <t>النهج السعودي</t>
  </si>
  <si>
    <t>دريمز إف سي</t>
  </si>
  <si>
    <t>مدارس الرياض</t>
  </si>
  <si>
    <t>PARIS SAINT GERMAIN ACADEMY SAUDI ARABIA</t>
  </si>
  <si>
    <t>البجادية</t>
  </si>
  <si>
    <t>الهلال</t>
  </si>
  <si>
    <t>نجوم الملاعب</t>
  </si>
  <si>
    <t>اكاديمية اوليمبك</t>
  </si>
  <si>
    <t>الحزم جول</t>
  </si>
  <si>
    <t>الوصل الرياضية</t>
  </si>
  <si>
    <t>صقور نجد</t>
  </si>
  <si>
    <t>مواهب الخالدية</t>
  </si>
  <si>
    <t>هاي ليفل اوف برفورمانس (1)</t>
  </si>
  <si>
    <t>اكادميه ميلانو</t>
  </si>
  <si>
    <t>نادي الاتحاد السعودي (2)</t>
  </si>
  <si>
    <t>نادي الاهلي السعودي (2)</t>
  </si>
  <si>
    <t>الجوهرة المتحدة (2)</t>
  </si>
  <si>
    <t>العالم الرياضية</t>
  </si>
  <si>
    <t>المجد النموذجية (1)</t>
  </si>
  <si>
    <t>المملكة (2)</t>
  </si>
  <si>
    <t>مدرسة نادي الاتحاد -فرع الصحافة</t>
  </si>
  <si>
    <t>اكاديمية التحدي جدة</t>
  </si>
  <si>
    <t>اكاديمية جدة سيتي</t>
  </si>
  <si>
    <t>بي فايف</t>
  </si>
  <si>
    <t>البلد</t>
  </si>
  <si>
    <t>نادي الاهلي السعودي (3)</t>
  </si>
  <si>
    <t>القرية الاولومبية (1)</t>
  </si>
  <si>
    <t>الكرة المشتعلة</t>
  </si>
  <si>
    <t>المجد النموذجية (2)</t>
  </si>
  <si>
    <t>ساحة التحدي (1)</t>
  </si>
  <si>
    <t>مواهب جدة</t>
  </si>
  <si>
    <t>اكاديمية الترجي جدة</t>
  </si>
  <si>
    <t>اكاديمية وولفز</t>
  </si>
  <si>
    <t>جول اكاديمي</t>
  </si>
  <si>
    <t>نادي الاتحاد السعودي (1)</t>
  </si>
  <si>
    <t>نادي الاهلي السعودي (1)</t>
  </si>
  <si>
    <t>الجوهرة المتحدة (1)</t>
  </si>
  <si>
    <t>القرية الاولومبية (2)</t>
  </si>
  <si>
    <t>المملكة (1)</t>
  </si>
  <si>
    <t>ساحة التحدي (2)</t>
  </si>
  <si>
    <t>شركة براعم المقاولون العرب</t>
  </si>
  <si>
    <t>اكاديمية بلو باور جدة</t>
  </si>
  <si>
    <t>السنابل</t>
  </si>
  <si>
    <t>فريق المنارات</t>
  </si>
  <si>
    <t>الاتفاق (2)</t>
  </si>
  <si>
    <t>الساحل</t>
  </si>
  <si>
    <t>اكاديمية اجيال التفوق (2)</t>
  </si>
  <si>
    <t>اكاديمية السوبر الرياضية</t>
  </si>
  <si>
    <t>اكاديمية مروم الشرق (2)</t>
  </si>
  <si>
    <t>الزوري</t>
  </si>
  <si>
    <t>مدريدستا</t>
  </si>
  <si>
    <t>القادسية</t>
  </si>
  <si>
    <t>وينرز (3)</t>
  </si>
  <si>
    <t>اكاديمية الظهران (1)</t>
  </si>
  <si>
    <t>سما</t>
  </si>
  <si>
    <t>نيكست تشامبيون</t>
  </si>
  <si>
    <t>الاتفاق (1)</t>
  </si>
  <si>
    <t>اسبايرالظهران</t>
  </si>
  <si>
    <t>اكاديمية اجيال التفوق (1)</t>
  </si>
  <si>
    <t>اكاديمية الظهران (2)</t>
  </si>
  <si>
    <t>اكاديمية قول</t>
  </si>
  <si>
    <t>اكاديمية مروم الشرق (1)</t>
  </si>
  <si>
    <t>يوفنتوس الخبر</t>
  </si>
  <si>
    <t>الدرعية</t>
  </si>
  <si>
    <t>اكاديمية اسيست</t>
  </si>
  <si>
    <t>مدارس الرياض (3)</t>
  </si>
  <si>
    <t>مهد الرياضية</t>
  </si>
  <si>
    <t>اكاديمية تكوين (1)</t>
  </si>
  <si>
    <t>ليجيندز (1)</t>
  </si>
  <si>
    <t>اكاديمية تكوين (2)</t>
  </si>
  <si>
    <t>مدارس الرياض (1)</t>
  </si>
  <si>
    <t>ريال اسبانيول</t>
  </si>
  <si>
    <t>ليجيندز (2)</t>
  </si>
  <si>
    <t>أبيكس</t>
  </si>
  <si>
    <t>مدارس الرياض (2)</t>
  </si>
  <si>
    <t>وايت نايتس</t>
  </si>
  <si>
    <t>سدرة</t>
  </si>
  <si>
    <t>اكاديمية سمارت</t>
  </si>
  <si>
    <t>المدرسة الاسبانية (2)</t>
  </si>
  <si>
    <t>شركة براعم المقاولون العرب (2)</t>
  </si>
  <si>
    <t>دار الفرسان</t>
  </si>
  <si>
    <t>مدرسة المجد</t>
  </si>
  <si>
    <t>الفيصلية</t>
  </si>
  <si>
    <t>ساحة التحدي</t>
  </si>
  <si>
    <t>مدرسة نادي الاتحاد -فرع الصحافة (2)</t>
  </si>
  <si>
    <t>جدة تالنتس</t>
  </si>
  <si>
    <t>فريق نادي الوسام الرياضي</t>
  </si>
  <si>
    <t>نجوم الثمانين</t>
  </si>
  <si>
    <t>اشبال الساحل</t>
  </si>
  <si>
    <t>القرينتا اكاديمي</t>
  </si>
  <si>
    <t>المدرسة الاسبانية (1)</t>
  </si>
  <si>
    <t>شركة براعم المقاولون العرب (1)</t>
  </si>
  <si>
    <t>عسفان</t>
  </si>
  <si>
    <t>الدخيل</t>
  </si>
  <si>
    <t>مدارس الاندلس الاهلية</t>
  </si>
  <si>
    <t>نسيم الحرازات</t>
  </si>
  <si>
    <t>رجال التعاون</t>
  </si>
  <si>
    <t>مدرسة نادي الاتحاد -فرع الصحافة (1)</t>
  </si>
  <si>
    <t>نخبة الحمدانية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</si>
</sst>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مهرجان &quot;0"/>
    <numFmt numFmtId="166" formatCode="0;\-0;\-"/>
    <numFmt numFmtId="167" formatCode="0.00;\-0.00;\-"/>
  </numFmts>
  <fonts count="35">
    <font>
      <sz val="11"/>
      <name val="Carlito"/>
    </font>
    <font>
      <sz val="11"/>
      <color theme="1"/>
      <name val="Calibri"/>
      <family val="2"/>
      <scheme val="minor"/>
    </font>
    <font>
      <sz val="11"/>
      <color theme="1"/>
      <name val="Calibri"/>
      <family val="2"/>
      <scheme val="minor"/>
    </font>
    <font>
      <sz val="11"/>
      <name val="Carlito"/>
    </font>
    <font>
      <b/>
      <sz val="14"/>
      <color rgb="FFFFFFFF"/>
      <name val="Calibri"/>
    </font>
    <font>
      <sz val="11"/>
      <name val="Calibri"/>
    </font>
    <font>
      <b/>
      <sz val="11"/>
      <name val="Calibri"/>
    </font>
    <font>
      <sz val="11"/>
      <color rgb="FF000000"/>
      <name val="Calibri"/>
    </font>
    <font>
      <b/>
      <sz val="11"/>
      <color rgb="FF000000"/>
      <name val="Calibri"/>
    </font>
    <font>
      <sz val="11"/>
      <color rgb="FF1F4E79"/>
      <name val="Calibri"/>
    </font>
    <font>
      <b/>
      <sz val="12"/>
      <color rgb="FFFFFFFF"/>
      <name val="Calibri"/>
    </font>
    <font>
      <b/>
      <sz val="11"/>
      <color rgb="FF0000FF"/>
      <name val="Calibri"/>
    </font>
    <font>
      <sz val="11"/>
      <color theme="1"/>
      <name val="Carlito"/>
    </font>
    <font>
      <b/>
      <sz val="11"/>
      <color theme="1"/>
      <name val="Calibri"/>
    </font>
    <font>
      <b/>
      <sz val="11"/>
      <name val="Carlito"/>
    </font>
    <font>
      <b/>
      <sz val="13"/>
      <color rgb="FFFFFFFF"/>
      <name val="Calibri"/>
    </font>
    <font>
      <b/>
      <sz val="13"/>
      <color rgb="FFFFFFFF"/>
      <name val="Carlito"/>
    </font>
    <font>
      <i/>
      <sz val="11"/>
      <name val="Carlito"/>
    </font>
    <font>
      <sz val="11"/>
      <color rgb="FF0000FF"/>
      <name val="Calibri"/>
    </font>
    <font>
      <b/>
      <sz val="11"/>
      <color rgb="FFFFFFFF"/>
      <name val="Calibri"/>
    </font>
    <font>
      <i/>
      <sz val="11"/>
      <color rgb="FF595959"/>
      <name val="Calibri"/>
    </font>
    <font>
      <sz val="11"/>
      <color rgb="FF0000FF"/>
      <name val="Calibri"/>
      <family val="2"/>
    </font>
    <font>
      <sz val="11"/>
      <name val="Calibri"/>
      <family val="2"/>
    </font>
    <font>
      <b/>
      <sz val="11"/>
      <name val="Calibri"/>
      <family val="2"/>
    </font>
    <font>
      <b/>
      <sz val="14"/>
      <name val="Calibri"/>
      <family val="2"/>
    </font>
    <font>
      <b/>
      <sz val="11"/>
      <color rgb="FF0000FF"/>
      <name val="Calibri"/>
      <family val="2"/>
    </font>
    <font>
      <b/>
      <sz val="14"/>
      <color rgb="FFFFFFFF"/>
      <name val="Calibri"/>
      <scheme val="minor"/>
    </font>
    <font>
      <sz val="11"/>
      <color theme="1"/>
      <name val="Calibri"/>
      <scheme val="minor"/>
    </font>
    <font>
      <b/>
      <sz val="11"/>
      <color theme="1"/>
      <name val="Calibri"/>
      <scheme val="minor"/>
    </font>
    <font>
      <b/>
      <sz val="11"/>
      <color rgb="FF000000"/>
      <name val="Calibri"/>
      <scheme val="minor"/>
    </font>
    <font>
      <sz val="11"/>
      <color rgb="FF1F4E79"/>
      <name val="Calibri"/>
      <scheme val="minor"/>
    </font>
    <font>
      <sz val="11"/>
      <color rgb="FF000000"/>
      <name val="Calibri"/>
      <scheme val="minor"/>
    </font>
    <font>
      <sz val="11"/>
      <color rgb="FF808080"/>
      <name val="Calibri"/>
      <scheme val="minor"/>
    </font>
    <font>
      <sz val="11"/>
      <color rgb="FF0000FF"/>
      <name val="Calibri"/>
      <scheme val="minor"/>
    </font>
    <font>
      <b/>
      <sz val="12"/>
      <color rgb="FFFFFFFF"/>
      <name val="Calibri"/>
      <scheme val="minor"/>
    </font>
  </fonts>
  <fills count="7">
    <fill>
      <patternFill patternType="none"/>
    </fill>
    <fill>
      <patternFill patternType="gray125"/>
    </fill>
    <fill>
      <patternFill patternType="solid">
        <fgColor rgb="FF1F4E79"/>
        <bgColor indexed="64"/>
      </patternFill>
    </fill>
    <fill>
      <patternFill patternType="solid">
        <fgColor rgb="FFD9E1F2"/>
        <bgColor indexed="64"/>
      </patternFill>
    </fill>
    <fill>
      <patternFill patternType="solid">
        <fgColor rgb="FFFFF2CC"/>
        <bgColor indexed="64"/>
      </patternFill>
    </fill>
    <fill>
      <patternFill patternType="solid">
        <fgColor rgb="FFEDEDED"/>
        <bgColor indexed="64"/>
      </patternFill>
    </fill>
    <fill>
      <patternFill patternType="solid">
        <fgColor rgb="FFFFE699"/>
        <bgColor indexed="64"/>
      </patternFill>
    </fill>
  </fills>
  <borders count="18">
    <border>
      <left/>
      <right/>
      <top/>
      <bottom/>
      <diagonal/>
    </border>
    <border>
      <left/>
      <right/>
      <top/>
      <bottom/>
      <diagonal/>
    </border>
    <border>
      <left style="thin">
        <color rgb="FF8EA9DB"/>
      </left>
      <right style="thin">
        <color rgb="FF8EA9DB"/>
      </right>
      <top style="thin">
        <color rgb="FF8EA9DB"/>
      </top>
      <bottom style="thin">
        <color rgb="FF8EA9DB"/>
      </bottom>
      <diagonal/>
    </border>
    <border>
      <left/>
      <right/>
      <top/>
      <bottom style="thin">
        <color rgb="FF8EA9DB"/>
      </bottom>
      <diagonal/>
    </border>
    <border>
      <left style="thin">
        <color rgb="FF8EA9DB"/>
      </left>
      <right style="thin">
        <color rgb="FF8EA9DB"/>
      </right>
      <top style="thin">
        <color rgb="FF8EA9DB"/>
      </top>
      <bottom/>
      <diagonal/>
    </border>
    <border>
      <left style="thin">
        <color rgb="FF8EA9DB"/>
      </left>
      <right style="thin">
        <color rgb="FF8EA9DB"/>
      </right>
      <top/>
      <bottom style="thin">
        <color rgb="FF8EA9DB"/>
      </bottom>
      <diagonal/>
    </border>
    <border>
      <left/>
      <right/>
      <top style="thin">
        <color rgb="FF8EA9DB"/>
      </top>
      <bottom/>
      <diagonal/>
    </border>
    <border>
      <left style="thin">
        <color rgb="FF8EA9DB"/>
      </left>
      <right/>
      <top style="thin">
        <color rgb="FF8EA9DB"/>
      </top>
      <bottom/>
      <diagonal/>
    </border>
    <border>
      <left style="thin">
        <color rgb="FF8EA9DB"/>
      </left>
      <right/>
      <top/>
      <bottom/>
      <diagonal/>
    </border>
    <border>
      <left style="thin">
        <color rgb="FF8EA9DB"/>
      </left>
      <right/>
      <top/>
      <bottom style="thin">
        <color rgb="FF8EA9DB"/>
      </bottom>
      <diagonal/>
    </border>
    <border>
      <left/>
      <right style="thin">
        <color rgb="FF8EA9DB"/>
      </right>
      <top style="thin">
        <color rgb="FF8EA9DB"/>
      </top>
      <bottom/>
      <diagonal/>
    </border>
    <border>
      <left/>
      <right style="thin">
        <color rgb="FF8EA9DB"/>
      </right>
      <top/>
      <bottom/>
      <diagonal/>
    </border>
    <border>
      <left/>
      <right style="thin">
        <color rgb="FF8EA9DB"/>
      </right>
      <top/>
      <bottom style="thin">
        <color rgb="FF8EA9DB"/>
      </bottom>
      <diagonal/>
    </border>
    <border>
      <left style="thin">
        <color rgb="FF8EA9DB"/>
      </left>
      <right style="thin">
        <color rgb="FF8EA9DB"/>
      </right>
      <top style="medium">
        <color rgb="FF1F4E79"/>
      </top>
      <bottom style="thin">
        <color rgb="FF8EA9DB"/>
      </bottom>
      <diagonal/>
    </border>
    <border>
      <left style="thin">
        <color rgb="FF8EA9DB"/>
      </left>
      <right style="thin">
        <color rgb="FF8EA9DB"/>
      </right>
      <top style="thin">
        <color rgb="FF8EA9DB"/>
      </top>
      <bottom style="medium">
        <color rgb="FF1F4E79"/>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style="thin">
        <color rgb="FF8EA9DB"/>
      </top>
      <bottom style="thin">
        <color rgb="FF8EA9DB"/>
      </bottom>
      <diagonal/>
    </border>
  </borders>
  <cellStyleXfs count="5">
    <xf numFmtId="0" fontId="0" fillId="0" borderId="0"/>
    <xf numFmtId="0" fontId="3" fillId="0" borderId="1"/>
    <xf numFmtId="0" fontId="3" fillId="0" borderId="1"/>
    <xf numFmtId="0" fontId="2" fillId="0" borderId="1"/>
    <xf numFmtId="0" fontId="1" fillId="0" borderId="1"/>
  </cellStyleXfs>
  <cellXfs count="154">
    <xf numFmtId="0" fontId="0" fillId="0" borderId="0" xfId="0"/>
    <xf numFmtId="0" fontId="5" fillId="0" borderId="1" xfId="0" applyFont="1" applyBorder="1" applyAlignment="1">
      <alignment vertical="center" readingOrder="2"/>
    </xf>
    <xf numFmtId="0" fontId="0" fillId="0" borderId="1" xfId="0" applyBorder="1"/>
    <xf numFmtId="0" fontId="5" fillId="0" borderId="3" xfId="0" applyFont="1" applyBorder="1" applyAlignment="1">
      <alignment horizontal="right" vertical="center" readingOrder="2"/>
    </xf>
    <xf numFmtId="0" fontId="6" fillId="3" borderId="4" xfId="0" applyFont="1" applyFill="1" applyBorder="1" applyAlignment="1">
      <alignment horizontal="center" vertical="center" readingOrder="2"/>
    </xf>
    <xf numFmtId="0" fontId="5" fillId="0" borderId="2" xfId="0" applyFont="1" applyBorder="1" applyAlignment="1">
      <alignment horizontal="right" vertical="center" readingOrder="2"/>
    </xf>
    <xf numFmtId="0" fontId="7" fillId="5" borderId="2" xfId="0" applyFont="1" applyFill="1" applyBorder="1" applyAlignment="1">
      <alignment horizontal="center" vertical="center" readingOrder="2"/>
    </xf>
    <xf numFmtId="18" fontId="11" fillId="4" borderId="2" xfId="0" applyNumberFormat="1" applyFont="1" applyFill="1" applyBorder="1" applyAlignment="1">
      <alignment horizontal="center" vertical="center" readingOrder="2"/>
    </xf>
    <xf numFmtId="0" fontId="6" fillId="0" borderId="2" xfId="0" applyFont="1" applyBorder="1" applyAlignment="1">
      <alignment horizontal="center" vertical="center" wrapText="1" readingOrder="2"/>
    </xf>
    <xf numFmtId="0" fontId="5" fillId="0" borderId="2" xfId="0" applyFont="1" applyBorder="1" applyAlignment="1">
      <alignment horizontal="right" vertical="center" wrapText="1" readingOrder="2"/>
    </xf>
    <xf numFmtId="0" fontId="6" fillId="0" borderId="2" xfId="0" applyFont="1" applyBorder="1" applyAlignment="1">
      <alignment horizontal="right" vertical="center" wrapText="1" readingOrder="2"/>
    </xf>
    <xf numFmtId="0" fontId="4" fillId="2" borderId="0" xfId="0" applyFont="1" applyFill="1" applyAlignment="1">
      <alignment horizontal="right" vertical="center"/>
    </xf>
    <xf numFmtId="0" fontId="12" fillId="0" borderId="0" xfId="0" applyFont="1"/>
    <xf numFmtId="0" fontId="4" fillId="0" borderId="0" xfId="0" applyFont="1" applyAlignment="1">
      <alignment horizontal="right" vertical="center" readingOrder="2"/>
    </xf>
    <xf numFmtId="0" fontId="4" fillId="0" borderId="0" xfId="0" applyFont="1" applyAlignment="1">
      <alignment horizontal="right" vertical="center"/>
    </xf>
    <xf numFmtId="0" fontId="6" fillId="0" borderId="1" xfId="0" applyFont="1" applyBorder="1" applyAlignment="1">
      <alignment horizontal="center" vertical="center" wrapText="1" readingOrder="2"/>
    </xf>
    <xf numFmtId="0" fontId="6" fillId="0" borderId="1" xfId="0" applyFont="1" applyBorder="1" applyAlignment="1">
      <alignment horizontal="right" vertical="center" wrapText="1" readingOrder="2"/>
    </xf>
    <xf numFmtId="0" fontId="5" fillId="0" borderId="1" xfId="0" applyFont="1" applyBorder="1" applyAlignment="1">
      <alignment horizontal="right" vertical="center" wrapText="1" readingOrder="2"/>
    </xf>
    <xf numFmtId="0" fontId="5" fillId="0" borderId="0" xfId="0" applyFont="1" applyAlignment="1">
      <alignment horizontal="center" vertical="center"/>
    </xf>
    <xf numFmtId="0" fontId="6" fillId="3" borderId="2" xfId="0" applyFont="1" applyFill="1" applyBorder="1" applyAlignment="1">
      <alignment horizontal="center" vertical="center"/>
    </xf>
    <xf numFmtId="0" fontId="5" fillId="0" borderId="2" xfId="0" applyFont="1" applyBorder="1" applyAlignment="1">
      <alignment horizontal="center" vertical="center"/>
    </xf>
    <xf numFmtId="0" fontId="6" fillId="3" borderId="4" xfId="0" applyFont="1" applyFill="1" applyBorder="1" applyAlignment="1">
      <alignment horizontal="center" vertical="center"/>
    </xf>
    <xf numFmtId="0" fontId="5" fillId="0" borderId="5" xfId="0" applyFont="1" applyBorder="1" applyAlignment="1">
      <alignment horizontal="center" vertical="center"/>
    </xf>
    <xf numFmtId="0" fontId="5" fillId="0" borderId="13" xfId="0" applyFont="1" applyBorder="1" applyAlignment="1">
      <alignment horizontal="center" vertical="center"/>
    </xf>
    <xf numFmtId="0" fontId="5" fillId="0" borderId="4" xfId="0" applyFont="1" applyBorder="1" applyAlignment="1">
      <alignment horizontal="center" vertical="center"/>
    </xf>
    <xf numFmtId="0" fontId="6" fillId="0" borderId="2" xfId="0" applyFont="1" applyBorder="1" applyAlignment="1">
      <alignment horizontal="center" vertical="center"/>
    </xf>
    <xf numFmtId="0" fontId="13" fillId="3" borderId="2" xfId="0" applyFont="1" applyFill="1" applyBorder="1" applyAlignment="1">
      <alignment horizontal="center" vertical="center" wrapText="1" readingOrder="2"/>
    </xf>
    <xf numFmtId="0" fontId="13" fillId="3" borderId="2" xfId="0" applyFont="1" applyFill="1" applyBorder="1" applyAlignment="1">
      <alignment horizontal="center" vertical="center" wrapText="1"/>
    </xf>
    <xf numFmtId="0" fontId="8" fillId="5" borderId="2" xfId="0" applyFont="1" applyFill="1" applyBorder="1" applyAlignment="1">
      <alignment horizontal="center" vertical="center" wrapText="1" readingOrder="2"/>
    </xf>
    <xf numFmtId="0" fontId="7" fillId="0" borderId="2" xfId="0" applyFont="1" applyBorder="1" applyAlignment="1">
      <alignment horizontal="center" vertical="center" wrapText="1" readingOrder="2"/>
    </xf>
    <xf numFmtId="49" fontId="9" fillId="0" borderId="2" xfId="0" applyNumberFormat="1" applyFont="1" applyBorder="1" applyAlignment="1">
      <alignment horizontal="center" vertical="center" wrapText="1" readingOrder="2"/>
    </xf>
    <xf numFmtId="20" fontId="7" fillId="0" borderId="2" xfId="0" applyNumberFormat="1" applyFont="1" applyBorder="1" applyAlignment="1">
      <alignment horizontal="center" vertical="center" wrapText="1" readingOrder="2"/>
    </xf>
    <xf numFmtId="0" fontId="7" fillId="0" borderId="2" xfId="0" applyFont="1" applyBorder="1" applyAlignment="1">
      <alignment horizontal="center" vertical="center" wrapTex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9" fontId="7" fillId="0" borderId="11" xfId="0" applyNumberFormat="1" applyFont="1" applyBorder="1" applyAlignment="1">
      <alignment horizontal="center" vertical="center"/>
    </xf>
    <xf numFmtId="9" fontId="7" fillId="0" borderId="12" xfId="0" applyNumberFormat="1" applyFont="1" applyBorder="1" applyAlignment="1">
      <alignment horizontal="center" vertical="center"/>
    </xf>
    <xf numFmtId="0" fontId="8" fillId="3" borderId="8"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6" fillId="3" borderId="0" xfId="0" applyFont="1" applyFill="1" applyAlignment="1">
      <alignment horizontal="center" vertical="center"/>
    </xf>
    <xf numFmtId="0" fontId="5" fillId="0" borderId="14" xfId="0" applyFont="1" applyBorder="1" applyAlignment="1">
      <alignment horizontal="center" vertical="center"/>
    </xf>
    <xf numFmtId="0" fontId="7" fillId="0" borderId="2" xfId="0" applyFont="1" applyBorder="1" applyAlignment="1">
      <alignment horizontal="right" vertical="center" wrapText="1" readingOrder="2"/>
    </xf>
    <xf numFmtId="0" fontId="7" fillId="0" borderId="0" xfId="0" applyFont="1" applyAlignment="1">
      <alignment horizontal="center" vertical="center"/>
    </xf>
    <xf numFmtId="0" fontId="8" fillId="3" borderId="2" xfId="0" applyFont="1" applyFill="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8" fillId="3" borderId="4" xfId="0" applyFont="1" applyFill="1" applyBorder="1" applyAlignment="1">
      <alignment horizontal="center" vertical="center"/>
    </xf>
    <xf numFmtId="0" fontId="7" fillId="0" borderId="5"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3" fillId="0" borderId="1" xfId="1"/>
    <xf numFmtId="0" fontId="6" fillId="3" borderId="2" xfId="0" applyFont="1" applyFill="1" applyBorder="1" applyAlignment="1">
      <alignment horizontal="center" vertical="center" wrapText="1"/>
    </xf>
    <xf numFmtId="0" fontId="18" fillId="0" borderId="2" xfId="0" applyFont="1" applyBorder="1" applyAlignment="1">
      <alignment horizontal="center" vertical="center"/>
    </xf>
    <xf numFmtId="0" fontId="5" fillId="0" borderId="0" xfId="0" applyFont="1" applyAlignment="1">
      <alignment vertical="center"/>
    </xf>
    <xf numFmtId="0" fontId="6" fillId="0" borderId="0" xfId="0" applyFont="1" applyAlignment="1">
      <alignment horizontal="center" vertical="center" wrapText="1"/>
    </xf>
    <xf numFmtId="0" fontId="6" fillId="6" borderId="2" xfId="0" applyFont="1" applyFill="1" applyBorder="1" applyAlignment="1">
      <alignment horizontal="center" vertical="center" wrapText="1"/>
    </xf>
    <xf numFmtId="3" fontId="5" fillId="0" borderId="2" xfId="0" applyNumberFormat="1" applyFont="1" applyBorder="1" applyAlignment="1">
      <alignment horizontal="center" vertical="center"/>
    </xf>
    <xf numFmtId="0" fontId="6" fillId="4" borderId="2" xfId="0" applyFont="1" applyFill="1" applyBorder="1" applyAlignment="1">
      <alignment horizontal="center" vertical="center"/>
    </xf>
    <xf numFmtId="0" fontId="5" fillId="0" borderId="2" xfId="0" applyFont="1" applyBorder="1" applyAlignment="1">
      <alignment horizontal="center" vertical="center" wrapText="1"/>
    </xf>
    <xf numFmtId="3" fontId="6" fillId="3" borderId="2" xfId="0" applyNumberFormat="1" applyFont="1" applyFill="1" applyBorder="1" applyAlignment="1">
      <alignment horizontal="center" vertical="center"/>
    </xf>
    <xf numFmtId="0" fontId="6" fillId="0" borderId="2" xfId="0" applyFont="1" applyBorder="1" applyAlignment="1">
      <alignment horizontal="center" vertical="center" wrapText="1"/>
    </xf>
    <xf numFmtId="164" fontId="5" fillId="0" borderId="2" xfId="0" applyNumberFormat="1" applyFont="1" applyBorder="1" applyAlignment="1">
      <alignment horizontal="center" vertical="center" wrapText="1"/>
    </xf>
    <xf numFmtId="0" fontId="18" fillId="4" borderId="0" xfId="0" applyFont="1" applyFill="1" applyAlignment="1">
      <alignment horizontal="center" vertical="center" wrapText="1"/>
    </xf>
    <xf numFmtId="0" fontId="5" fillId="0" borderId="0" xfId="0" applyFont="1" applyAlignment="1">
      <alignment vertical="center" wrapText="1"/>
    </xf>
    <xf numFmtId="4" fontId="5" fillId="0" borderId="2" xfId="0" applyNumberFormat="1" applyFont="1" applyBorder="1" applyAlignment="1">
      <alignment horizontal="center" vertical="center"/>
    </xf>
    <xf numFmtId="4" fontId="6" fillId="3" borderId="2" xfId="0" applyNumberFormat="1" applyFont="1" applyFill="1" applyBorder="1" applyAlignment="1">
      <alignment horizontal="center" vertical="center"/>
    </xf>
    <xf numFmtId="0" fontId="6" fillId="0" borderId="0" xfId="0" applyFont="1" applyAlignment="1">
      <alignment vertical="center"/>
    </xf>
    <xf numFmtId="0" fontId="6" fillId="3" borderId="17" xfId="0" applyFont="1" applyFill="1" applyBorder="1" applyAlignment="1">
      <alignment horizontal="center" vertical="center" wrapText="1"/>
    </xf>
    <xf numFmtId="4" fontId="5" fillId="0" borderId="17" xfId="0" applyNumberFormat="1" applyFont="1" applyBorder="1" applyAlignment="1">
      <alignment horizontal="center" vertical="center"/>
    </xf>
    <xf numFmtId="4" fontId="6" fillId="3" borderId="17" xfId="0" applyNumberFormat="1" applyFont="1" applyFill="1" applyBorder="1" applyAlignment="1">
      <alignment horizontal="center" vertical="center"/>
    </xf>
    <xf numFmtId="4" fontId="6" fillId="0" borderId="2" xfId="0" applyNumberFormat="1" applyFont="1" applyBorder="1" applyAlignment="1">
      <alignment horizontal="center" vertical="center"/>
    </xf>
    <xf numFmtId="0" fontId="1" fillId="0" borderId="1" xfId="4"/>
    <xf numFmtId="0" fontId="21" fillId="5" borderId="2" xfId="0" applyFont="1" applyFill="1" applyBorder="1" applyAlignment="1">
      <alignment horizontal="center" vertical="center" readingOrder="2"/>
    </xf>
    <xf numFmtId="0" fontId="22" fillId="0" borderId="0" xfId="0" applyFont="1" applyAlignment="1">
      <alignment horizontal="center" vertical="center"/>
    </xf>
    <xf numFmtId="0" fontId="23" fillId="0" borderId="0" xfId="0" applyFont="1" applyAlignment="1">
      <alignment horizontal="center" vertical="center"/>
    </xf>
    <xf numFmtId="0" fontId="23" fillId="3" borderId="0" xfId="0" applyFont="1" applyFill="1" applyAlignment="1">
      <alignment horizontal="center" vertical="center"/>
    </xf>
    <xf numFmtId="1" fontId="23" fillId="0" borderId="0" xfId="0" applyNumberFormat="1" applyFont="1" applyAlignment="1">
      <alignment horizontal="center" vertical="center"/>
    </xf>
    <xf numFmtId="0" fontId="23" fillId="3" borderId="17"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22" fillId="0" borderId="2" xfId="0" applyFont="1" applyBorder="1" applyAlignment="1">
      <alignment horizontal="center" vertical="center"/>
    </xf>
    <xf numFmtId="1" fontId="22" fillId="0" borderId="2" xfId="0" applyNumberFormat="1" applyFont="1" applyBorder="1" applyAlignment="1">
      <alignment horizontal="center" vertical="center"/>
    </xf>
    <xf numFmtId="2" fontId="22" fillId="0" borderId="2" xfId="0" applyNumberFormat="1" applyFont="1" applyBorder="1" applyAlignment="1">
      <alignment horizontal="center" vertical="center"/>
    </xf>
    <xf numFmtId="0" fontId="23" fillId="3" borderId="2" xfId="0" applyFont="1" applyFill="1" applyBorder="1" applyAlignment="1">
      <alignment horizontal="center" vertical="center"/>
    </xf>
    <xf numFmtId="1" fontId="23" fillId="3" borderId="2" xfId="0" applyNumberFormat="1" applyFont="1" applyFill="1" applyBorder="1" applyAlignment="1">
      <alignment horizontal="center" vertical="center"/>
    </xf>
    <xf numFmtId="2" fontId="23" fillId="3" borderId="2" xfId="0" applyNumberFormat="1" applyFont="1" applyFill="1" applyBorder="1" applyAlignment="1">
      <alignment horizontal="center" vertical="center"/>
    </xf>
    <xf numFmtId="1" fontId="22" fillId="0" borderId="17" xfId="0" applyNumberFormat="1" applyFont="1" applyBorder="1" applyAlignment="1">
      <alignment horizontal="center" vertical="center"/>
    </xf>
    <xf numFmtId="165" fontId="23" fillId="3" borderId="2" xfId="0" applyNumberFormat="1" applyFont="1" applyFill="1" applyBorder="1" applyAlignment="1">
      <alignment horizontal="center" vertical="center"/>
    </xf>
    <xf numFmtId="0" fontId="22" fillId="0" borderId="4" xfId="0" applyFont="1" applyBorder="1" applyAlignment="1">
      <alignment horizontal="center" vertical="center"/>
    </xf>
    <xf numFmtId="1" fontId="22" fillId="0" borderId="4" xfId="0" applyNumberFormat="1" applyFont="1" applyBorder="1" applyAlignment="1">
      <alignment horizontal="center" vertical="center"/>
    </xf>
    <xf numFmtId="2" fontId="22" fillId="0" borderId="4" xfId="0" applyNumberFormat="1" applyFont="1" applyBorder="1" applyAlignment="1">
      <alignment horizontal="center" vertical="center"/>
    </xf>
    <xf numFmtId="1" fontId="22" fillId="0" borderId="7" xfId="0" applyNumberFormat="1" applyFont="1" applyBorder="1" applyAlignment="1">
      <alignment horizontal="center" vertical="center"/>
    </xf>
    <xf numFmtId="0" fontId="25" fillId="4" borderId="0" xfId="0" applyFont="1" applyFill="1" applyAlignment="1">
      <alignment horizontal="center" vertical="center"/>
    </xf>
    <xf numFmtId="0" fontId="23" fillId="0" borderId="2" xfId="0" applyFont="1" applyBorder="1" applyAlignment="1">
      <alignment horizontal="center" vertical="center"/>
    </xf>
    <xf numFmtId="166" fontId="22" fillId="0" borderId="2" xfId="0" applyNumberFormat="1" applyFont="1" applyBorder="1" applyAlignment="1">
      <alignment horizontal="center" vertical="center"/>
    </xf>
    <xf numFmtId="167" fontId="22" fillId="0" borderId="2" xfId="0" applyNumberFormat="1" applyFont="1" applyBorder="1" applyAlignment="1">
      <alignment horizontal="center" vertical="center"/>
    </xf>
    <xf numFmtId="166" fontId="23" fillId="3" borderId="2" xfId="0" applyNumberFormat="1" applyFont="1" applyFill="1" applyBorder="1" applyAlignment="1">
      <alignment horizontal="center" vertical="center"/>
    </xf>
    <xf numFmtId="167" fontId="23" fillId="3" borderId="2" xfId="0" applyNumberFormat="1" applyFont="1" applyFill="1" applyBorder="1" applyAlignment="1">
      <alignment horizontal="center" vertical="center"/>
    </xf>
    <xf numFmtId="0" fontId="22" fillId="0" borderId="2" xfId="0" applyFont="1" applyBorder="1" applyAlignment="1">
      <alignment horizontal="center" vertical="center" wrapText="1"/>
    </xf>
    <xf numFmtId="0" fontId="27" fillId="0" borderId="1" xfId="4" applyFont="1" applyAlignment="1">
      <alignment horizontal="center" vertical="center" readingOrder="2"/>
    </xf>
    <xf numFmtId="0" fontId="1" fillId="0" borderId="1" xfId="4" applyAlignment="1">
      <alignment horizontal="center" readingOrder="2"/>
    </xf>
    <xf numFmtId="0" fontId="28" fillId="3" borderId="2" xfId="4" applyFont="1" applyFill="1" applyBorder="1" applyAlignment="1">
      <alignment horizontal="center" vertical="center" wrapText="1" readingOrder="2"/>
    </xf>
    <xf numFmtId="0" fontId="28" fillId="3" borderId="8" xfId="4" applyFont="1" applyFill="1" applyBorder="1" applyAlignment="1">
      <alignment horizontal="center" vertical="center" wrapText="1" readingOrder="2"/>
    </xf>
    <xf numFmtId="0" fontId="30" fillId="0" borderId="2" xfId="4" applyFont="1" applyBorder="1" applyAlignment="1">
      <alignment horizontal="center" vertical="center" readingOrder="2"/>
    </xf>
    <xf numFmtId="0" fontId="31" fillId="0" borderId="2" xfId="4" applyFont="1" applyBorder="1" applyAlignment="1">
      <alignment horizontal="center" vertical="center" readingOrder="2"/>
    </xf>
    <xf numFmtId="0" fontId="32" fillId="0" borderId="1" xfId="4" applyFont="1" applyAlignment="1">
      <alignment horizontal="center" vertical="center" readingOrder="2"/>
    </xf>
    <xf numFmtId="0" fontId="27" fillId="0" borderId="2" xfId="4" applyFont="1" applyBorder="1" applyAlignment="1">
      <alignment horizontal="center" vertical="center" readingOrder="2"/>
    </xf>
    <xf numFmtId="0" fontId="28" fillId="0" borderId="2" xfId="4" applyFont="1" applyBorder="1" applyAlignment="1">
      <alignment horizontal="center" vertical="center" readingOrder="2"/>
    </xf>
    <xf numFmtId="0" fontId="33" fillId="0" borderId="2" xfId="4" applyFont="1" applyBorder="1" applyAlignment="1">
      <alignment horizontal="center" vertical="center" readingOrder="2"/>
    </xf>
    <xf numFmtId="0" fontId="28" fillId="3" borderId="2" xfId="4" applyFont="1" applyFill="1" applyBorder="1" applyAlignment="1">
      <alignment horizontal="center" vertical="center" readingOrder="2"/>
    </xf>
    <xf numFmtId="0" fontId="6" fillId="0" borderId="17"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16" fillId="2" borderId="1" xfId="0" applyFont="1" applyFill="1" applyBorder="1"/>
    <xf numFmtId="0" fontId="17" fillId="0" borderId="1" xfId="0" applyFont="1" applyBorder="1" applyAlignment="1">
      <alignment wrapText="1"/>
    </xf>
    <xf numFmtId="0" fontId="0" fillId="0" borderId="1" xfId="0" applyBorder="1"/>
    <xf numFmtId="0" fontId="15" fillId="2" borderId="0" xfId="0" applyFont="1" applyFill="1" applyAlignment="1">
      <alignment horizontal="center" vertical="center" wrapText="1"/>
    </xf>
    <xf numFmtId="0" fontId="15" fillId="2" borderId="0" xfId="0" applyFont="1" applyFill="1" applyAlignment="1">
      <alignment horizontal="center" vertical="center"/>
    </xf>
    <xf numFmtId="0" fontId="27" fillId="0" borderId="2" xfId="4" applyFont="1" applyBorder="1" applyAlignment="1">
      <alignment horizontal="center" vertical="center" readingOrder="2"/>
    </xf>
    <xf numFmtId="0" fontId="34" fillId="2" borderId="1" xfId="4" applyFont="1" applyFill="1" applyAlignment="1">
      <alignment horizontal="center" vertical="center" readingOrder="2"/>
    </xf>
    <xf numFmtId="0" fontId="28" fillId="3" borderId="2" xfId="4" applyFont="1" applyFill="1" applyBorder="1" applyAlignment="1">
      <alignment horizontal="center" vertical="center" readingOrder="2"/>
    </xf>
    <xf numFmtId="0" fontId="32" fillId="0" borderId="2" xfId="4" applyFont="1" applyBorder="1" applyAlignment="1">
      <alignment horizontal="center" vertical="center" readingOrder="2"/>
    </xf>
    <xf numFmtId="0" fontId="31" fillId="0" borderId="2" xfId="4" applyFont="1" applyBorder="1" applyAlignment="1">
      <alignment horizontal="center" vertical="center" readingOrder="2"/>
    </xf>
    <xf numFmtId="0" fontId="29" fillId="5" borderId="2" xfId="4" applyFont="1" applyFill="1" applyBorder="1" applyAlignment="1">
      <alignment horizontal="center" vertical="center" readingOrder="2"/>
    </xf>
    <xf numFmtId="0" fontId="29" fillId="0" borderId="2" xfId="4" applyFont="1" applyBorder="1" applyAlignment="1">
      <alignment horizontal="center" vertical="center" readingOrder="2"/>
    </xf>
    <xf numFmtId="0" fontId="26" fillId="2" borderId="1" xfId="4" applyFont="1" applyFill="1" applyAlignment="1">
      <alignment horizontal="center" vertical="center" readingOrder="2"/>
    </xf>
    <xf numFmtId="0" fontId="4" fillId="2" borderId="1" xfId="0" applyFont="1" applyFill="1" applyBorder="1" applyAlignment="1">
      <alignment horizontal="right" vertical="center" readingOrder="2"/>
    </xf>
    <xf numFmtId="0" fontId="4" fillId="2" borderId="0" xfId="0" applyFont="1" applyFill="1" applyAlignment="1">
      <alignment horizontal="right" vertical="center" readingOrder="2"/>
    </xf>
    <xf numFmtId="0" fontId="10" fillId="2" borderId="7" xfId="0" applyFont="1" applyFill="1" applyBorder="1" applyAlignment="1">
      <alignment horizontal="right" vertical="center"/>
    </xf>
    <xf numFmtId="0" fontId="10" fillId="2" borderId="6" xfId="0" applyFont="1" applyFill="1" applyBorder="1" applyAlignment="1">
      <alignment horizontal="right" vertical="center"/>
    </xf>
    <xf numFmtId="0" fontId="10" fillId="2" borderId="10" xfId="0" applyFont="1" applyFill="1" applyBorder="1" applyAlignment="1">
      <alignment horizontal="right" vertical="center"/>
    </xf>
    <xf numFmtId="0" fontId="15" fillId="2" borderId="1" xfId="0" applyFont="1" applyFill="1" applyBorder="1" applyAlignment="1">
      <alignment horizontal="center" vertical="center"/>
    </xf>
    <xf numFmtId="0" fontId="5" fillId="0" borderId="2" xfId="0" applyFont="1" applyBorder="1" applyAlignment="1">
      <alignment horizontal="center" vertical="center"/>
    </xf>
    <xf numFmtId="0" fontId="6" fillId="3" borderId="2" xfId="0" applyFont="1" applyFill="1" applyBorder="1" applyAlignment="1">
      <alignment horizontal="center" vertical="center"/>
    </xf>
    <xf numFmtId="0" fontId="10" fillId="2" borderId="1" xfId="0" applyFont="1" applyFill="1" applyBorder="1" applyAlignment="1">
      <alignment horizontal="center" vertical="center"/>
    </xf>
    <xf numFmtId="0" fontId="8" fillId="3" borderId="4" xfId="0" applyFont="1" applyFill="1" applyBorder="1" applyAlignment="1">
      <alignment horizontal="center" vertical="center"/>
    </xf>
    <xf numFmtId="0" fontId="6" fillId="3" borderId="1" xfId="0" applyFont="1" applyFill="1" applyBorder="1" applyAlignment="1">
      <alignment horizontal="center" vertical="center"/>
    </xf>
    <xf numFmtId="0" fontId="20" fillId="0" borderId="0" xfId="0" applyFont="1" applyAlignment="1">
      <alignment horizontal="center" vertical="center" wrapText="1"/>
    </xf>
    <xf numFmtId="0" fontId="19" fillId="2"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6" borderId="2" xfId="0" applyFont="1" applyFill="1" applyBorder="1" applyAlignment="1">
      <alignment horizontal="center" vertical="center" wrapText="1"/>
    </xf>
    <xf numFmtId="0" fontId="14" fillId="3" borderId="2" xfId="0" applyFont="1" applyFill="1" applyBorder="1" applyAlignment="1">
      <alignment horizontal="center" wrapText="1"/>
    </xf>
    <xf numFmtId="0" fontId="24" fillId="0" borderId="0" xfId="0" applyFont="1" applyAlignment="1">
      <alignment horizontal="center" vertical="center"/>
    </xf>
    <xf numFmtId="0" fontId="22" fillId="0" borderId="0" xfId="0" applyFont="1" applyAlignment="1">
      <alignment horizontal="center" vertical="center"/>
    </xf>
    <xf numFmtId="0" fontId="23" fillId="3" borderId="0" xfId="0" applyFont="1" applyFill="1" applyAlignment="1">
      <alignment horizontal="center" vertical="center"/>
    </xf>
    <xf numFmtId="0" fontId="23" fillId="3" borderId="1" xfId="0" applyFont="1" applyFill="1" applyBorder="1" applyAlignment="1">
      <alignment horizontal="center" vertical="center"/>
    </xf>
    <xf numFmtId="0" fontId="23" fillId="3" borderId="2" xfId="0" applyFont="1" applyFill="1" applyBorder="1" applyAlignment="1">
      <alignment horizontal="center" vertical="center"/>
    </xf>
    <xf numFmtId="0" fontId="23" fillId="0" borderId="0" xfId="0" applyFont="1" applyAlignment="1">
      <alignment horizontal="center" vertical="center"/>
    </xf>
    <xf numFmtId="0" fontId="6" fillId="3" borderId="17"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2" xfId="0" applyFont="1" applyFill="1" applyBorder="1" applyAlignment="1">
      <alignment horizontal="center" vertical="center"/>
    </xf>
  </cellXfs>
  <cellStyles count="5">
    <cellStyle name="Normal" xfId="0" builtinId="0"/>
    <cellStyle name="Normal 2" xfId="1" xr:uid="{B3EC81B0-A1B7-4040-B4C5-836931BF7552}"/>
    <cellStyle name="Normal 3" xfId="3" xr:uid="{552B20EA-CAAF-47C8-80DC-D250C6DDAD7A}"/>
    <cellStyle name="Normal 4" xfId="4" xr:uid="{EAF5E106-6BCA-458F-A292-13F09E97669E}"/>
    <cellStyle name="عادي 2" xfId="2" xr:uid="{D97B2111-34D1-45F2-89F0-25E11C8072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tyles" Target="style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creativeartistsagencygbr.sharepoint.com/sites/NFSIMPLEMENTATIONSAFF/Shared%20Documents/04%20Deliverables%20WIP/SAFF%202025%20Plan/Competitions%20restructure/Youth%20Competitions/Analysis/Club%20clustering/&#1578;&#1608;&#1586;&#1610;&#1593;%20&#1575;&#1604;&#1601;&#1585;&#1602;%20&#1593;&#1604;&#1609;%20&#1575;&#1604;&#1605;&#1580;&#1605;&#1608;&#1593;&#1575;&#1578;_2.xlsx" TargetMode="External"/><Relationship Id="rId2" Type="http://schemas.microsoft.com/office/2019/04/relationships/externalLinkLongPath" Target="/sites/NFSIMPLEMENTATIONSAFF/Shared%20Documents/04%20Deliverables%20WIP/SAFF%202025%20Plan/Competitions%20restructure/Youth%20Competitions/Analysis/Club%20clustering/&#1578;&#1608;&#1586;&#1610;&#1593;%20&#1575;&#1604;&#1601;&#1585;&#1602;%20&#1593;&#1604;&#1609;%20&#1575;&#1604;&#1605;&#1580;&#1605;&#1608;&#1593;&#1575;&#1578;_2.xlsx?005E5067" TargetMode="External"/><Relationship Id="rId1" Type="http://schemas.openxmlformats.org/officeDocument/2006/relationships/externalLinkPath" Target="file:///\\005E5067\&#1578;&#1608;&#1586;&#1610;&#1593;%20&#1575;&#1604;&#1601;&#1585;&#1602;%20&#1593;&#1604;&#1609;%20&#1575;&#1604;&#1605;&#1580;&#1605;&#1608;&#1593;&#1575;&#1578;_2.xlsx" TargetMode="External"/><Relationship Id="rId4" Type="http://schemas.openxmlformats.org/officeDocument/2006/relationships/externalLinkPath" Target="../Club%20clustering/&#1578;&#1608;&#1586;&#1610;&#1593;%20&#1575;&#1604;&#1601;&#1585;&#1602;%20&#1593;&#1604;&#1609;%20&#1575;&#1604;&#1605;&#1580;&#1605;&#1608;&#1593;&#1575;&#1578;_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reativeartistsagencygbr.sharepoint.com/sites/NFSIMPLEMENTATIONSAFF/Shared%20Documents/04%20Deliverables%20WIP/SAFF%202025%20Plan/Competitions%20restructure/Youth%20Competitions/Analysis/Schedule%20Analysis/&#1580;&#1583;&#1575;&#1608;&#1604;%20&#1578;&#1581;&#1578;%205.xlsx" TargetMode="External"/><Relationship Id="rId1" Type="http://schemas.openxmlformats.org/officeDocument/2006/relationships/externalLinkPath" Target="&#1580;&#1583;&#1575;&#1608;&#1604;%20&#1578;&#1581;&#1578;%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Sheet1"/>
      <sheetName val="عدد الملاعب_بناء على الجداول"/>
      <sheetName val="عدد الملاعب"/>
      <sheetName val="عدد المباريات"/>
      <sheetName val="عدد اللاعبين"/>
      <sheetName val="ملخص الفرق لكل مدينة"/>
      <sheetName val="ملخص المجموعات"/>
      <sheetName val="عدد الفرق لكل مدينة"/>
      <sheetName val="بيانات التسجيل"/>
      <sheetName val="المدخلات"/>
    </sheetNames>
    <sheetDataSet>
      <sheetData sheetId="0"/>
      <sheetData sheetId="1"/>
      <sheetData sheetId="2"/>
      <sheetData sheetId="3"/>
      <sheetData sheetId="4"/>
      <sheetData sheetId="5"/>
      <sheetData sheetId="6"/>
      <sheetData sheetId="7"/>
      <sheetData sheetId="8"/>
      <sheetData sheetId="9">
        <row r="3">
          <cell r="N3">
            <v>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أسماء المجموعات"/>
      <sheetName val="المدخلات"/>
      <sheetName val="المبادئ"/>
      <sheetName val="ملخص البطولات"/>
      <sheetName val="ملخص المجموعات"/>
      <sheetName val="5 فرق"/>
      <sheetName val="6 فرق"/>
      <sheetName val="7 فرق"/>
      <sheetName val="8 فرق"/>
      <sheetName val="9 فرق"/>
      <sheetName val="11 فريقًا"/>
      <sheetName val="12 فريقًا"/>
      <sheetName val="13 فريقًا"/>
      <sheetName val="15 فريقًا"/>
      <sheetName val="16 فريقًا"/>
      <sheetName val="17 فريقًا"/>
      <sheetName val="22 فريقًا"/>
      <sheetName val="الحكام"/>
      <sheetName val="حكام تحت 5 تفصيلي"/>
    </sheetNames>
    <sheetDataSet>
      <sheetData sheetId="0"/>
      <sheetData sheetId="1">
        <row r="4">
          <cell r="B4">
            <v>0.66666666666666663</v>
          </cell>
        </row>
        <row r="5">
          <cell r="B5">
            <v>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98B38D-C3BB-40B9-9F79-267FCA0D517C}">
  <we:reference id="WA200009404" version="1.0.0.8" store="Omex" storeType="OMEX"/>
  <we:alternateReferences>
    <we:reference id="WA200009404" version="1.0.0.8" store="WA200009404" storeType="OMEX"/>
  </we:alternateReferences>
  <we:properties>
    <we:property name="claude.fileId" value="&quot;de904d28-99ab-4b23-83af-d24150723da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4B6D-5AA1-48FA-A5E6-9E0C4204B3E6}">
  <dimension ref="A1:AZ200"/>
  <sheetViews>
    <sheetView showGridLines="0" rightToLeft="1" zoomScale="85" zoomScaleNormal="85" workbookViewId="0">
      <pane ySplit="3" topLeftCell="A50" activePane="bottomLeft" state="frozen"/>
      <selection pane="bottomLeft" activeCell="H71" sqref="H71"/>
    </sheetView>
  </sheetViews>
  <sheetFormatPr defaultRowHeight="14.5"/>
  <cols>
    <col min="1" max="1" width="10" style="102" customWidth="1"/>
    <col min="2" max="2" width="15.83203125" style="102" customWidth="1"/>
    <col min="3" max="8" width="13.33203125" style="102" customWidth="1"/>
    <col min="9" max="11" width="14.1640625" style="102" customWidth="1"/>
    <col min="12" max="12" width="10.6640625" style="102" customWidth="1"/>
    <col min="13" max="13" width="25" style="102" customWidth="1"/>
    <col min="14" max="14" width="10.6640625" style="102" customWidth="1"/>
    <col min="15" max="20" width="12.5" style="102" customWidth="1"/>
    <col min="21" max="52" width="10.6640625" style="102" customWidth="1"/>
    <col min="53" max="16384" width="8.6640625" style="102"/>
  </cols>
  <sheetData>
    <row r="1" spans="1:52" ht="26" customHeight="1">
      <c r="A1" s="127" t="s">
        <v>721</v>
      </c>
      <c r="B1" s="127"/>
      <c r="C1" s="127"/>
      <c r="D1" s="127"/>
      <c r="E1" s="127"/>
      <c r="F1" s="127"/>
      <c r="G1" s="127"/>
      <c r="H1" s="127"/>
      <c r="I1" s="127"/>
      <c r="J1" s="127"/>
      <c r="K1" s="127"/>
      <c r="L1" s="101"/>
      <c r="M1" s="101"/>
      <c r="N1" s="101"/>
      <c r="O1" s="101"/>
      <c r="P1" s="101"/>
      <c r="Q1" s="101"/>
      <c r="R1" s="101"/>
      <c r="S1" s="101"/>
      <c r="T1" s="101"/>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row>
    <row r="2" spans="1:52" ht="8" customHeight="1">
      <c r="A2" s="101"/>
      <c r="B2" s="101"/>
      <c r="C2" s="101"/>
      <c r="D2" s="101"/>
      <c r="E2" s="101"/>
      <c r="F2" s="101"/>
      <c r="G2" s="101"/>
      <c r="H2" s="101"/>
      <c r="I2" s="101"/>
      <c r="J2" s="101"/>
      <c r="K2" s="101"/>
      <c r="L2" s="101"/>
      <c r="M2" s="101"/>
      <c r="N2" s="101"/>
      <c r="O2" s="101"/>
      <c r="P2" s="101"/>
      <c r="Q2" s="101"/>
      <c r="R2" s="101"/>
      <c r="S2" s="101"/>
      <c r="T2" s="101"/>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row>
    <row r="3" spans="1:52" ht="32" customHeight="1">
      <c r="A3" s="103" t="s">
        <v>722</v>
      </c>
      <c r="B3" s="103" t="s">
        <v>7</v>
      </c>
      <c r="C3" s="103" t="s">
        <v>723</v>
      </c>
      <c r="D3" s="103" t="s">
        <v>724</v>
      </c>
      <c r="E3" s="103" t="s">
        <v>725</v>
      </c>
      <c r="F3" s="103" t="s">
        <v>726</v>
      </c>
      <c r="G3" s="103" t="s">
        <v>727</v>
      </c>
      <c r="H3" s="103" t="s">
        <v>728</v>
      </c>
      <c r="I3" s="103" t="s">
        <v>729</v>
      </c>
      <c r="J3" s="103" t="s">
        <v>730</v>
      </c>
      <c r="K3" s="103" t="s">
        <v>731</v>
      </c>
      <c r="L3" s="101"/>
      <c r="M3" s="104" t="s">
        <v>732</v>
      </c>
      <c r="N3" s="101"/>
      <c r="O3" s="103" t="s">
        <v>733</v>
      </c>
      <c r="P3" s="103" t="s">
        <v>734</v>
      </c>
      <c r="Q3" s="103" t="s">
        <v>735</v>
      </c>
      <c r="R3" s="103" t="s">
        <v>421</v>
      </c>
      <c r="S3" s="103" t="s">
        <v>422</v>
      </c>
      <c r="T3" s="103" t="s">
        <v>736</v>
      </c>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row>
    <row r="4" spans="1:52" ht="14.5" customHeight="1">
      <c r="A4" s="125" t="s">
        <v>737</v>
      </c>
      <c r="B4" s="105" t="str">
        <f>MOD(HOUR(([2]المدخلات!$B$4+0*[2]المدخلات!$B$5/1440))-1,12)+1&amp;":"&amp;TEXT(MINUTE(([2]المدخلات!$B$4+0*[2]المدخلات!$B$5/1440)),"00")&amp;"–"&amp;MOD(HOUR(([2]المدخلات!$B$4+0*[2]المدخلات!$B$5/1440+[2]المدخلات!$B$5/1440))-1,12)+1&amp;":"&amp;TEXT(MINUTE(([2]المدخلات!$B$4+0*[2]المدخلات!$B$5/1440+[2]المدخلات!$B$5/1440)),"00")&amp;IF(HOUR(([2]المدخلات!$B$4+0*[2]المدخلات!$B$5/1440))&lt;12," ص"," م")</f>
        <v>4:00–4:15 م</v>
      </c>
      <c r="C4" s="106" t="s">
        <v>18</v>
      </c>
      <c r="D4" s="106" t="s">
        <v>10</v>
      </c>
      <c r="E4" s="106" t="s">
        <v>22</v>
      </c>
      <c r="F4" s="106" t="s">
        <v>66</v>
      </c>
      <c r="G4" s="106" t="s">
        <v>56</v>
      </c>
      <c r="H4" s="106" t="s">
        <v>49</v>
      </c>
      <c r="I4" s="126">
        <f>COUNTIF(C4:H12,"* ضد *")</f>
        <v>24</v>
      </c>
      <c r="J4" s="124">
        <f>COUNTIF(C4:E12,"* ضد *")*2/6</f>
        <v>4</v>
      </c>
      <c r="K4" s="124">
        <f>COUNTIF(F4:H12,"* ضد *")*2/6</f>
        <v>4</v>
      </c>
      <c r="L4" s="101"/>
      <c r="M4" s="107" t="str">
        <f t="shared" ref="M4:M57" si="0">_xlfn.TEXTJOIN(" ",TRUE,C4:H4)</f>
        <v>1 ضد 6 2 ضد 5 3 ضد 4 7 ضد 12 8 ضد 11 9 ضد 10</v>
      </c>
      <c r="N4" s="101"/>
      <c r="O4" s="108">
        <v>1</v>
      </c>
      <c r="P4" s="108" cm="1">
        <f t="array" ref="P4">SUMPRODUCT(--ISNUMBER(SEARCH(" "&amp;$O4&amp;" "," "&amp;M$4:M$57&amp;" ")))</f>
        <v>25</v>
      </c>
      <c r="Q4" s="108" cm="1">
        <f t="array" ref="Q4">SUMPRODUCT(--ISNUMBER(SEARCH(" "&amp;$O4&amp;" "," "&amp;M$4:M$56&amp;" ")),--ISNUMBER(SEARCH(" "&amp;$O4&amp;" "," "&amp;M$5:M$57&amp;" ")),--(MOD(ROW(M$4:M$56)-4,$P$17)&lt;=$P$17-2))</f>
        <v>0</v>
      </c>
      <c r="R4" s="108" cm="1">
        <f t="array" ref="R4">SUMPRODUCT(--ISNUMBER(SEARCH(" "&amp;$O4&amp;" "," "&amp;M$4:M$55&amp;" ")),--ISNUMBER(SEARCH(" "&amp;$O4&amp;" "," "&amp;M$6:M$57&amp;" ")),--(MOD(ROW(M$4:M$55)-4,$P$17)&lt;=$P$17-3))</f>
        <v>19</v>
      </c>
      <c r="S4" s="108" cm="1">
        <f t="array" ref="S4">SUMPRODUCT(--ISNUMBER(SEARCH(" "&amp;$O4&amp;" "," "&amp;M$4:M$54&amp;" ")),--ISNUMBER(SEARCH(" "&amp;$O4&amp;" "," "&amp;M$7:M$57&amp;" ")),--(MOD(ROW(M$4:M$54)-4,$P$17)&lt;=$P$17-4))</f>
        <v>0</v>
      </c>
      <c r="T4" s="108">
        <f t="shared" ref="T4:T15" si="1">P4-COUNTIF($A$4:$A$57,"اليوم *")-Q4-R4-S4</f>
        <v>0</v>
      </c>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row>
    <row r="5" spans="1:52" ht="14.5" customHeight="1">
      <c r="A5" s="125"/>
      <c r="B5" s="105" t="str">
        <f>MOD(HOUR(([2]المدخلات!$B$4+1*[2]المدخلات!$B$5/1440))-1,12)+1&amp;":"&amp;TEXT(MINUTE(([2]المدخلات!$B$4+1*[2]المدخلات!$B$5/1440)),"00")&amp;"–"&amp;MOD(HOUR(([2]المدخلات!$B$4+1*[2]المدخلات!$B$5/1440+[2]المدخلات!$B$5/1440))-1,12)+1&amp;":"&amp;TEXT(MINUTE(([2]المدخلات!$B$4+1*[2]المدخلات!$B$5/1440+[2]المدخلات!$B$5/1440)),"00")&amp;IF(HOUR(([2]المدخلات!$B$4+1*[2]المدخلات!$B$5/1440))&lt;12," ص"," م")</f>
        <v>4:15–4:30 م</v>
      </c>
      <c r="C5" s="123" t="s">
        <v>738</v>
      </c>
      <c r="D5" s="124"/>
      <c r="E5" s="124"/>
      <c r="F5" s="123" t="s">
        <v>738</v>
      </c>
      <c r="G5" s="124"/>
      <c r="H5" s="124"/>
      <c r="I5" s="124"/>
      <c r="J5" s="124"/>
      <c r="K5" s="124"/>
      <c r="L5" s="101"/>
      <c r="M5" s="107" t="str">
        <f t="shared" si="0"/>
        <v>استراحة (لا توجد مباريات) استراحة (لا توجد مباريات)</v>
      </c>
      <c r="N5" s="101"/>
      <c r="O5" s="108">
        <v>2</v>
      </c>
      <c r="P5" s="108" cm="1">
        <f t="array" ref="P5">SUMPRODUCT(--ISNUMBER(SEARCH(" "&amp;$O5&amp;" "," "&amp;M$4:M$57&amp;" ")))</f>
        <v>25</v>
      </c>
      <c r="Q5" s="108" cm="1">
        <f t="array" ref="Q5">SUMPRODUCT(--ISNUMBER(SEARCH(" "&amp;$O5&amp;" "," "&amp;M$4:M$56&amp;" ")),--ISNUMBER(SEARCH(" "&amp;$O5&amp;" "," "&amp;M$5:M$57&amp;" ")),--(MOD(ROW(M$4:M$56)-4,$P$17)&lt;=$P$17-2))</f>
        <v>0</v>
      </c>
      <c r="R5" s="108" cm="1">
        <f t="array" ref="R5">SUMPRODUCT(--ISNUMBER(SEARCH(" "&amp;$O5&amp;" "," "&amp;M$4:M$55&amp;" ")),--ISNUMBER(SEARCH(" "&amp;$O5&amp;" "," "&amp;M$6:M$57&amp;" ")),--(MOD(ROW(M$4:M$55)-4,$P$17)&lt;=$P$17-3))</f>
        <v>19</v>
      </c>
      <c r="S5" s="108" cm="1">
        <f t="array" ref="S5">SUMPRODUCT(--ISNUMBER(SEARCH(" "&amp;$O5&amp;" "," "&amp;M$4:M$54&amp;" ")),--ISNUMBER(SEARCH(" "&amp;$O5&amp;" "," "&amp;M$7:M$57&amp;" ")),--(MOD(ROW(M$4:M$54)-4,$P$17)&lt;=$P$17-4))</f>
        <v>0</v>
      </c>
      <c r="T5" s="108">
        <f t="shared" si="1"/>
        <v>0</v>
      </c>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row>
    <row r="6" spans="1:52" ht="14.5" customHeight="1">
      <c r="A6" s="125"/>
      <c r="B6" s="105" t="str">
        <f>MOD(HOUR(([2]المدخلات!$B$4+2*[2]المدخلات!$B$5/1440))-1,12)+1&amp;":"&amp;TEXT(MINUTE(([2]المدخلات!$B$4+2*[2]المدخلات!$B$5/1440)),"00")&amp;"–"&amp;MOD(HOUR(([2]المدخلات!$B$4+2*[2]المدخلات!$B$5/1440+[2]المدخلات!$B$5/1440))-1,12)+1&amp;":"&amp;TEXT(MINUTE(([2]المدخلات!$B$4+2*[2]المدخلات!$B$5/1440+[2]المدخلات!$B$5/1440)),"00")&amp;IF(HOUR(([2]المدخلات!$B$4+2*[2]المدخلات!$B$5/1440))&lt;12," ص"," م")</f>
        <v>4:30–4:45 م</v>
      </c>
      <c r="C6" s="106" t="s">
        <v>20</v>
      </c>
      <c r="D6" s="106" t="s">
        <v>739</v>
      </c>
      <c r="E6" s="106" t="s">
        <v>23</v>
      </c>
      <c r="F6" s="106" t="s">
        <v>44</v>
      </c>
      <c r="G6" s="106" t="s">
        <v>740</v>
      </c>
      <c r="H6" s="106" t="s">
        <v>63</v>
      </c>
      <c r="I6" s="124"/>
      <c r="J6" s="124"/>
      <c r="K6" s="124"/>
      <c r="L6" s="101"/>
      <c r="M6" s="107" t="str">
        <f t="shared" si="0"/>
        <v>2 ضد 3 6 ضد 4 1 ضد 5 8 ضد 9 12 ضد 10 7 ضد 11</v>
      </c>
      <c r="N6" s="101"/>
      <c r="O6" s="108">
        <v>3</v>
      </c>
      <c r="P6" s="108" cm="1">
        <f t="array" ref="P6">SUMPRODUCT(--ISNUMBER(SEARCH(" "&amp;$O6&amp;" "," "&amp;M$4:M$57&amp;" ")))</f>
        <v>25</v>
      </c>
      <c r="Q6" s="108" cm="1">
        <f t="array" ref="Q6">SUMPRODUCT(--ISNUMBER(SEARCH(" "&amp;$O6&amp;" "," "&amp;M$4:M$56&amp;" ")),--ISNUMBER(SEARCH(" "&amp;$O6&amp;" "," "&amp;M$5:M$57&amp;" ")),--(MOD(ROW(M$4:M$56)-4,$P$17)&lt;=$P$17-2))</f>
        <v>0</v>
      </c>
      <c r="R6" s="108" cm="1">
        <f t="array" ref="R6">SUMPRODUCT(--ISNUMBER(SEARCH(" "&amp;$O6&amp;" "," "&amp;M$4:M$55&amp;" ")),--ISNUMBER(SEARCH(" "&amp;$O6&amp;" "," "&amp;M$6:M$57&amp;" ")),--(MOD(ROW(M$4:M$55)-4,$P$17)&lt;=$P$17-3))</f>
        <v>19</v>
      </c>
      <c r="S6" s="108" cm="1">
        <f t="array" ref="S6">SUMPRODUCT(--ISNUMBER(SEARCH(" "&amp;$O6&amp;" "," "&amp;M$4:M$54&amp;" ")),--ISNUMBER(SEARCH(" "&amp;$O6&amp;" "," "&amp;M$7:M$57&amp;" ")),--(MOD(ROW(M$4:M$54)-4,$P$17)&lt;=$P$17-4))</f>
        <v>0</v>
      </c>
      <c r="T6" s="108">
        <f t="shared" si="1"/>
        <v>0</v>
      </c>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row>
    <row r="7" spans="1:52" ht="14.5" customHeight="1">
      <c r="A7" s="125"/>
      <c r="B7" s="105" t="str">
        <f>MOD(HOUR(([2]المدخلات!$B$4+3*[2]المدخلات!$B$5/1440))-1,12)+1&amp;":"&amp;TEXT(MINUTE(([2]المدخلات!$B$4+3*[2]المدخلات!$B$5/1440)),"00")&amp;"–"&amp;MOD(HOUR(([2]المدخلات!$B$4+3*[2]المدخلات!$B$5/1440+[2]المدخلات!$B$5/1440))-1,12)+1&amp;":"&amp;TEXT(MINUTE(([2]المدخلات!$B$4+3*[2]المدخلات!$B$5/1440+[2]المدخلات!$B$5/1440)),"00")&amp;IF(HOUR(([2]المدخلات!$B$4+3*[2]المدخلات!$B$5/1440))&lt;12," ص"," م")</f>
        <v>4:45–5:00 م</v>
      </c>
      <c r="C7" s="123" t="s">
        <v>738</v>
      </c>
      <c r="D7" s="124"/>
      <c r="E7" s="124"/>
      <c r="F7" s="123" t="s">
        <v>738</v>
      </c>
      <c r="G7" s="124"/>
      <c r="H7" s="124"/>
      <c r="I7" s="124"/>
      <c r="J7" s="124"/>
      <c r="K7" s="124"/>
      <c r="L7" s="101"/>
      <c r="M7" s="107" t="str">
        <f t="shared" si="0"/>
        <v>استراحة (لا توجد مباريات) استراحة (لا توجد مباريات)</v>
      </c>
      <c r="N7" s="101"/>
      <c r="O7" s="108">
        <v>4</v>
      </c>
      <c r="P7" s="108" cm="1">
        <f t="array" ref="P7">SUMPRODUCT(--ISNUMBER(SEARCH(" "&amp;$O7&amp;" "," "&amp;M$4:M$57&amp;" ")))</f>
        <v>25</v>
      </c>
      <c r="Q7" s="108" cm="1">
        <f t="array" ref="Q7">SUMPRODUCT(--ISNUMBER(SEARCH(" "&amp;$O7&amp;" "," "&amp;M$4:M$56&amp;" ")),--ISNUMBER(SEARCH(" "&amp;$O7&amp;" "," "&amp;M$5:M$57&amp;" ")),--(MOD(ROW(M$4:M$56)-4,$P$17)&lt;=$P$17-2))</f>
        <v>0</v>
      </c>
      <c r="R7" s="108" cm="1">
        <f t="array" ref="R7">SUMPRODUCT(--ISNUMBER(SEARCH(" "&amp;$O7&amp;" "," "&amp;M$4:M$55&amp;" ")),--ISNUMBER(SEARCH(" "&amp;$O7&amp;" "," "&amp;M$6:M$57&amp;" ")),--(MOD(ROW(M$4:M$55)-4,$P$17)&lt;=$P$17-3))</f>
        <v>19</v>
      </c>
      <c r="S7" s="108" cm="1">
        <f t="array" ref="S7">SUMPRODUCT(--ISNUMBER(SEARCH(" "&amp;$O7&amp;" "," "&amp;M$4:M$54&amp;" ")),--ISNUMBER(SEARCH(" "&amp;$O7&amp;" "," "&amp;M$7:M$57&amp;" ")),--(MOD(ROW(M$4:M$54)-4,$P$17)&lt;=$P$17-4))</f>
        <v>0</v>
      </c>
      <c r="T7" s="108">
        <f t="shared" si="1"/>
        <v>0</v>
      </c>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row>
    <row r="8" spans="1:52" ht="14.5" customHeight="1">
      <c r="A8" s="125"/>
      <c r="B8" s="105" t="str">
        <f>MOD(HOUR(([2]المدخلات!$B$4+4*[2]المدخلات!$B$5/1440))-1,12)+1&amp;":"&amp;TEXT(MINUTE(([2]المدخلات!$B$4+4*[2]المدخلات!$B$5/1440)),"00")&amp;"–"&amp;MOD(HOUR(([2]المدخلات!$B$4+4*[2]المدخلات!$B$5/1440+[2]المدخلات!$B$5/1440))-1,12)+1&amp;":"&amp;TEXT(MINUTE(([2]المدخلات!$B$4+4*[2]المدخلات!$B$5/1440+[2]المدخلات!$B$5/1440)),"00")&amp;IF(HOUR(([2]المدخلات!$B$4+4*[2]المدخلات!$B$5/1440))&lt;12," ص"," م")</f>
        <v>5:00–5:15 م</v>
      </c>
      <c r="C8" s="106" t="s">
        <v>741</v>
      </c>
      <c r="D8" s="106" t="s">
        <v>21</v>
      </c>
      <c r="E8" s="106" t="s">
        <v>742</v>
      </c>
      <c r="F8" s="106" t="s">
        <v>743</v>
      </c>
      <c r="G8" s="106" t="s">
        <v>52</v>
      </c>
      <c r="H8" s="106" t="s">
        <v>744</v>
      </c>
      <c r="I8" s="124"/>
      <c r="J8" s="124"/>
      <c r="K8" s="124"/>
      <c r="L8" s="101"/>
      <c r="M8" s="107" t="str">
        <f t="shared" si="0"/>
        <v>5 ضد 3 1 ضد 4 6 ضد 2 11 ضد 9 7 ضد 10 12 ضد 8</v>
      </c>
      <c r="N8" s="101"/>
      <c r="O8" s="108">
        <v>5</v>
      </c>
      <c r="P8" s="108" cm="1">
        <f t="array" ref="P8">SUMPRODUCT(--ISNUMBER(SEARCH(" "&amp;$O8&amp;" "," "&amp;M$4:M$57&amp;" ")))</f>
        <v>25</v>
      </c>
      <c r="Q8" s="108" cm="1">
        <f t="array" ref="Q8">SUMPRODUCT(--ISNUMBER(SEARCH(" "&amp;$O8&amp;" "," "&amp;M$4:M$56&amp;" ")),--ISNUMBER(SEARCH(" "&amp;$O8&amp;" "," "&amp;M$5:M$57&amp;" ")),--(MOD(ROW(M$4:M$56)-4,$P$17)&lt;=$P$17-2))</f>
        <v>0</v>
      </c>
      <c r="R8" s="108" cm="1">
        <f t="array" ref="R8">SUMPRODUCT(--ISNUMBER(SEARCH(" "&amp;$O8&amp;" "," "&amp;M$4:M$55&amp;" ")),--ISNUMBER(SEARCH(" "&amp;$O8&amp;" "," "&amp;M$6:M$57&amp;" ")),--(MOD(ROW(M$4:M$55)-4,$P$17)&lt;=$P$17-3))</f>
        <v>19</v>
      </c>
      <c r="S8" s="108" cm="1">
        <f t="array" ref="S8">SUMPRODUCT(--ISNUMBER(SEARCH(" "&amp;$O8&amp;" "," "&amp;M$4:M$54&amp;" ")),--ISNUMBER(SEARCH(" "&amp;$O8&amp;" "," "&amp;M$7:M$57&amp;" ")),--(MOD(ROW(M$4:M$54)-4,$P$17)&lt;=$P$17-4))</f>
        <v>0</v>
      </c>
      <c r="T8" s="108">
        <f t="shared" si="1"/>
        <v>0</v>
      </c>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row>
    <row r="9" spans="1:52" ht="14.5" customHeight="1">
      <c r="A9" s="125"/>
      <c r="B9" s="105" t="str">
        <f>MOD(HOUR(([2]المدخلات!$B$4+5*[2]المدخلات!$B$5/1440))-1,12)+1&amp;":"&amp;TEXT(MINUTE(([2]المدخلات!$B$4+5*[2]المدخلات!$B$5/1440)),"00")&amp;"–"&amp;MOD(HOUR(([2]المدخلات!$B$4+5*[2]المدخلات!$B$5/1440+[2]المدخلات!$B$5/1440))-1,12)+1&amp;":"&amp;TEXT(MINUTE(([2]المدخلات!$B$4+5*[2]المدخلات!$B$5/1440+[2]المدخلات!$B$5/1440)),"00")&amp;IF(HOUR(([2]المدخلات!$B$4+5*[2]المدخلات!$B$5/1440))&lt;12," ص"," م")</f>
        <v>5:15–5:30 م</v>
      </c>
      <c r="C9" s="123" t="s">
        <v>738</v>
      </c>
      <c r="D9" s="124"/>
      <c r="E9" s="124"/>
      <c r="F9" s="123" t="s">
        <v>738</v>
      </c>
      <c r="G9" s="124"/>
      <c r="H9" s="124"/>
      <c r="I9" s="124"/>
      <c r="J9" s="124"/>
      <c r="K9" s="124"/>
      <c r="L9" s="101"/>
      <c r="M9" s="107" t="str">
        <f t="shared" si="0"/>
        <v>استراحة (لا توجد مباريات) استراحة (لا توجد مباريات)</v>
      </c>
      <c r="N9" s="101"/>
      <c r="O9" s="108">
        <v>6</v>
      </c>
      <c r="P9" s="108" cm="1">
        <f t="array" ref="P9">SUMPRODUCT(--ISNUMBER(SEARCH(" "&amp;$O9&amp;" "," "&amp;M$4:M$57&amp;" ")))</f>
        <v>25</v>
      </c>
      <c r="Q9" s="108" cm="1">
        <f t="array" ref="Q9">SUMPRODUCT(--ISNUMBER(SEARCH(" "&amp;$O9&amp;" "," "&amp;M$4:M$56&amp;" ")),--ISNUMBER(SEARCH(" "&amp;$O9&amp;" "," "&amp;M$5:M$57&amp;" ")),--(MOD(ROW(M$4:M$56)-4,$P$17)&lt;=$P$17-2))</f>
        <v>0</v>
      </c>
      <c r="R9" s="108" cm="1">
        <f t="array" ref="R9">SUMPRODUCT(--ISNUMBER(SEARCH(" "&amp;$O9&amp;" "," "&amp;M$4:M$55&amp;" ")),--ISNUMBER(SEARCH(" "&amp;$O9&amp;" "," "&amp;M$6:M$57&amp;" ")),--(MOD(ROW(M$4:M$55)-4,$P$17)&lt;=$P$17-3))</f>
        <v>19</v>
      </c>
      <c r="S9" s="108" cm="1">
        <f t="array" ref="S9">SUMPRODUCT(--ISNUMBER(SEARCH(" "&amp;$O9&amp;" "," "&amp;M$4:M$54&amp;" ")),--ISNUMBER(SEARCH(" "&amp;$O9&amp;" "," "&amp;M$7:M$57&amp;" ")),--(MOD(ROW(M$4:M$54)-4,$P$17)&lt;=$P$17-4))</f>
        <v>0</v>
      </c>
      <c r="T9" s="108">
        <f t="shared" si="1"/>
        <v>0</v>
      </c>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row>
    <row r="10" spans="1:52" ht="14.5" customHeight="1">
      <c r="A10" s="125"/>
      <c r="B10" s="105" t="str">
        <f>MOD(HOUR(([2]المدخلات!$B$4+6*[2]المدخلات!$B$5/1440))-1,12)+1&amp;":"&amp;TEXT(MINUTE(([2]المدخلات!$B$4+6*[2]المدخلات!$B$5/1440)),"00")&amp;"–"&amp;MOD(HOUR(([2]المدخلات!$B$4+6*[2]المدخلات!$B$5/1440+[2]المدخلات!$B$5/1440))-1,12)+1&amp;":"&amp;TEXT(MINUTE(([2]المدخلات!$B$4+6*[2]المدخلات!$B$5/1440+[2]المدخلات!$B$5/1440)),"00")&amp;IF(HOUR(([2]المدخلات!$B$4+6*[2]المدخلات!$B$5/1440))&lt;12," ص"," م")</f>
        <v>5:30–5:45 م</v>
      </c>
      <c r="C10" s="106" t="s">
        <v>745</v>
      </c>
      <c r="D10" s="106" t="s">
        <v>11</v>
      </c>
      <c r="E10" s="106" t="s">
        <v>19</v>
      </c>
      <c r="F10" s="106" t="s">
        <v>746</v>
      </c>
      <c r="G10" s="106" t="s">
        <v>45</v>
      </c>
      <c r="H10" s="106" t="s">
        <v>75</v>
      </c>
      <c r="I10" s="124"/>
      <c r="J10" s="124"/>
      <c r="K10" s="124"/>
      <c r="L10" s="101"/>
      <c r="M10" s="107" t="str">
        <f t="shared" si="0"/>
        <v>4 ضد 2 1 ضد 3 5 ضد 6 10 ضد 8 7 ضد 9 11 ضد 12</v>
      </c>
      <c r="N10" s="101"/>
      <c r="O10" s="108">
        <v>7</v>
      </c>
      <c r="P10" s="108" cm="1">
        <f t="array" ref="P10">SUMPRODUCT(--ISNUMBER(SEARCH(" "&amp;$O10&amp;" "," "&amp;M$4:M$57&amp;" ")))</f>
        <v>25</v>
      </c>
      <c r="Q10" s="108" cm="1">
        <f t="array" ref="Q10">SUMPRODUCT(--ISNUMBER(SEARCH(" "&amp;$O10&amp;" "," "&amp;M$4:M$56&amp;" ")),--ISNUMBER(SEARCH(" "&amp;$O10&amp;" "," "&amp;M$5:M$57&amp;" ")),--(MOD(ROW(M$4:M$56)-4,$P$17)&lt;=$P$17-2))</f>
        <v>0</v>
      </c>
      <c r="R10" s="108" cm="1">
        <f t="array" ref="R10">SUMPRODUCT(--ISNUMBER(SEARCH(" "&amp;$O10&amp;" "," "&amp;M$4:M$55&amp;" ")),--ISNUMBER(SEARCH(" "&amp;$O10&amp;" "," "&amp;M$6:M$57&amp;" ")),--(MOD(ROW(M$4:M$55)-4,$P$17)&lt;=$P$17-3))</f>
        <v>19</v>
      </c>
      <c r="S10" s="108" cm="1">
        <f t="array" ref="S10">SUMPRODUCT(--ISNUMBER(SEARCH(" "&amp;$O10&amp;" "," "&amp;M$4:M$54&amp;" ")),--ISNUMBER(SEARCH(" "&amp;$O10&amp;" "," "&amp;M$7:M$57&amp;" ")),--(MOD(ROW(M$4:M$54)-4,$P$17)&lt;=$P$17-4))</f>
        <v>0</v>
      </c>
      <c r="T10" s="108">
        <f t="shared" si="1"/>
        <v>0</v>
      </c>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row>
    <row r="11" spans="1:52" ht="14.5" customHeight="1">
      <c r="A11" s="125"/>
      <c r="B11" s="105" t="str">
        <f>MOD(HOUR(([2]المدخلات!$B$4+7*[2]المدخلات!$B$5/1440))-1,12)+1&amp;":"&amp;TEXT(MINUTE(([2]المدخلات!$B$4+7*[2]المدخلات!$B$5/1440)),"00")&amp;"–"&amp;MOD(HOUR(([2]المدخلات!$B$4+7*[2]المدخلات!$B$5/1440+[2]المدخلات!$B$5/1440))-1,12)+1&amp;":"&amp;TEXT(MINUTE(([2]المدخلات!$B$4+7*[2]المدخلات!$B$5/1440+[2]المدخلات!$B$5/1440)),"00")&amp;IF(HOUR(([2]المدخلات!$B$4+7*[2]المدخلات!$B$5/1440))&lt;12," ص"," م")</f>
        <v>5:45–6:00 م</v>
      </c>
      <c r="C11" s="106"/>
      <c r="D11" s="106"/>
      <c r="E11" s="106"/>
      <c r="F11" s="106"/>
      <c r="G11" s="106"/>
      <c r="H11" s="106"/>
      <c r="I11" s="124"/>
      <c r="J11" s="124"/>
      <c r="K11" s="124"/>
      <c r="L11" s="101"/>
      <c r="M11" s="107" t="str">
        <f t="shared" si="0"/>
        <v/>
      </c>
      <c r="N11" s="101"/>
      <c r="O11" s="108">
        <v>8</v>
      </c>
      <c r="P11" s="108" cm="1">
        <f t="array" ref="P11">SUMPRODUCT(--ISNUMBER(SEARCH(" "&amp;$O11&amp;" "," "&amp;M$4:M$57&amp;" ")))</f>
        <v>25</v>
      </c>
      <c r="Q11" s="108" cm="1">
        <f t="array" ref="Q11">SUMPRODUCT(--ISNUMBER(SEARCH(" "&amp;$O11&amp;" "," "&amp;M$4:M$56&amp;" ")),--ISNUMBER(SEARCH(" "&amp;$O11&amp;" "," "&amp;M$5:M$57&amp;" ")),--(MOD(ROW(M$4:M$56)-4,$P$17)&lt;=$P$17-2))</f>
        <v>0</v>
      </c>
      <c r="R11" s="108" cm="1">
        <f t="array" ref="R11">SUMPRODUCT(--ISNUMBER(SEARCH(" "&amp;$O11&amp;" "," "&amp;M$4:M$55&amp;" ")),--ISNUMBER(SEARCH(" "&amp;$O11&amp;" "," "&amp;M$6:M$57&amp;" ")),--(MOD(ROW(M$4:M$55)-4,$P$17)&lt;=$P$17-3))</f>
        <v>19</v>
      </c>
      <c r="S11" s="108" cm="1">
        <f t="array" ref="S11">SUMPRODUCT(--ISNUMBER(SEARCH(" "&amp;$O11&amp;" "," "&amp;M$4:M$54&amp;" ")),--ISNUMBER(SEARCH(" "&amp;$O11&amp;" "," "&amp;M$7:M$57&amp;" ")),--(MOD(ROW(M$4:M$54)-4,$P$17)&lt;=$P$17-4))</f>
        <v>0</v>
      </c>
      <c r="T11" s="108">
        <f t="shared" si="1"/>
        <v>0</v>
      </c>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row>
    <row r="12" spans="1:52" ht="14.5" customHeight="1">
      <c r="A12" s="125"/>
      <c r="B12" s="105" t="str">
        <f>MOD(HOUR(([2]المدخلات!$B$4+8*[2]المدخلات!$B$5/1440))-1,12)+1&amp;":"&amp;TEXT(MINUTE(([2]المدخلات!$B$4+8*[2]المدخلات!$B$5/1440)),"00")&amp;"–"&amp;MOD(HOUR(([2]المدخلات!$B$4+8*[2]المدخلات!$B$5/1440+[2]المدخلات!$B$5/1440))-1,12)+1&amp;":"&amp;TEXT(MINUTE(([2]المدخلات!$B$4+8*[2]المدخلات!$B$5/1440+[2]المدخلات!$B$5/1440)),"00")&amp;IF(HOUR(([2]المدخلات!$B$4+8*[2]المدخلات!$B$5/1440))&lt;12," ص"," م")</f>
        <v>6:00–6:15 م</v>
      </c>
      <c r="C12" s="106"/>
      <c r="D12" s="106"/>
      <c r="E12" s="106"/>
      <c r="F12" s="106"/>
      <c r="G12" s="106"/>
      <c r="H12" s="106"/>
      <c r="I12" s="124"/>
      <c r="J12" s="124"/>
      <c r="K12" s="124"/>
      <c r="L12" s="101"/>
      <c r="M12" s="107" t="str">
        <f t="shared" si="0"/>
        <v/>
      </c>
      <c r="N12" s="101"/>
      <c r="O12" s="108">
        <v>9</v>
      </c>
      <c r="P12" s="108" cm="1">
        <f t="array" ref="P12">SUMPRODUCT(--ISNUMBER(SEARCH(" "&amp;$O12&amp;" "," "&amp;M$4:M$57&amp;" ")))</f>
        <v>25</v>
      </c>
      <c r="Q12" s="108" cm="1">
        <f t="array" ref="Q12">SUMPRODUCT(--ISNUMBER(SEARCH(" "&amp;$O12&amp;" "," "&amp;M$4:M$56&amp;" ")),--ISNUMBER(SEARCH(" "&amp;$O12&amp;" "," "&amp;M$5:M$57&amp;" ")),--(MOD(ROW(M$4:M$56)-4,$P$17)&lt;=$P$17-2))</f>
        <v>0</v>
      </c>
      <c r="R12" s="108" cm="1">
        <f t="array" ref="R12">SUMPRODUCT(--ISNUMBER(SEARCH(" "&amp;$O12&amp;" "," "&amp;M$4:M$55&amp;" ")),--ISNUMBER(SEARCH(" "&amp;$O12&amp;" "," "&amp;M$6:M$57&amp;" ")),--(MOD(ROW(M$4:M$55)-4,$P$17)&lt;=$P$17-3))</f>
        <v>19</v>
      </c>
      <c r="S12" s="108" cm="1">
        <f t="array" ref="S12">SUMPRODUCT(--ISNUMBER(SEARCH(" "&amp;$O12&amp;" "," "&amp;M$4:M$54&amp;" ")),--ISNUMBER(SEARCH(" "&amp;$O12&amp;" "," "&amp;M$7:M$57&amp;" ")),--(MOD(ROW(M$4:M$54)-4,$P$17)&lt;=$P$17-4))</f>
        <v>0</v>
      </c>
      <c r="T12" s="108">
        <f t="shared" si="1"/>
        <v>0</v>
      </c>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row>
    <row r="13" spans="1:52" ht="14.5" customHeight="1">
      <c r="A13" s="125" t="s">
        <v>747</v>
      </c>
      <c r="B13" s="105" t="str">
        <f>MOD(HOUR(([2]المدخلات!$B$4+0*[2]المدخلات!$B$5/1440))-1,12)+1&amp;":"&amp;TEXT(MINUTE(([2]المدخلات!$B$4+0*[2]المدخلات!$B$5/1440)),"00")&amp;"–"&amp;MOD(HOUR(([2]المدخلات!$B$4+0*[2]المدخلات!$B$5/1440+[2]المدخلات!$B$5/1440))-1,12)+1&amp;":"&amp;TEXT(MINUTE(([2]المدخلات!$B$4+0*[2]المدخلات!$B$5/1440+[2]المدخلات!$B$5/1440)),"00")&amp;IF(HOUR(([2]المدخلات!$B$4+0*[2]المدخلات!$B$5/1440))&lt;12," ص"," م")</f>
        <v>4:00–4:15 م</v>
      </c>
      <c r="C13" s="106" t="s">
        <v>13</v>
      </c>
      <c r="D13" s="106" t="s">
        <v>15</v>
      </c>
      <c r="E13" s="106" t="s">
        <v>14</v>
      </c>
      <c r="F13" s="106" t="s">
        <v>59</v>
      </c>
      <c r="G13" s="106" t="s">
        <v>70</v>
      </c>
      <c r="H13" s="106" t="s">
        <v>33</v>
      </c>
      <c r="I13" s="126">
        <f>COUNTIF(C13:H21,"* ضد *")</f>
        <v>24</v>
      </c>
      <c r="J13" s="124">
        <f>COUNTIF(C13:E21,"* ضد *")*2/6</f>
        <v>4</v>
      </c>
      <c r="K13" s="124">
        <f>COUNTIF(F13:H21,"* ضد *")*2/6</f>
        <v>4</v>
      </c>
      <c r="L13" s="101"/>
      <c r="M13" s="107" t="str">
        <f t="shared" si="0"/>
        <v>4 ضد 5 3 ضد 6 1 ضد 2 10 ضد 11 9 ضد 12 7 ضد 8</v>
      </c>
      <c r="N13" s="101"/>
      <c r="O13" s="108">
        <v>10</v>
      </c>
      <c r="P13" s="108" cm="1">
        <f t="array" ref="P13">SUMPRODUCT(--ISNUMBER(SEARCH(" "&amp;$O13&amp;" "," "&amp;M$4:M$57&amp;" ")))</f>
        <v>25</v>
      </c>
      <c r="Q13" s="108" cm="1">
        <f t="array" ref="Q13">SUMPRODUCT(--ISNUMBER(SEARCH(" "&amp;$O13&amp;" "," "&amp;M$4:M$56&amp;" ")),--ISNUMBER(SEARCH(" "&amp;$O13&amp;" "," "&amp;M$5:M$57&amp;" ")),--(MOD(ROW(M$4:M$56)-4,$P$17)&lt;=$P$17-2))</f>
        <v>0</v>
      </c>
      <c r="R13" s="108" cm="1">
        <f t="array" ref="R13">SUMPRODUCT(--ISNUMBER(SEARCH(" "&amp;$O13&amp;" "," "&amp;M$4:M$55&amp;" ")),--ISNUMBER(SEARCH(" "&amp;$O13&amp;" "," "&amp;M$6:M$57&amp;" ")),--(MOD(ROW(M$4:M$55)-4,$P$17)&lt;=$P$17-3))</f>
        <v>19</v>
      </c>
      <c r="S13" s="108" cm="1">
        <f t="array" ref="S13">SUMPRODUCT(--ISNUMBER(SEARCH(" "&amp;$O13&amp;" "," "&amp;M$4:M$54&amp;" ")),--ISNUMBER(SEARCH(" "&amp;$O13&amp;" "," "&amp;M$7:M$57&amp;" ")),--(MOD(ROW(M$4:M$54)-4,$P$17)&lt;=$P$17-4))</f>
        <v>0</v>
      </c>
      <c r="T13" s="108">
        <f t="shared" si="1"/>
        <v>0</v>
      </c>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row>
    <row r="14" spans="1:52" ht="14.5" customHeight="1">
      <c r="A14" s="125"/>
      <c r="B14" s="105" t="str">
        <f>MOD(HOUR(([2]المدخلات!$B$4+1*[2]المدخلات!$B$5/1440))-1,12)+1&amp;":"&amp;TEXT(MINUTE(([2]المدخلات!$B$4+1*[2]المدخلات!$B$5/1440)),"00")&amp;"–"&amp;MOD(HOUR(([2]المدخلات!$B$4+1*[2]المدخلات!$B$5/1440+[2]المدخلات!$B$5/1440))-1,12)+1&amp;":"&amp;TEXT(MINUTE(([2]المدخلات!$B$4+1*[2]المدخلات!$B$5/1440+[2]المدخلات!$B$5/1440)),"00")&amp;IF(HOUR(([2]المدخلات!$B$4+1*[2]المدخلات!$B$5/1440))&lt;12," ص"," م")</f>
        <v>4:15–4:30 م</v>
      </c>
      <c r="C14" s="123" t="s">
        <v>738</v>
      </c>
      <c r="D14" s="124"/>
      <c r="E14" s="124"/>
      <c r="F14" s="123" t="s">
        <v>738</v>
      </c>
      <c r="G14" s="124"/>
      <c r="H14" s="124"/>
      <c r="I14" s="124"/>
      <c r="J14" s="124"/>
      <c r="K14" s="124"/>
      <c r="L14" s="101"/>
      <c r="M14" s="107" t="str">
        <f t="shared" si="0"/>
        <v>استراحة (لا توجد مباريات) استراحة (لا توجد مباريات)</v>
      </c>
      <c r="N14" s="101"/>
      <c r="O14" s="108">
        <v>11</v>
      </c>
      <c r="P14" s="108" cm="1">
        <f t="array" ref="P14">SUMPRODUCT(--ISNUMBER(SEARCH(" "&amp;$O14&amp;" "," "&amp;M$4:M$57&amp;" ")))</f>
        <v>25</v>
      </c>
      <c r="Q14" s="108" cm="1">
        <f t="array" ref="Q14">SUMPRODUCT(--ISNUMBER(SEARCH(" "&amp;$O14&amp;" "," "&amp;M$4:M$56&amp;" ")),--ISNUMBER(SEARCH(" "&amp;$O14&amp;" "," "&amp;M$5:M$57&amp;" ")),--(MOD(ROW(M$4:M$56)-4,$P$17)&lt;=$P$17-2))</f>
        <v>0</v>
      </c>
      <c r="R14" s="108" cm="1">
        <f t="array" ref="R14">SUMPRODUCT(--ISNUMBER(SEARCH(" "&amp;$O14&amp;" "," "&amp;M$4:M$55&amp;" ")),--ISNUMBER(SEARCH(" "&amp;$O14&amp;" "," "&amp;M$6:M$57&amp;" ")),--(MOD(ROW(M$4:M$55)-4,$P$17)&lt;=$P$17-3))</f>
        <v>19</v>
      </c>
      <c r="S14" s="108" cm="1">
        <f t="array" ref="S14">SUMPRODUCT(--ISNUMBER(SEARCH(" "&amp;$O14&amp;" "," "&amp;M$4:M$54&amp;" ")),--ISNUMBER(SEARCH(" "&amp;$O14&amp;" "," "&amp;M$7:M$57&amp;" ")),--(MOD(ROW(M$4:M$54)-4,$P$17)&lt;=$P$17-4))</f>
        <v>0</v>
      </c>
      <c r="T14" s="108">
        <f t="shared" si="1"/>
        <v>0</v>
      </c>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row>
    <row r="15" spans="1:52" ht="14.5" customHeight="1">
      <c r="A15" s="125"/>
      <c r="B15" s="105" t="str">
        <f>MOD(HOUR(([2]المدخلات!$B$4+2*[2]المدخلات!$B$5/1440))-1,12)+1&amp;":"&amp;TEXT(MINUTE(([2]المدخلات!$B$4+2*[2]المدخلات!$B$5/1440)),"00")&amp;"–"&amp;MOD(HOUR(([2]المدخلات!$B$4+2*[2]المدخلات!$B$5/1440+[2]المدخلات!$B$5/1440))-1,12)+1&amp;":"&amp;TEXT(MINUTE(([2]المدخلات!$B$4+2*[2]المدخلات!$B$5/1440+[2]المدخلات!$B$5/1440)),"00")&amp;IF(HOUR(([2]المدخلات!$B$4+2*[2]المدخلات!$B$5/1440))&lt;12," ص"," م")</f>
        <v>4:30–4:45 م</v>
      </c>
      <c r="C15" s="106" t="s">
        <v>18</v>
      </c>
      <c r="D15" s="106" t="s">
        <v>10</v>
      </c>
      <c r="E15" s="106" t="s">
        <v>22</v>
      </c>
      <c r="F15" s="106" t="s">
        <v>66</v>
      </c>
      <c r="G15" s="106" t="s">
        <v>56</v>
      </c>
      <c r="H15" s="106" t="s">
        <v>49</v>
      </c>
      <c r="I15" s="124"/>
      <c r="J15" s="124"/>
      <c r="K15" s="124"/>
      <c r="L15" s="101"/>
      <c r="M15" s="107" t="str">
        <f t="shared" si="0"/>
        <v>1 ضد 6 2 ضد 5 3 ضد 4 7 ضد 12 8 ضد 11 9 ضد 10</v>
      </c>
      <c r="N15" s="101"/>
      <c r="O15" s="108">
        <v>12</v>
      </c>
      <c r="P15" s="108" cm="1">
        <f t="array" ref="P15">SUMPRODUCT(--ISNUMBER(SEARCH(" "&amp;$O15&amp;" "," "&amp;M$4:M$57&amp;" ")))</f>
        <v>25</v>
      </c>
      <c r="Q15" s="108" cm="1">
        <f t="array" ref="Q15">SUMPRODUCT(--ISNUMBER(SEARCH(" "&amp;$O15&amp;" "," "&amp;M$4:M$56&amp;" ")),--ISNUMBER(SEARCH(" "&amp;$O15&amp;" "," "&amp;M$5:M$57&amp;" ")),--(MOD(ROW(M$4:M$56)-4,$P$17)&lt;=$P$17-2))</f>
        <v>0</v>
      </c>
      <c r="R15" s="108" cm="1">
        <f t="array" ref="R15">SUMPRODUCT(--ISNUMBER(SEARCH(" "&amp;$O15&amp;" "," "&amp;M$4:M$55&amp;" ")),--ISNUMBER(SEARCH(" "&amp;$O15&amp;" "," "&amp;M$6:M$57&amp;" ")),--(MOD(ROW(M$4:M$55)-4,$P$17)&lt;=$P$17-3))</f>
        <v>19</v>
      </c>
      <c r="S15" s="108" cm="1">
        <f t="array" ref="S15">SUMPRODUCT(--ISNUMBER(SEARCH(" "&amp;$O15&amp;" "," "&amp;M$4:M$54&amp;" ")),--ISNUMBER(SEARCH(" "&amp;$O15&amp;" "," "&amp;M$7:M$57&amp;" ")),--(MOD(ROW(M$4:M$54)-4,$P$17)&lt;=$P$17-4))</f>
        <v>0</v>
      </c>
      <c r="T15" s="108">
        <f t="shared" si="1"/>
        <v>0</v>
      </c>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row>
    <row r="16" spans="1:52" ht="14.5" customHeight="1">
      <c r="A16" s="125"/>
      <c r="B16" s="105" t="str">
        <f>MOD(HOUR(([2]المدخلات!$B$4+3*[2]المدخلات!$B$5/1440))-1,12)+1&amp;":"&amp;TEXT(MINUTE(([2]المدخلات!$B$4+3*[2]المدخلات!$B$5/1440)),"00")&amp;"–"&amp;MOD(HOUR(([2]المدخلات!$B$4+3*[2]المدخلات!$B$5/1440+[2]المدخلات!$B$5/1440))-1,12)+1&amp;":"&amp;TEXT(MINUTE(([2]المدخلات!$B$4+3*[2]المدخلات!$B$5/1440+[2]المدخلات!$B$5/1440)),"00")&amp;IF(HOUR(([2]المدخلات!$B$4+3*[2]المدخلات!$B$5/1440))&lt;12," ص"," م")</f>
        <v>4:45–5:00 م</v>
      </c>
      <c r="C16" s="123" t="s">
        <v>738</v>
      </c>
      <c r="D16" s="124"/>
      <c r="E16" s="124"/>
      <c r="F16" s="123" t="s">
        <v>738</v>
      </c>
      <c r="G16" s="124"/>
      <c r="H16" s="124"/>
      <c r="I16" s="124"/>
      <c r="J16" s="124"/>
      <c r="K16" s="124"/>
      <c r="L16" s="101"/>
      <c r="M16" s="107" t="str">
        <f t="shared" si="0"/>
        <v>استراحة (لا توجد مباريات) استراحة (لا توجد مباريات)</v>
      </c>
      <c r="N16" s="101"/>
      <c r="O16" s="109" t="s">
        <v>644</v>
      </c>
      <c r="P16" s="109">
        <f>SUM(P4:P15)</f>
        <v>300</v>
      </c>
      <c r="Q16" s="109">
        <f>SUM(Q4:Q15)</f>
        <v>0</v>
      </c>
      <c r="R16" s="109">
        <f>SUM(R4:R15)</f>
        <v>228</v>
      </c>
      <c r="S16" s="109">
        <f>SUM(S4:S15)</f>
        <v>0</v>
      </c>
      <c r="T16" s="109">
        <f>SUM(T4:T15)</f>
        <v>0</v>
      </c>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row>
    <row r="17" spans="1:52" ht="14.5" customHeight="1">
      <c r="A17" s="125"/>
      <c r="B17" s="105" t="str">
        <f>MOD(HOUR(([2]المدخلات!$B$4+4*[2]المدخلات!$B$5/1440))-1,12)+1&amp;":"&amp;TEXT(MINUTE(([2]المدخلات!$B$4+4*[2]المدخلات!$B$5/1440)),"00")&amp;"–"&amp;MOD(HOUR(([2]المدخلات!$B$4+4*[2]المدخلات!$B$5/1440+[2]المدخلات!$B$5/1440))-1,12)+1&amp;":"&amp;TEXT(MINUTE(([2]المدخلات!$B$4+4*[2]المدخلات!$B$5/1440+[2]المدخلات!$B$5/1440)),"00")&amp;IF(HOUR(([2]المدخلات!$B$4+4*[2]المدخلات!$B$5/1440))&lt;12," ص"," م")</f>
        <v>5:00–5:15 م</v>
      </c>
      <c r="C17" s="106" t="s">
        <v>23</v>
      </c>
      <c r="D17" s="106" t="s">
        <v>739</v>
      </c>
      <c r="E17" s="106" t="s">
        <v>20</v>
      </c>
      <c r="F17" s="106" t="s">
        <v>63</v>
      </c>
      <c r="G17" s="106" t="s">
        <v>740</v>
      </c>
      <c r="H17" s="106" t="s">
        <v>44</v>
      </c>
      <c r="I17" s="124"/>
      <c r="J17" s="124"/>
      <c r="K17" s="124"/>
      <c r="L17" s="101"/>
      <c r="M17" s="107" t="str">
        <f t="shared" si="0"/>
        <v>1 ضد 5 6 ضد 4 2 ضد 3 7 ضد 11 12 ضد 10 8 ضد 9</v>
      </c>
      <c r="N17" s="101"/>
      <c r="O17" s="108" t="s">
        <v>748</v>
      </c>
      <c r="P17" s="110">
        <v>9</v>
      </c>
      <c r="Q17" s="108"/>
      <c r="R17" s="108"/>
      <c r="S17" s="108"/>
      <c r="T17" s="108"/>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row>
    <row r="18" spans="1:52" ht="14.5" customHeight="1">
      <c r="A18" s="125"/>
      <c r="B18" s="105" t="str">
        <f>MOD(HOUR(([2]المدخلات!$B$4+5*[2]المدخلات!$B$5/1440))-1,12)+1&amp;":"&amp;TEXT(MINUTE(([2]المدخلات!$B$4+5*[2]المدخلات!$B$5/1440)),"00")&amp;"–"&amp;MOD(HOUR(([2]المدخلات!$B$4+5*[2]المدخلات!$B$5/1440+[2]المدخلات!$B$5/1440))-1,12)+1&amp;":"&amp;TEXT(MINUTE(([2]المدخلات!$B$4+5*[2]المدخلات!$B$5/1440+[2]المدخلات!$B$5/1440)),"00")&amp;IF(HOUR(([2]المدخلات!$B$4+5*[2]المدخلات!$B$5/1440))&lt;12," ص"," م")</f>
        <v>5:15–5:30 م</v>
      </c>
      <c r="C18" s="123" t="s">
        <v>738</v>
      </c>
      <c r="D18" s="124"/>
      <c r="E18" s="124"/>
      <c r="F18" s="123" t="s">
        <v>738</v>
      </c>
      <c r="G18" s="124"/>
      <c r="H18" s="124"/>
      <c r="I18" s="124"/>
      <c r="J18" s="124"/>
      <c r="K18" s="124"/>
      <c r="L18" s="101"/>
      <c r="M18" s="107" t="str">
        <f t="shared" si="0"/>
        <v>استراحة (لا توجد مباريات) استراحة (لا توجد مباريات)</v>
      </c>
      <c r="N18" s="101"/>
      <c r="O18" s="101"/>
      <c r="P18" s="101"/>
      <c r="Q18" s="101"/>
      <c r="R18" s="101"/>
      <c r="S18" s="101"/>
      <c r="T18" s="101"/>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row>
    <row r="19" spans="1:52" ht="14.5" customHeight="1">
      <c r="A19" s="125"/>
      <c r="B19" s="105" t="str">
        <f>MOD(HOUR(([2]المدخلات!$B$4+6*[2]المدخلات!$B$5/1440))-1,12)+1&amp;":"&amp;TEXT(MINUTE(([2]المدخلات!$B$4+6*[2]المدخلات!$B$5/1440)),"00")&amp;"–"&amp;MOD(HOUR(([2]المدخلات!$B$4+6*[2]المدخلات!$B$5/1440+[2]المدخلات!$B$5/1440))-1,12)+1&amp;":"&amp;TEXT(MINUTE(([2]المدخلات!$B$4+6*[2]المدخلات!$B$5/1440+[2]المدخلات!$B$5/1440)),"00")&amp;IF(HOUR(([2]المدخلات!$B$4+6*[2]المدخلات!$B$5/1440))&lt;12," ص"," م")</f>
        <v>5:30–5:45 م</v>
      </c>
      <c r="C19" s="106" t="s">
        <v>742</v>
      </c>
      <c r="D19" s="106" t="s">
        <v>741</v>
      </c>
      <c r="E19" s="106" t="s">
        <v>21</v>
      </c>
      <c r="F19" s="106" t="s">
        <v>744</v>
      </c>
      <c r="G19" s="106" t="s">
        <v>743</v>
      </c>
      <c r="H19" s="106" t="s">
        <v>52</v>
      </c>
      <c r="I19" s="124"/>
      <c r="J19" s="124"/>
      <c r="K19" s="124"/>
      <c r="L19" s="101"/>
      <c r="M19" s="107" t="str">
        <f t="shared" si="0"/>
        <v>6 ضد 2 5 ضد 3 1 ضد 4 12 ضد 8 11 ضد 9 7 ضد 10</v>
      </c>
      <c r="N19" s="101"/>
      <c r="O19" s="101"/>
      <c r="P19" s="101"/>
      <c r="Q19" s="101"/>
      <c r="R19" s="101"/>
      <c r="S19" s="101"/>
      <c r="T19" s="101"/>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row>
    <row r="20" spans="1:52" ht="14.5" customHeight="1">
      <c r="A20" s="125"/>
      <c r="B20" s="105" t="str">
        <f>MOD(HOUR(([2]المدخلات!$B$4+7*[2]المدخلات!$B$5/1440))-1,12)+1&amp;":"&amp;TEXT(MINUTE(([2]المدخلات!$B$4+7*[2]المدخلات!$B$5/1440)),"00")&amp;"–"&amp;MOD(HOUR(([2]المدخلات!$B$4+7*[2]المدخلات!$B$5/1440+[2]المدخلات!$B$5/1440))-1,12)+1&amp;":"&amp;TEXT(MINUTE(([2]المدخلات!$B$4+7*[2]المدخلات!$B$5/1440+[2]المدخلات!$B$5/1440)),"00")&amp;IF(HOUR(([2]المدخلات!$B$4+7*[2]المدخلات!$B$5/1440))&lt;12," ص"," م")</f>
        <v>5:45–6:00 م</v>
      </c>
      <c r="C20" s="106"/>
      <c r="D20" s="106"/>
      <c r="E20" s="106"/>
      <c r="F20" s="106"/>
      <c r="G20" s="106"/>
      <c r="H20" s="106"/>
      <c r="I20" s="124"/>
      <c r="J20" s="124"/>
      <c r="K20" s="124"/>
      <c r="L20" s="101"/>
      <c r="M20" s="107" t="str">
        <f t="shared" si="0"/>
        <v/>
      </c>
      <c r="N20" s="101"/>
      <c r="O20" s="101"/>
      <c r="P20" s="101"/>
      <c r="Q20" s="101"/>
      <c r="R20" s="101"/>
      <c r="S20" s="101"/>
      <c r="T20" s="101"/>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row>
    <row r="21" spans="1:52" ht="14.5" customHeight="1">
      <c r="A21" s="125"/>
      <c r="B21" s="105" t="str">
        <f>MOD(HOUR(([2]المدخلات!$B$4+8*[2]المدخلات!$B$5/1440))-1,12)+1&amp;":"&amp;TEXT(MINUTE(([2]المدخلات!$B$4+8*[2]المدخلات!$B$5/1440)),"00")&amp;"–"&amp;MOD(HOUR(([2]المدخلات!$B$4+8*[2]المدخلات!$B$5/1440+[2]المدخلات!$B$5/1440))-1,12)+1&amp;":"&amp;TEXT(MINUTE(([2]المدخلات!$B$4+8*[2]المدخلات!$B$5/1440+[2]المدخلات!$B$5/1440)),"00")&amp;IF(HOUR(([2]المدخلات!$B$4+8*[2]المدخلات!$B$5/1440))&lt;12," ص"," م")</f>
        <v>6:00–6:15 م</v>
      </c>
      <c r="C21" s="106"/>
      <c r="D21" s="106"/>
      <c r="E21" s="106"/>
      <c r="F21" s="106"/>
      <c r="G21" s="106"/>
      <c r="H21" s="106"/>
      <c r="I21" s="124"/>
      <c r="J21" s="124"/>
      <c r="K21" s="124"/>
      <c r="L21" s="101"/>
      <c r="M21" s="107" t="str">
        <f t="shared" si="0"/>
        <v/>
      </c>
      <c r="N21" s="101"/>
      <c r="O21" s="101"/>
      <c r="P21" s="101"/>
      <c r="Q21" s="101"/>
      <c r="R21" s="101"/>
      <c r="S21" s="101"/>
      <c r="T21" s="101"/>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row>
    <row r="22" spans="1:52" ht="14.5" customHeight="1">
      <c r="A22" s="125" t="s">
        <v>749</v>
      </c>
      <c r="B22" s="105" t="str">
        <f>MOD(HOUR(([2]المدخلات!$B$4+0*[2]المدخلات!$B$5/1440))-1,12)+1&amp;":"&amp;TEXT(MINUTE(([2]المدخلات!$B$4+0*[2]المدخلات!$B$5/1440)),"00")&amp;"–"&amp;MOD(HOUR(([2]المدخلات!$B$4+0*[2]المدخلات!$B$5/1440+[2]المدخلات!$B$5/1440))-1,12)+1&amp;":"&amp;TEXT(MINUTE(([2]المدخلات!$B$4+0*[2]المدخلات!$B$5/1440+[2]المدخلات!$B$5/1440)),"00")&amp;IF(HOUR(([2]المدخلات!$B$4+0*[2]المدخلات!$B$5/1440))&lt;12," ص"," م")</f>
        <v>4:00–4:15 م</v>
      </c>
      <c r="C22" s="106" t="s">
        <v>745</v>
      </c>
      <c r="D22" s="106" t="s">
        <v>11</v>
      </c>
      <c r="E22" s="106" t="s">
        <v>19</v>
      </c>
      <c r="F22" s="106" t="s">
        <v>746</v>
      </c>
      <c r="G22" s="106" t="s">
        <v>45</v>
      </c>
      <c r="H22" s="106" t="s">
        <v>75</v>
      </c>
      <c r="I22" s="126">
        <f>COUNTIF(C22:H30,"* ضد *")</f>
        <v>24</v>
      </c>
      <c r="J22" s="124">
        <f>COUNTIF(C22:E30,"* ضد *")*2/6</f>
        <v>4</v>
      </c>
      <c r="K22" s="124">
        <f>COUNTIF(F22:H30,"* ضد *")*2/6</f>
        <v>4</v>
      </c>
      <c r="L22" s="101"/>
      <c r="M22" s="107" t="str">
        <f t="shared" si="0"/>
        <v>4 ضد 2 1 ضد 3 5 ضد 6 10 ضد 8 7 ضد 9 11 ضد 12</v>
      </c>
      <c r="N22" s="101"/>
      <c r="O22" s="101"/>
      <c r="P22" s="101"/>
      <c r="Q22" s="101"/>
      <c r="R22" s="101"/>
      <c r="S22" s="101"/>
      <c r="T22" s="101"/>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row>
    <row r="23" spans="1:52" ht="14.5" customHeight="1">
      <c r="A23" s="125"/>
      <c r="B23" s="105" t="str">
        <f>MOD(HOUR(([2]المدخلات!$B$4+1*[2]المدخلات!$B$5/1440))-1,12)+1&amp;":"&amp;TEXT(MINUTE(([2]المدخلات!$B$4+1*[2]المدخلات!$B$5/1440)),"00")&amp;"–"&amp;MOD(HOUR(([2]المدخلات!$B$4+1*[2]المدخلات!$B$5/1440+[2]المدخلات!$B$5/1440))-1,12)+1&amp;":"&amp;TEXT(MINUTE(([2]المدخلات!$B$4+1*[2]المدخلات!$B$5/1440+[2]المدخلات!$B$5/1440)),"00")&amp;IF(HOUR(([2]المدخلات!$B$4+1*[2]المدخلات!$B$5/1440))&lt;12," ص"," م")</f>
        <v>4:15–4:30 م</v>
      </c>
      <c r="C23" s="123" t="s">
        <v>738</v>
      </c>
      <c r="D23" s="124"/>
      <c r="E23" s="124"/>
      <c r="F23" s="123" t="s">
        <v>738</v>
      </c>
      <c r="G23" s="124"/>
      <c r="H23" s="124"/>
      <c r="I23" s="124"/>
      <c r="J23" s="124"/>
      <c r="K23" s="124"/>
      <c r="L23" s="101"/>
      <c r="M23" s="107" t="str">
        <f t="shared" si="0"/>
        <v>استراحة (لا توجد مباريات) استراحة (لا توجد مباريات)</v>
      </c>
      <c r="N23" s="101"/>
      <c r="O23" s="101"/>
      <c r="P23" s="101"/>
      <c r="Q23" s="101"/>
      <c r="R23" s="101"/>
      <c r="S23" s="101"/>
      <c r="T23" s="101"/>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row>
    <row r="24" spans="1:52" ht="14.5" customHeight="1">
      <c r="A24" s="125"/>
      <c r="B24" s="105" t="str">
        <f>MOD(HOUR(([2]المدخلات!$B$4+2*[2]المدخلات!$B$5/1440))-1,12)+1&amp;":"&amp;TEXT(MINUTE(([2]المدخلات!$B$4+2*[2]المدخلات!$B$5/1440)),"00")&amp;"–"&amp;MOD(HOUR(([2]المدخلات!$B$4+2*[2]المدخلات!$B$5/1440+[2]المدخلات!$B$5/1440))-1,12)+1&amp;":"&amp;TEXT(MINUTE(([2]المدخلات!$B$4+2*[2]المدخلات!$B$5/1440+[2]المدخلات!$B$5/1440)),"00")&amp;IF(HOUR(([2]المدخلات!$B$4+2*[2]المدخلات!$B$5/1440))&lt;12," ص"," م")</f>
        <v>4:30–4:45 م</v>
      </c>
      <c r="C24" s="106" t="s">
        <v>15</v>
      </c>
      <c r="D24" s="106" t="s">
        <v>14</v>
      </c>
      <c r="E24" s="106" t="s">
        <v>13</v>
      </c>
      <c r="F24" s="106" t="s">
        <v>70</v>
      </c>
      <c r="G24" s="106" t="s">
        <v>33</v>
      </c>
      <c r="H24" s="106" t="s">
        <v>59</v>
      </c>
      <c r="I24" s="124"/>
      <c r="J24" s="124"/>
      <c r="K24" s="124"/>
      <c r="L24" s="101"/>
      <c r="M24" s="107" t="str">
        <f t="shared" si="0"/>
        <v>3 ضد 6 1 ضد 2 4 ضد 5 9 ضد 12 7 ضد 8 10 ضد 11</v>
      </c>
      <c r="N24" s="101"/>
      <c r="O24" s="101"/>
      <c r="P24" s="101"/>
      <c r="Q24" s="101"/>
      <c r="R24" s="101"/>
      <c r="S24" s="101"/>
      <c r="T24" s="101"/>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row>
    <row r="25" spans="1:52" ht="14.5" customHeight="1">
      <c r="A25" s="125"/>
      <c r="B25" s="105" t="str">
        <f>MOD(HOUR(([2]المدخلات!$B$4+3*[2]المدخلات!$B$5/1440))-1,12)+1&amp;":"&amp;TEXT(MINUTE(([2]المدخلات!$B$4+3*[2]المدخلات!$B$5/1440)),"00")&amp;"–"&amp;MOD(HOUR(([2]المدخلات!$B$4+3*[2]المدخلات!$B$5/1440+[2]المدخلات!$B$5/1440))-1,12)+1&amp;":"&amp;TEXT(MINUTE(([2]المدخلات!$B$4+3*[2]المدخلات!$B$5/1440+[2]المدخلات!$B$5/1440)),"00")&amp;IF(HOUR(([2]المدخلات!$B$4+3*[2]المدخلات!$B$5/1440))&lt;12," ص"," م")</f>
        <v>4:45–5:00 م</v>
      </c>
      <c r="C25" s="123" t="s">
        <v>738</v>
      </c>
      <c r="D25" s="124"/>
      <c r="E25" s="124"/>
      <c r="F25" s="123" t="s">
        <v>738</v>
      </c>
      <c r="G25" s="124"/>
      <c r="H25" s="124"/>
      <c r="I25" s="124"/>
      <c r="J25" s="124"/>
      <c r="K25" s="124"/>
      <c r="L25" s="101"/>
      <c r="M25" s="107" t="str">
        <f t="shared" si="0"/>
        <v>استراحة (لا توجد مباريات) استراحة (لا توجد مباريات)</v>
      </c>
      <c r="N25" s="101"/>
      <c r="O25" s="101"/>
      <c r="P25" s="101"/>
      <c r="Q25" s="101"/>
      <c r="R25" s="101"/>
      <c r="S25" s="101"/>
      <c r="T25" s="101"/>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row>
    <row r="26" spans="1:52" ht="14.5" customHeight="1">
      <c r="A26" s="125"/>
      <c r="B26" s="105" t="str">
        <f>MOD(HOUR(([2]المدخلات!$B$4+4*[2]المدخلات!$B$5/1440))-1,12)+1&amp;":"&amp;TEXT(MINUTE(([2]المدخلات!$B$4+4*[2]المدخلات!$B$5/1440)),"00")&amp;"–"&amp;MOD(HOUR(([2]المدخلات!$B$4+4*[2]المدخلات!$B$5/1440+[2]المدخلات!$B$5/1440))-1,12)+1&amp;":"&amp;TEXT(MINUTE(([2]المدخلات!$B$4+4*[2]المدخلات!$B$5/1440+[2]المدخلات!$B$5/1440)),"00")&amp;IF(HOUR(([2]المدخلات!$B$4+4*[2]المدخلات!$B$5/1440))&lt;12," ص"," م")</f>
        <v>5:00–5:15 م</v>
      </c>
      <c r="C26" s="106" t="s">
        <v>22</v>
      </c>
      <c r="D26" s="106" t="s">
        <v>10</v>
      </c>
      <c r="E26" s="106" t="s">
        <v>18</v>
      </c>
      <c r="F26" s="106" t="s">
        <v>49</v>
      </c>
      <c r="G26" s="106" t="s">
        <v>56</v>
      </c>
      <c r="H26" s="106" t="s">
        <v>66</v>
      </c>
      <c r="I26" s="124"/>
      <c r="J26" s="124"/>
      <c r="K26" s="124"/>
      <c r="L26" s="101"/>
      <c r="M26" s="107" t="str">
        <f t="shared" si="0"/>
        <v>3 ضد 4 2 ضد 5 1 ضد 6 9 ضد 10 8 ضد 11 7 ضد 12</v>
      </c>
      <c r="N26" s="101"/>
      <c r="O26" s="101"/>
      <c r="P26" s="101"/>
      <c r="Q26" s="101"/>
      <c r="R26" s="101"/>
      <c r="S26" s="101"/>
      <c r="T26" s="101"/>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row>
    <row r="27" spans="1:52" ht="14.5" customHeight="1">
      <c r="A27" s="125"/>
      <c r="B27" s="105" t="str">
        <f>MOD(HOUR(([2]المدخلات!$B$4+5*[2]المدخلات!$B$5/1440))-1,12)+1&amp;":"&amp;TEXT(MINUTE(([2]المدخلات!$B$4+5*[2]المدخلات!$B$5/1440)),"00")&amp;"–"&amp;MOD(HOUR(([2]المدخلات!$B$4+5*[2]المدخلات!$B$5/1440+[2]المدخلات!$B$5/1440))-1,12)+1&amp;":"&amp;TEXT(MINUTE(([2]المدخلات!$B$4+5*[2]المدخلات!$B$5/1440+[2]المدخلات!$B$5/1440)),"00")&amp;IF(HOUR(([2]المدخلات!$B$4+5*[2]المدخلات!$B$5/1440))&lt;12," ص"," م")</f>
        <v>5:15–5:30 م</v>
      </c>
      <c r="C27" s="123" t="s">
        <v>738</v>
      </c>
      <c r="D27" s="124"/>
      <c r="E27" s="124"/>
      <c r="F27" s="123" t="s">
        <v>738</v>
      </c>
      <c r="G27" s="124"/>
      <c r="H27" s="124"/>
      <c r="I27" s="124"/>
      <c r="J27" s="124"/>
      <c r="K27" s="124"/>
      <c r="L27" s="101"/>
      <c r="M27" s="107" t="str">
        <f t="shared" si="0"/>
        <v>استراحة (لا توجد مباريات) استراحة (لا توجد مباريات)</v>
      </c>
      <c r="N27" s="101"/>
      <c r="O27" s="101"/>
      <c r="P27" s="101"/>
      <c r="Q27" s="101"/>
      <c r="R27" s="101"/>
      <c r="S27" s="101"/>
      <c r="T27" s="101"/>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row>
    <row r="28" spans="1:52" ht="14.5" customHeight="1">
      <c r="A28" s="125"/>
      <c r="B28" s="105" t="str">
        <f>MOD(HOUR(([2]المدخلات!$B$4+6*[2]المدخلات!$B$5/1440))-1,12)+1&amp;":"&amp;TEXT(MINUTE(([2]المدخلات!$B$4+6*[2]المدخلات!$B$5/1440)),"00")&amp;"–"&amp;MOD(HOUR(([2]المدخلات!$B$4+6*[2]المدخلات!$B$5/1440+[2]المدخلات!$B$5/1440))-1,12)+1&amp;":"&amp;TEXT(MINUTE(([2]المدخلات!$B$4+6*[2]المدخلات!$B$5/1440+[2]المدخلات!$B$5/1440)),"00")&amp;IF(HOUR(([2]المدخلات!$B$4+6*[2]المدخلات!$B$5/1440))&lt;12," ص"," م")</f>
        <v>5:30–5:45 م</v>
      </c>
      <c r="C28" s="106" t="s">
        <v>23</v>
      </c>
      <c r="D28" s="106" t="s">
        <v>739</v>
      </c>
      <c r="E28" s="106" t="s">
        <v>20</v>
      </c>
      <c r="F28" s="106" t="s">
        <v>63</v>
      </c>
      <c r="G28" s="106" t="s">
        <v>740</v>
      </c>
      <c r="H28" s="106" t="s">
        <v>44</v>
      </c>
      <c r="I28" s="124"/>
      <c r="J28" s="124"/>
      <c r="K28" s="124"/>
      <c r="L28" s="101"/>
      <c r="M28" s="107" t="str">
        <f t="shared" si="0"/>
        <v>1 ضد 5 6 ضد 4 2 ضد 3 7 ضد 11 12 ضد 10 8 ضد 9</v>
      </c>
      <c r="N28" s="101"/>
      <c r="O28" s="101"/>
      <c r="P28" s="101"/>
      <c r="Q28" s="101"/>
      <c r="R28" s="101"/>
      <c r="S28" s="101"/>
      <c r="T28" s="101"/>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row>
    <row r="29" spans="1:52" ht="14.5" customHeight="1">
      <c r="A29" s="125"/>
      <c r="B29" s="105" t="str">
        <f>MOD(HOUR(([2]المدخلات!$B$4+7*[2]المدخلات!$B$5/1440))-1,12)+1&amp;":"&amp;TEXT(MINUTE(([2]المدخلات!$B$4+7*[2]المدخلات!$B$5/1440)),"00")&amp;"–"&amp;MOD(HOUR(([2]المدخلات!$B$4+7*[2]المدخلات!$B$5/1440+[2]المدخلات!$B$5/1440))-1,12)+1&amp;":"&amp;TEXT(MINUTE(([2]المدخلات!$B$4+7*[2]المدخلات!$B$5/1440+[2]المدخلات!$B$5/1440)),"00")&amp;IF(HOUR(([2]المدخلات!$B$4+7*[2]المدخلات!$B$5/1440))&lt;12," ص"," م")</f>
        <v>5:45–6:00 م</v>
      </c>
      <c r="C29" s="106"/>
      <c r="D29" s="106"/>
      <c r="E29" s="106"/>
      <c r="F29" s="106"/>
      <c r="G29" s="106"/>
      <c r="H29" s="106"/>
      <c r="I29" s="124"/>
      <c r="J29" s="124"/>
      <c r="K29" s="124"/>
      <c r="L29" s="101"/>
      <c r="M29" s="107" t="str">
        <f t="shared" si="0"/>
        <v/>
      </c>
      <c r="N29" s="101"/>
      <c r="O29" s="101"/>
      <c r="P29" s="101"/>
      <c r="Q29" s="101"/>
      <c r="R29" s="101"/>
      <c r="S29" s="101"/>
      <c r="T29" s="101"/>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row>
    <row r="30" spans="1:52" ht="14.5" customHeight="1">
      <c r="A30" s="125"/>
      <c r="B30" s="105" t="str">
        <f>MOD(HOUR(([2]المدخلات!$B$4+8*[2]المدخلات!$B$5/1440))-1,12)+1&amp;":"&amp;TEXT(MINUTE(([2]المدخلات!$B$4+8*[2]المدخلات!$B$5/1440)),"00")&amp;"–"&amp;MOD(HOUR(([2]المدخلات!$B$4+8*[2]المدخلات!$B$5/1440+[2]المدخلات!$B$5/1440))-1,12)+1&amp;":"&amp;TEXT(MINUTE(([2]المدخلات!$B$4+8*[2]المدخلات!$B$5/1440+[2]المدخلات!$B$5/1440)),"00")&amp;IF(HOUR(([2]المدخلات!$B$4+8*[2]المدخلات!$B$5/1440))&lt;12," ص"," م")</f>
        <v>6:00–6:15 م</v>
      </c>
      <c r="C30" s="106"/>
      <c r="D30" s="106"/>
      <c r="E30" s="106"/>
      <c r="F30" s="106"/>
      <c r="G30" s="106"/>
      <c r="H30" s="106"/>
      <c r="I30" s="124"/>
      <c r="J30" s="124"/>
      <c r="K30" s="124"/>
      <c r="L30" s="101"/>
      <c r="M30" s="107" t="str">
        <f t="shared" si="0"/>
        <v/>
      </c>
      <c r="N30" s="101"/>
      <c r="O30" s="101"/>
      <c r="P30" s="101"/>
      <c r="Q30" s="101"/>
      <c r="R30" s="101"/>
      <c r="S30" s="101"/>
      <c r="T30" s="101"/>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row>
    <row r="31" spans="1:52" ht="14.5" customHeight="1">
      <c r="A31" s="125" t="s">
        <v>750</v>
      </c>
      <c r="B31" s="105" t="str">
        <f>MOD(HOUR(([2]المدخلات!$B$4+0*[2]المدخلات!$B$5/1440))-1,12)+1&amp;":"&amp;TEXT(MINUTE(([2]المدخلات!$B$4+0*[2]المدخلات!$B$5/1440)),"00")&amp;"–"&amp;MOD(HOUR(([2]المدخلات!$B$4+0*[2]المدخلات!$B$5/1440+[2]المدخلات!$B$5/1440))-1,12)+1&amp;":"&amp;TEXT(MINUTE(([2]المدخلات!$B$4+0*[2]المدخلات!$B$5/1440+[2]المدخلات!$B$5/1440)),"00")&amp;IF(HOUR(([2]المدخلات!$B$4+0*[2]المدخلات!$B$5/1440))&lt;12," ص"," م")</f>
        <v>4:00–4:15 م</v>
      </c>
      <c r="C31" s="106" t="s">
        <v>21</v>
      </c>
      <c r="D31" s="106" t="s">
        <v>741</v>
      </c>
      <c r="E31" s="106" t="s">
        <v>742</v>
      </c>
      <c r="F31" s="106" t="s">
        <v>52</v>
      </c>
      <c r="G31" s="106" t="s">
        <v>743</v>
      </c>
      <c r="H31" s="106" t="s">
        <v>744</v>
      </c>
      <c r="I31" s="126">
        <f>COUNTIF(C31:H39,"* ضد *")</f>
        <v>24</v>
      </c>
      <c r="J31" s="124">
        <f>COUNTIF(C31:E39,"* ضد *")*2/6</f>
        <v>4</v>
      </c>
      <c r="K31" s="124">
        <f>COUNTIF(F31:H39,"* ضد *")*2/6</f>
        <v>4</v>
      </c>
      <c r="L31" s="101"/>
      <c r="M31" s="107" t="str">
        <f t="shared" si="0"/>
        <v>1 ضد 4 5 ضد 3 6 ضد 2 7 ضد 10 11 ضد 9 12 ضد 8</v>
      </c>
      <c r="N31" s="101"/>
      <c r="O31" s="101"/>
      <c r="P31" s="101"/>
      <c r="Q31" s="101"/>
      <c r="R31" s="101"/>
      <c r="S31" s="101"/>
      <c r="T31" s="101"/>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row>
    <row r="32" spans="1:52" ht="14.5" customHeight="1">
      <c r="A32" s="125"/>
      <c r="B32" s="105" t="str">
        <f>MOD(HOUR(([2]المدخلات!$B$4+1*[2]المدخلات!$B$5/1440))-1,12)+1&amp;":"&amp;TEXT(MINUTE(([2]المدخلات!$B$4+1*[2]المدخلات!$B$5/1440)),"00")&amp;"–"&amp;MOD(HOUR(([2]المدخلات!$B$4+1*[2]المدخلات!$B$5/1440+[2]المدخلات!$B$5/1440))-1,12)+1&amp;":"&amp;TEXT(MINUTE(([2]المدخلات!$B$4+1*[2]المدخلات!$B$5/1440+[2]المدخلات!$B$5/1440)),"00")&amp;IF(HOUR(([2]المدخلات!$B$4+1*[2]المدخلات!$B$5/1440))&lt;12," ص"," م")</f>
        <v>4:15–4:30 م</v>
      </c>
      <c r="C32" s="123" t="s">
        <v>738</v>
      </c>
      <c r="D32" s="124"/>
      <c r="E32" s="124"/>
      <c r="F32" s="123" t="s">
        <v>738</v>
      </c>
      <c r="G32" s="124"/>
      <c r="H32" s="124"/>
      <c r="I32" s="124"/>
      <c r="J32" s="124"/>
      <c r="K32" s="124"/>
      <c r="L32" s="101"/>
      <c r="M32" s="107" t="str">
        <f t="shared" si="0"/>
        <v>استراحة (لا توجد مباريات) استراحة (لا توجد مباريات)</v>
      </c>
      <c r="N32" s="101"/>
      <c r="O32" s="101"/>
      <c r="P32" s="101"/>
      <c r="Q32" s="101"/>
      <c r="R32" s="101"/>
      <c r="S32" s="101"/>
      <c r="T32" s="101"/>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row>
    <row r="33" spans="1:52" ht="14.5" customHeight="1">
      <c r="A33" s="125"/>
      <c r="B33" s="105" t="str">
        <f>MOD(HOUR(([2]المدخلات!$B$4+2*[2]المدخلات!$B$5/1440))-1,12)+1&amp;":"&amp;TEXT(MINUTE(([2]المدخلات!$B$4+2*[2]المدخلات!$B$5/1440)),"00")&amp;"–"&amp;MOD(HOUR(([2]المدخلات!$B$4+2*[2]المدخلات!$B$5/1440+[2]المدخلات!$B$5/1440))-1,12)+1&amp;":"&amp;TEXT(MINUTE(([2]المدخلات!$B$4+2*[2]المدخلات!$B$5/1440+[2]المدخلات!$B$5/1440)),"00")&amp;IF(HOUR(([2]المدخلات!$B$4+2*[2]المدخلات!$B$5/1440))&lt;12," ص"," م")</f>
        <v>4:30–4:45 م</v>
      </c>
      <c r="C33" s="106" t="s">
        <v>19</v>
      </c>
      <c r="D33" s="106" t="s">
        <v>745</v>
      </c>
      <c r="E33" s="106" t="s">
        <v>11</v>
      </c>
      <c r="F33" s="106" t="s">
        <v>75</v>
      </c>
      <c r="G33" s="106" t="s">
        <v>746</v>
      </c>
      <c r="H33" s="106" t="s">
        <v>45</v>
      </c>
      <c r="I33" s="124"/>
      <c r="J33" s="124"/>
      <c r="K33" s="124"/>
      <c r="L33" s="101"/>
      <c r="M33" s="107" t="str">
        <f t="shared" si="0"/>
        <v>5 ضد 6 4 ضد 2 1 ضد 3 11 ضد 12 10 ضد 8 7 ضد 9</v>
      </c>
      <c r="N33" s="101"/>
      <c r="O33" s="101"/>
      <c r="P33" s="101"/>
      <c r="Q33" s="101"/>
      <c r="R33" s="101"/>
      <c r="S33" s="101"/>
      <c r="T33" s="101"/>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row>
    <row r="34" spans="1:52" ht="14.5" customHeight="1">
      <c r="A34" s="125"/>
      <c r="B34" s="105" t="str">
        <f>MOD(HOUR(([2]المدخلات!$B$4+3*[2]المدخلات!$B$5/1440))-1,12)+1&amp;":"&amp;TEXT(MINUTE(([2]المدخلات!$B$4+3*[2]المدخلات!$B$5/1440)),"00")&amp;"–"&amp;MOD(HOUR(([2]المدخلات!$B$4+3*[2]المدخلات!$B$5/1440+[2]المدخلات!$B$5/1440))-1,12)+1&amp;":"&amp;TEXT(MINUTE(([2]المدخلات!$B$4+3*[2]المدخلات!$B$5/1440+[2]المدخلات!$B$5/1440)),"00")&amp;IF(HOUR(([2]المدخلات!$B$4+3*[2]المدخلات!$B$5/1440))&lt;12," ص"," م")</f>
        <v>4:45–5:00 م</v>
      </c>
      <c r="C34" s="123" t="s">
        <v>738</v>
      </c>
      <c r="D34" s="124"/>
      <c r="E34" s="124"/>
      <c r="F34" s="123" t="s">
        <v>738</v>
      </c>
      <c r="G34" s="124"/>
      <c r="H34" s="124"/>
      <c r="I34" s="124"/>
      <c r="J34" s="124"/>
      <c r="K34" s="124"/>
      <c r="L34" s="101"/>
      <c r="M34" s="107" t="str">
        <f t="shared" si="0"/>
        <v>استراحة (لا توجد مباريات) استراحة (لا توجد مباريات)</v>
      </c>
      <c r="N34" s="101"/>
      <c r="O34" s="101"/>
      <c r="P34" s="101"/>
      <c r="Q34" s="101"/>
      <c r="R34" s="101"/>
      <c r="S34" s="101"/>
      <c r="T34" s="101"/>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row>
    <row r="35" spans="1:52" ht="14.5" customHeight="1">
      <c r="A35" s="125"/>
      <c r="B35" s="105" t="str">
        <f>MOD(HOUR(([2]المدخلات!$B$4+4*[2]المدخلات!$B$5/1440))-1,12)+1&amp;":"&amp;TEXT(MINUTE(([2]المدخلات!$B$4+4*[2]المدخلات!$B$5/1440)),"00")&amp;"–"&amp;MOD(HOUR(([2]المدخلات!$B$4+4*[2]المدخلات!$B$5/1440+[2]المدخلات!$B$5/1440))-1,12)+1&amp;":"&amp;TEXT(MINUTE(([2]المدخلات!$B$4+4*[2]المدخلات!$B$5/1440+[2]المدخلات!$B$5/1440)),"00")&amp;IF(HOUR(([2]المدخلات!$B$4+4*[2]المدخلات!$B$5/1440))&lt;12," ص"," م")</f>
        <v>5:00–5:15 م</v>
      </c>
      <c r="C35" s="106" t="s">
        <v>15</v>
      </c>
      <c r="D35" s="106" t="s">
        <v>14</v>
      </c>
      <c r="E35" s="106" t="s">
        <v>13</v>
      </c>
      <c r="F35" s="106" t="s">
        <v>70</v>
      </c>
      <c r="G35" s="106" t="s">
        <v>33</v>
      </c>
      <c r="H35" s="106" t="s">
        <v>59</v>
      </c>
      <c r="I35" s="124"/>
      <c r="J35" s="124"/>
      <c r="K35" s="124"/>
      <c r="L35" s="101"/>
      <c r="M35" s="107" t="str">
        <f t="shared" si="0"/>
        <v>3 ضد 6 1 ضد 2 4 ضد 5 9 ضد 12 7 ضد 8 10 ضد 11</v>
      </c>
      <c r="N35" s="101"/>
      <c r="O35" s="101"/>
      <c r="P35" s="101"/>
      <c r="Q35" s="101"/>
      <c r="R35" s="101"/>
      <c r="S35" s="101"/>
      <c r="T35" s="101"/>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row>
    <row r="36" spans="1:52" ht="14.5" customHeight="1">
      <c r="A36" s="125"/>
      <c r="B36" s="105" t="str">
        <f>MOD(HOUR(([2]المدخلات!$B$4+5*[2]المدخلات!$B$5/1440))-1,12)+1&amp;":"&amp;TEXT(MINUTE(([2]المدخلات!$B$4+5*[2]المدخلات!$B$5/1440)),"00")&amp;"–"&amp;MOD(HOUR(([2]المدخلات!$B$4+5*[2]المدخلات!$B$5/1440+[2]المدخلات!$B$5/1440))-1,12)+1&amp;":"&amp;TEXT(MINUTE(([2]المدخلات!$B$4+5*[2]المدخلات!$B$5/1440+[2]المدخلات!$B$5/1440)),"00")&amp;IF(HOUR(([2]المدخلات!$B$4+5*[2]المدخلات!$B$5/1440))&lt;12," ص"," م")</f>
        <v>5:15–5:30 م</v>
      </c>
      <c r="C36" s="123" t="s">
        <v>738</v>
      </c>
      <c r="D36" s="124"/>
      <c r="E36" s="124"/>
      <c r="F36" s="123" t="s">
        <v>738</v>
      </c>
      <c r="G36" s="124"/>
      <c r="H36" s="124"/>
      <c r="I36" s="124"/>
      <c r="J36" s="124"/>
      <c r="K36" s="124"/>
      <c r="L36" s="101"/>
      <c r="M36" s="107" t="str">
        <f t="shared" si="0"/>
        <v>استراحة (لا توجد مباريات) استراحة (لا توجد مباريات)</v>
      </c>
      <c r="N36" s="101"/>
      <c r="O36" s="101"/>
      <c r="P36" s="101"/>
      <c r="Q36" s="101"/>
      <c r="R36" s="101"/>
      <c r="S36" s="101"/>
      <c r="T36" s="101"/>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row>
    <row r="37" spans="1:52" ht="14.5" customHeight="1">
      <c r="A37" s="125"/>
      <c r="B37" s="105" t="str">
        <f>MOD(HOUR(([2]المدخلات!$B$4+6*[2]المدخلات!$B$5/1440))-1,12)+1&amp;":"&amp;TEXT(MINUTE(([2]المدخلات!$B$4+6*[2]المدخلات!$B$5/1440)),"00")&amp;"–"&amp;MOD(HOUR(([2]المدخلات!$B$4+6*[2]المدخلات!$B$5/1440+[2]المدخلات!$B$5/1440))-1,12)+1&amp;":"&amp;TEXT(MINUTE(([2]المدخلات!$B$4+6*[2]المدخلات!$B$5/1440+[2]المدخلات!$B$5/1440)),"00")&amp;IF(HOUR(([2]المدخلات!$B$4+6*[2]المدخلات!$B$5/1440))&lt;12," ص"," م")</f>
        <v>5:30–5:45 م</v>
      </c>
      <c r="C37" s="106" t="s">
        <v>10</v>
      </c>
      <c r="D37" s="106" t="s">
        <v>18</v>
      </c>
      <c r="E37" s="106" t="s">
        <v>22</v>
      </c>
      <c r="F37" s="106" t="s">
        <v>56</v>
      </c>
      <c r="G37" s="106" t="s">
        <v>66</v>
      </c>
      <c r="H37" s="106" t="s">
        <v>49</v>
      </c>
      <c r="I37" s="124"/>
      <c r="J37" s="124"/>
      <c r="K37" s="124"/>
      <c r="L37" s="101"/>
      <c r="M37" s="107" t="str">
        <f t="shared" si="0"/>
        <v>2 ضد 5 1 ضد 6 3 ضد 4 8 ضد 11 7 ضد 12 9 ضد 10</v>
      </c>
      <c r="N37" s="101"/>
      <c r="O37" s="101"/>
      <c r="P37" s="101"/>
      <c r="Q37" s="101"/>
      <c r="R37" s="101"/>
      <c r="S37" s="101"/>
      <c r="T37" s="101"/>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row>
    <row r="38" spans="1:52" ht="14.5" customHeight="1">
      <c r="A38" s="125"/>
      <c r="B38" s="105" t="str">
        <f>MOD(HOUR(([2]المدخلات!$B$4+7*[2]المدخلات!$B$5/1440))-1,12)+1&amp;":"&amp;TEXT(MINUTE(([2]المدخلات!$B$4+7*[2]المدخلات!$B$5/1440)),"00")&amp;"–"&amp;MOD(HOUR(([2]المدخلات!$B$4+7*[2]المدخلات!$B$5/1440+[2]المدخلات!$B$5/1440))-1,12)+1&amp;":"&amp;TEXT(MINUTE(([2]المدخلات!$B$4+7*[2]المدخلات!$B$5/1440+[2]المدخلات!$B$5/1440)),"00")&amp;IF(HOUR(([2]المدخلات!$B$4+7*[2]المدخلات!$B$5/1440))&lt;12," ص"," م")</f>
        <v>5:45–6:00 م</v>
      </c>
      <c r="C38" s="106"/>
      <c r="D38" s="106"/>
      <c r="E38" s="106"/>
      <c r="F38" s="106"/>
      <c r="G38" s="106"/>
      <c r="H38" s="106"/>
      <c r="I38" s="124"/>
      <c r="J38" s="124"/>
      <c r="K38" s="124"/>
      <c r="L38" s="101"/>
      <c r="M38" s="107" t="str">
        <f t="shared" si="0"/>
        <v/>
      </c>
      <c r="N38" s="101"/>
      <c r="O38" s="101"/>
      <c r="P38" s="101"/>
      <c r="Q38" s="101"/>
      <c r="R38" s="101"/>
      <c r="S38" s="101"/>
      <c r="T38" s="101"/>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row>
    <row r="39" spans="1:52" ht="14.5" customHeight="1">
      <c r="A39" s="125"/>
      <c r="B39" s="105" t="str">
        <f>MOD(HOUR(([2]المدخلات!$B$4+8*[2]المدخلات!$B$5/1440))-1,12)+1&amp;":"&amp;TEXT(MINUTE(([2]المدخلات!$B$4+8*[2]المدخلات!$B$5/1440)),"00")&amp;"–"&amp;MOD(HOUR(([2]المدخلات!$B$4+8*[2]المدخلات!$B$5/1440+[2]المدخلات!$B$5/1440))-1,12)+1&amp;":"&amp;TEXT(MINUTE(([2]المدخلات!$B$4+8*[2]المدخلات!$B$5/1440+[2]المدخلات!$B$5/1440)),"00")&amp;IF(HOUR(([2]المدخلات!$B$4+8*[2]المدخلات!$B$5/1440))&lt;12," ص"," م")</f>
        <v>6:00–6:15 م</v>
      </c>
      <c r="C39" s="106"/>
      <c r="D39" s="106"/>
      <c r="E39" s="106"/>
      <c r="F39" s="106"/>
      <c r="G39" s="106"/>
      <c r="H39" s="106"/>
      <c r="I39" s="124"/>
      <c r="J39" s="124"/>
      <c r="K39" s="124"/>
      <c r="L39" s="101"/>
      <c r="M39" s="107" t="str">
        <f t="shared" si="0"/>
        <v/>
      </c>
      <c r="N39" s="101"/>
      <c r="O39" s="101"/>
      <c r="P39" s="101"/>
      <c r="Q39" s="101"/>
      <c r="R39" s="101"/>
      <c r="S39" s="101"/>
      <c r="T39" s="101"/>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row>
    <row r="40" spans="1:52" ht="14.5" customHeight="1">
      <c r="A40" s="125" t="s">
        <v>751</v>
      </c>
      <c r="B40" s="105" t="str">
        <f>MOD(HOUR(([2]المدخلات!$B$4+0*[2]المدخلات!$B$5/1440))-1,12)+1&amp;":"&amp;TEXT(MINUTE(([2]المدخلات!$B$4+0*[2]المدخلات!$B$5/1440)),"00")&amp;"–"&amp;MOD(HOUR(([2]المدخلات!$B$4+0*[2]المدخلات!$B$5/1440+[2]المدخلات!$B$5/1440))-1,12)+1&amp;":"&amp;TEXT(MINUTE(([2]المدخلات!$B$4+0*[2]المدخلات!$B$5/1440+[2]المدخلات!$B$5/1440)),"00")&amp;IF(HOUR(([2]المدخلات!$B$4+0*[2]المدخلات!$B$5/1440))&lt;12," ص"," م")</f>
        <v>4:00–4:15 م</v>
      </c>
      <c r="C40" s="106" t="s">
        <v>20</v>
      </c>
      <c r="D40" s="106" t="s">
        <v>739</v>
      </c>
      <c r="E40" s="106" t="s">
        <v>23</v>
      </c>
      <c r="F40" s="106" t="s">
        <v>44</v>
      </c>
      <c r="G40" s="106" t="s">
        <v>740</v>
      </c>
      <c r="H40" s="106" t="s">
        <v>63</v>
      </c>
      <c r="I40" s="126">
        <f>COUNTIF(C40:H48,"* ضد *")</f>
        <v>24</v>
      </c>
      <c r="J40" s="124">
        <f>COUNTIF(C40:E48,"* ضد *")*2/6</f>
        <v>4</v>
      </c>
      <c r="K40" s="124">
        <f>COUNTIF(F40:H48,"* ضد *")*2/6</f>
        <v>4</v>
      </c>
      <c r="L40" s="101"/>
      <c r="M40" s="107" t="str">
        <f t="shared" si="0"/>
        <v>2 ضد 3 6 ضد 4 1 ضد 5 8 ضد 9 12 ضد 10 7 ضد 11</v>
      </c>
      <c r="N40" s="101"/>
      <c r="O40" s="101"/>
      <c r="P40" s="101"/>
      <c r="Q40" s="101"/>
      <c r="R40" s="101"/>
      <c r="S40" s="101"/>
      <c r="T40" s="101"/>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row>
    <row r="41" spans="1:52" ht="14.5" customHeight="1">
      <c r="A41" s="125"/>
      <c r="B41" s="105" t="str">
        <f>MOD(HOUR(([2]المدخلات!$B$4+1*[2]المدخلات!$B$5/1440))-1,12)+1&amp;":"&amp;TEXT(MINUTE(([2]المدخلات!$B$4+1*[2]المدخلات!$B$5/1440)),"00")&amp;"–"&amp;MOD(HOUR(([2]المدخلات!$B$4+1*[2]المدخلات!$B$5/1440+[2]المدخلات!$B$5/1440))-1,12)+1&amp;":"&amp;TEXT(MINUTE(([2]المدخلات!$B$4+1*[2]المدخلات!$B$5/1440+[2]المدخلات!$B$5/1440)),"00")&amp;IF(HOUR(([2]المدخلات!$B$4+1*[2]المدخلات!$B$5/1440))&lt;12," ص"," م")</f>
        <v>4:15–4:30 م</v>
      </c>
      <c r="C41" s="123" t="s">
        <v>738</v>
      </c>
      <c r="D41" s="124"/>
      <c r="E41" s="124"/>
      <c r="F41" s="123" t="s">
        <v>738</v>
      </c>
      <c r="G41" s="124"/>
      <c r="H41" s="124"/>
      <c r="I41" s="124"/>
      <c r="J41" s="124"/>
      <c r="K41" s="124"/>
      <c r="L41" s="101"/>
      <c r="M41" s="107" t="str">
        <f t="shared" si="0"/>
        <v>استراحة (لا توجد مباريات) استراحة (لا توجد مباريات)</v>
      </c>
      <c r="N41" s="101"/>
      <c r="O41" s="101"/>
      <c r="P41" s="101"/>
      <c r="Q41" s="101"/>
      <c r="R41" s="101"/>
      <c r="S41" s="101"/>
      <c r="T41" s="101"/>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row>
    <row r="42" spans="1:52" ht="14.5" customHeight="1">
      <c r="A42" s="125"/>
      <c r="B42" s="105" t="str">
        <f>MOD(HOUR(([2]المدخلات!$B$4+2*[2]المدخلات!$B$5/1440))-1,12)+1&amp;":"&amp;TEXT(MINUTE(([2]المدخلات!$B$4+2*[2]المدخلات!$B$5/1440)),"00")&amp;"–"&amp;MOD(HOUR(([2]المدخلات!$B$4+2*[2]المدخلات!$B$5/1440+[2]المدخلات!$B$5/1440))-1,12)+1&amp;":"&amp;TEXT(MINUTE(([2]المدخلات!$B$4+2*[2]المدخلات!$B$5/1440+[2]المدخلات!$B$5/1440)),"00")&amp;IF(HOUR(([2]المدخلات!$B$4+2*[2]المدخلات!$B$5/1440))&lt;12," ص"," م")</f>
        <v>4:30–4:45 م</v>
      </c>
      <c r="C42" s="106" t="s">
        <v>21</v>
      </c>
      <c r="D42" s="106" t="s">
        <v>741</v>
      </c>
      <c r="E42" s="106" t="s">
        <v>742</v>
      </c>
      <c r="F42" s="106" t="s">
        <v>52</v>
      </c>
      <c r="G42" s="106" t="s">
        <v>743</v>
      </c>
      <c r="H42" s="106" t="s">
        <v>744</v>
      </c>
      <c r="I42" s="124"/>
      <c r="J42" s="124"/>
      <c r="K42" s="124"/>
      <c r="L42" s="101"/>
      <c r="M42" s="107" t="str">
        <f t="shared" si="0"/>
        <v>1 ضد 4 5 ضد 3 6 ضد 2 7 ضد 10 11 ضد 9 12 ضد 8</v>
      </c>
      <c r="N42" s="101"/>
      <c r="O42" s="101"/>
      <c r="P42" s="101"/>
      <c r="Q42" s="101"/>
      <c r="R42" s="101"/>
      <c r="S42" s="101"/>
      <c r="T42" s="101"/>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row>
    <row r="43" spans="1:52" ht="14.5" customHeight="1">
      <c r="A43" s="125"/>
      <c r="B43" s="105" t="str">
        <f>MOD(HOUR(([2]المدخلات!$B$4+3*[2]المدخلات!$B$5/1440))-1,12)+1&amp;":"&amp;TEXT(MINUTE(([2]المدخلات!$B$4+3*[2]المدخلات!$B$5/1440)),"00")&amp;"–"&amp;MOD(HOUR(([2]المدخلات!$B$4+3*[2]المدخلات!$B$5/1440+[2]المدخلات!$B$5/1440))-1,12)+1&amp;":"&amp;TEXT(MINUTE(([2]المدخلات!$B$4+3*[2]المدخلات!$B$5/1440+[2]المدخلات!$B$5/1440)),"00")&amp;IF(HOUR(([2]المدخلات!$B$4+3*[2]المدخلات!$B$5/1440))&lt;12," ص"," م")</f>
        <v>4:45–5:00 م</v>
      </c>
      <c r="C43" s="123" t="s">
        <v>738</v>
      </c>
      <c r="D43" s="124"/>
      <c r="E43" s="124"/>
      <c r="F43" s="123" t="s">
        <v>738</v>
      </c>
      <c r="G43" s="124"/>
      <c r="H43" s="124"/>
      <c r="I43" s="124"/>
      <c r="J43" s="124"/>
      <c r="K43" s="124"/>
      <c r="L43" s="101"/>
      <c r="M43" s="107" t="str">
        <f t="shared" si="0"/>
        <v>استراحة (لا توجد مباريات) استراحة (لا توجد مباريات)</v>
      </c>
      <c r="N43" s="101"/>
      <c r="O43" s="101"/>
      <c r="P43" s="101"/>
      <c r="Q43" s="101"/>
      <c r="R43" s="101"/>
      <c r="S43" s="101"/>
      <c r="T43" s="101"/>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row>
    <row r="44" spans="1:52" ht="14.5" customHeight="1">
      <c r="A44" s="125"/>
      <c r="B44" s="105" t="str">
        <f>MOD(HOUR(([2]المدخلات!$B$4+4*[2]المدخلات!$B$5/1440))-1,12)+1&amp;":"&amp;TEXT(MINUTE(([2]المدخلات!$B$4+4*[2]المدخلات!$B$5/1440)),"00")&amp;"–"&amp;MOD(HOUR(([2]المدخلات!$B$4+4*[2]المدخلات!$B$5/1440+[2]المدخلات!$B$5/1440))-1,12)+1&amp;":"&amp;TEXT(MINUTE(([2]المدخلات!$B$4+4*[2]المدخلات!$B$5/1440+[2]المدخلات!$B$5/1440)),"00")&amp;IF(HOUR(([2]المدخلات!$B$4+4*[2]المدخلات!$B$5/1440))&lt;12," ص"," م")</f>
        <v>5:00–5:15 م</v>
      </c>
      <c r="C44" s="106" t="s">
        <v>11</v>
      </c>
      <c r="D44" s="106" t="s">
        <v>745</v>
      </c>
      <c r="E44" s="106" t="s">
        <v>19</v>
      </c>
      <c r="F44" s="106" t="s">
        <v>45</v>
      </c>
      <c r="G44" s="106" t="s">
        <v>746</v>
      </c>
      <c r="H44" s="106" t="s">
        <v>75</v>
      </c>
      <c r="I44" s="124"/>
      <c r="J44" s="124"/>
      <c r="K44" s="124"/>
      <c r="L44" s="101"/>
      <c r="M44" s="107" t="str">
        <f t="shared" si="0"/>
        <v>1 ضد 3 4 ضد 2 5 ضد 6 7 ضد 9 10 ضد 8 11 ضد 12</v>
      </c>
      <c r="N44" s="101"/>
      <c r="O44" s="101"/>
      <c r="P44" s="101"/>
      <c r="Q44" s="101"/>
      <c r="R44" s="101"/>
      <c r="S44" s="101"/>
      <c r="T44" s="101"/>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row>
    <row r="45" spans="1:52" ht="14.5" customHeight="1">
      <c r="A45" s="125"/>
      <c r="B45" s="105" t="str">
        <f>MOD(HOUR(([2]المدخلات!$B$4+5*[2]المدخلات!$B$5/1440))-1,12)+1&amp;":"&amp;TEXT(MINUTE(([2]المدخلات!$B$4+5*[2]المدخلات!$B$5/1440)),"00")&amp;"–"&amp;MOD(HOUR(([2]المدخلات!$B$4+5*[2]المدخلات!$B$5/1440+[2]المدخلات!$B$5/1440))-1,12)+1&amp;":"&amp;TEXT(MINUTE(([2]المدخلات!$B$4+5*[2]المدخلات!$B$5/1440+[2]المدخلات!$B$5/1440)),"00")&amp;IF(HOUR(([2]المدخلات!$B$4+5*[2]المدخلات!$B$5/1440))&lt;12," ص"," م")</f>
        <v>5:15–5:30 م</v>
      </c>
      <c r="C45" s="123" t="s">
        <v>738</v>
      </c>
      <c r="D45" s="124"/>
      <c r="E45" s="124"/>
      <c r="F45" s="123" t="s">
        <v>738</v>
      </c>
      <c r="G45" s="124"/>
      <c r="H45" s="124"/>
      <c r="I45" s="124"/>
      <c r="J45" s="124"/>
      <c r="K45" s="124"/>
      <c r="L45" s="101"/>
      <c r="M45" s="107" t="str">
        <f t="shared" si="0"/>
        <v>استراحة (لا توجد مباريات) استراحة (لا توجد مباريات)</v>
      </c>
      <c r="N45" s="101"/>
      <c r="O45" s="101"/>
      <c r="P45" s="101"/>
      <c r="Q45" s="101"/>
      <c r="R45" s="101"/>
      <c r="S45" s="101"/>
      <c r="T45" s="101"/>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row>
    <row r="46" spans="1:52" ht="14.5" customHeight="1">
      <c r="A46" s="125"/>
      <c r="B46" s="105" t="str">
        <f>MOD(HOUR(([2]المدخلات!$B$4+6*[2]المدخلات!$B$5/1440))-1,12)+1&amp;":"&amp;TEXT(MINUTE(([2]المدخلات!$B$4+6*[2]المدخلات!$B$5/1440)),"00")&amp;"–"&amp;MOD(HOUR(([2]المدخلات!$B$4+6*[2]المدخلات!$B$5/1440+[2]المدخلات!$B$5/1440))-1,12)+1&amp;":"&amp;TEXT(MINUTE(([2]المدخلات!$B$4+6*[2]المدخلات!$B$5/1440+[2]المدخلات!$B$5/1440)),"00")&amp;IF(HOUR(([2]المدخلات!$B$4+6*[2]المدخلات!$B$5/1440))&lt;12," ص"," م")</f>
        <v>5:30–5:45 م</v>
      </c>
      <c r="C46" s="106" t="s">
        <v>13</v>
      </c>
      <c r="D46" s="106" t="s">
        <v>15</v>
      </c>
      <c r="E46" s="106" t="s">
        <v>14</v>
      </c>
      <c r="F46" s="106" t="s">
        <v>59</v>
      </c>
      <c r="G46" s="106" t="s">
        <v>70</v>
      </c>
      <c r="H46" s="106" t="s">
        <v>33</v>
      </c>
      <c r="I46" s="124"/>
      <c r="J46" s="124"/>
      <c r="K46" s="124"/>
      <c r="L46" s="101"/>
      <c r="M46" s="107" t="str">
        <f t="shared" si="0"/>
        <v>4 ضد 5 3 ضد 6 1 ضد 2 10 ضد 11 9 ضد 12 7 ضد 8</v>
      </c>
      <c r="N46" s="101"/>
      <c r="O46" s="101"/>
      <c r="P46" s="101"/>
      <c r="Q46" s="101"/>
      <c r="R46" s="101"/>
      <c r="S46" s="101"/>
      <c r="T46" s="101"/>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row>
    <row r="47" spans="1:52" ht="14.5" customHeight="1">
      <c r="A47" s="125"/>
      <c r="B47" s="105" t="str">
        <f>MOD(HOUR(([2]المدخلات!$B$4+7*[2]المدخلات!$B$5/1440))-1,12)+1&amp;":"&amp;TEXT(MINUTE(([2]المدخلات!$B$4+7*[2]المدخلات!$B$5/1440)),"00")&amp;"–"&amp;MOD(HOUR(([2]المدخلات!$B$4+7*[2]المدخلات!$B$5/1440+[2]المدخلات!$B$5/1440))-1,12)+1&amp;":"&amp;TEXT(MINUTE(([2]المدخلات!$B$4+7*[2]المدخلات!$B$5/1440+[2]المدخلات!$B$5/1440)),"00")&amp;IF(HOUR(([2]المدخلات!$B$4+7*[2]المدخلات!$B$5/1440))&lt;12," ص"," م")</f>
        <v>5:45–6:00 م</v>
      </c>
      <c r="C47" s="106"/>
      <c r="D47" s="106"/>
      <c r="E47" s="106"/>
      <c r="F47" s="106"/>
      <c r="G47" s="106"/>
      <c r="H47" s="106"/>
      <c r="I47" s="124"/>
      <c r="J47" s="124"/>
      <c r="K47" s="124"/>
      <c r="L47" s="101"/>
      <c r="M47" s="107" t="str">
        <f t="shared" si="0"/>
        <v/>
      </c>
      <c r="N47" s="101"/>
      <c r="O47" s="101"/>
      <c r="P47" s="101"/>
      <c r="Q47" s="101"/>
      <c r="R47" s="101"/>
      <c r="S47" s="101"/>
      <c r="T47" s="101"/>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row>
    <row r="48" spans="1:52" ht="14.5" customHeight="1">
      <c r="A48" s="125"/>
      <c r="B48" s="105" t="str">
        <f>MOD(HOUR(([2]المدخلات!$B$4+8*[2]المدخلات!$B$5/1440))-1,12)+1&amp;":"&amp;TEXT(MINUTE(([2]المدخلات!$B$4+8*[2]المدخلات!$B$5/1440)),"00")&amp;"–"&amp;MOD(HOUR(([2]المدخلات!$B$4+8*[2]المدخلات!$B$5/1440+[2]المدخلات!$B$5/1440))-1,12)+1&amp;":"&amp;TEXT(MINUTE(([2]المدخلات!$B$4+8*[2]المدخلات!$B$5/1440+[2]المدخلات!$B$5/1440)),"00")&amp;IF(HOUR(([2]المدخلات!$B$4+8*[2]المدخلات!$B$5/1440))&lt;12," ص"," م")</f>
        <v>6:00–6:15 م</v>
      </c>
      <c r="C48" s="106"/>
      <c r="D48" s="106"/>
      <c r="E48" s="106"/>
      <c r="F48" s="106"/>
      <c r="G48" s="106"/>
      <c r="H48" s="106"/>
      <c r="I48" s="124"/>
      <c r="J48" s="124"/>
      <c r="K48" s="124"/>
      <c r="L48" s="101"/>
      <c r="M48" s="107" t="str">
        <f t="shared" si="0"/>
        <v/>
      </c>
      <c r="N48" s="101"/>
      <c r="O48" s="101"/>
      <c r="P48" s="101"/>
      <c r="Q48" s="101"/>
      <c r="R48" s="101"/>
      <c r="S48" s="101"/>
      <c r="T48" s="101"/>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row>
    <row r="49" spans="1:52" ht="14.5" customHeight="1">
      <c r="A49" s="125" t="s">
        <v>752</v>
      </c>
      <c r="B49" s="105" t="str">
        <f>MOD(HOUR(([2]المدخلات!$B$4+0*[2]المدخلات!$B$5/1440))-1,12)+1&amp;":"&amp;TEXT(MINUTE(([2]المدخلات!$B$4+0*[2]المدخلات!$B$5/1440)),"00")&amp;"–"&amp;MOD(HOUR(([2]المدخلات!$B$4+0*[2]المدخلات!$B$5/1440+[2]المدخلات!$B$5/1440))-1,12)+1&amp;":"&amp;TEXT(MINUTE(([2]المدخلات!$B$4+0*[2]المدخلات!$B$5/1440+[2]المدخلات!$B$5/1440)),"00")&amp;IF(HOUR(([2]المدخلات!$B$4+0*[2]المدخلات!$B$5/1440))&lt;12," ص"," م")</f>
        <v>4:00–4:15 م</v>
      </c>
      <c r="C49" s="106" t="s">
        <v>10</v>
      </c>
      <c r="D49" s="106" t="s">
        <v>18</v>
      </c>
      <c r="E49" s="106" t="s">
        <v>22</v>
      </c>
      <c r="F49" s="106" t="s">
        <v>56</v>
      </c>
      <c r="G49" s="106" t="s">
        <v>66</v>
      </c>
      <c r="H49" s="106" t="s">
        <v>49</v>
      </c>
      <c r="I49" s="126">
        <f>COUNTIF(C49:H57,"* ضد *")</f>
        <v>30</v>
      </c>
      <c r="J49" s="124">
        <f>COUNTIF(C49:E57,"* ضد *")*2/6</f>
        <v>5</v>
      </c>
      <c r="K49" s="124">
        <f>COUNTIF(F49:H57,"* ضد *")*2/6</f>
        <v>5</v>
      </c>
      <c r="L49" s="101"/>
      <c r="M49" s="107" t="str">
        <f t="shared" si="0"/>
        <v>2 ضد 5 1 ضد 6 3 ضد 4 8 ضد 11 7 ضد 12 9 ضد 10</v>
      </c>
      <c r="N49" s="101"/>
      <c r="O49" s="101"/>
      <c r="P49" s="101"/>
      <c r="Q49" s="101"/>
      <c r="R49" s="101"/>
      <c r="S49" s="101"/>
      <c r="T49" s="101"/>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row>
    <row r="50" spans="1:52" ht="14.5" customHeight="1">
      <c r="A50" s="125"/>
      <c r="B50" s="105" t="str">
        <f>MOD(HOUR(([2]المدخلات!$B$4+1*[2]المدخلات!$B$5/1440))-1,12)+1&amp;":"&amp;TEXT(MINUTE(([2]المدخلات!$B$4+1*[2]المدخلات!$B$5/1440)),"00")&amp;"–"&amp;MOD(HOUR(([2]المدخلات!$B$4+1*[2]المدخلات!$B$5/1440+[2]المدخلات!$B$5/1440))-1,12)+1&amp;":"&amp;TEXT(MINUTE(([2]المدخلات!$B$4+1*[2]المدخلات!$B$5/1440+[2]المدخلات!$B$5/1440)),"00")&amp;IF(HOUR(([2]المدخلات!$B$4+1*[2]المدخلات!$B$5/1440))&lt;12," ص"," م")</f>
        <v>4:15–4:30 م</v>
      </c>
      <c r="C50" s="123" t="s">
        <v>738</v>
      </c>
      <c r="D50" s="124"/>
      <c r="E50" s="124"/>
      <c r="F50" s="123" t="s">
        <v>738</v>
      </c>
      <c r="G50" s="124"/>
      <c r="H50" s="124"/>
      <c r="I50" s="124"/>
      <c r="J50" s="124"/>
      <c r="K50" s="124"/>
      <c r="L50" s="101"/>
      <c r="M50" s="107" t="str">
        <f t="shared" si="0"/>
        <v>استراحة (لا توجد مباريات) استراحة (لا توجد مباريات)</v>
      </c>
      <c r="N50" s="101"/>
      <c r="O50" s="101"/>
      <c r="P50" s="101"/>
      <c r="Q50" s="101"/>
      <c r="R50" s="101"/>
      <c r="S50" s="101"/>
      <c r="T50" s="101"/>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row>
    <row r="51" spans="1:52" ht="14.5" customHeight="1">
      <c r="A51" s="125"/>
      <c r="B51" s="105" t="str">
        <f>MOD(HOUR(([2]المدخلات!$B$4+2*[2]المدخلات!$B$5/1440))-1,12)+1&amp;":"&amp;TEXT(MINUTE(([2]المدخلات!$B$4+2*[2]المدخلات!$B$5/1440)),"00")&amp;"–"&amp;MOD(HOUR(([2]المدخلات!$B$4+2*[2]المدخلات!$B$5/1440+[2]المدخلات!$B$5/1440))-1,12)+1&amp;":"&amp;TEXT(MINUTE(([2]المدخلات!$B$4+2*[2]المدخلات!$B$5/1440+[2]المدخلات!$B$5/1440)),"00")&amp;IF(HOUR(([2]المدخلات!$B$4+2*[2]المدخلات!$B$5/1440))&lt;12," ص"," م")</f>
        <v>4:30–4:45 م</v>
      </c>
      <c r="C51" s="106" t="s">
        <v>739</v>
      </c>
      <c r="D51" s="106" t="s">
        <v>23</v>
      </c>
      <c r="E51" s="106" t="s">
        <v>20</v>
      </c>
      <c r="F51" s="106" t="s">
        <v>740</v>
      </c>
      <c r="G51" s="106" t="s">
        <v>63</v>
      </c>
      <c r="H51" s="106" t="s">
        <v>44</v>
      </c>
      <c r="I51" s="124"/>
      <c r="J51" s="124"/>
      <c r="K51" s="124"/>
      <c r="L51" s="101"/>
      <c r="M51" s="107" t="str">
        <f t="shared" si="0"/>
        <v>6 ضد 4 1 ضد 5 2 ضد 3 12 ضد 10 7 ضد 11 8 ضد 9</v>
      </c>
      <c r="N51" s="101"/>
      <c r="O51" s="101"/>
      <c r="P51" s="101"/>
      <c r="Q51" s="101"/>
      <c r="R51" s="101"/>
      <c r="S51" s="101"/>
      <c r="T51" s="101"/>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row>
    <row r="52" spans="1:52" ht="14.5" customHeight="1">
      <c r="A52" s="125"/>
      <c r="B52" s="105" t="str">
        <f>MOD(HOUR(([2]المدخلات!$B$4+3*[2]المدخلات!$B$5/1440))-1,12)+1&amp;":"&amp;TEXT(MINUTE(([2]المدخلات!$B$4+3*[2]المدخلات!$B$5/1440)),"00")&amp;"–"&amp;MOD(HOUR(([2]المدخلات!$B$4+3*[2]المدخلات!$B$5/1440+[2]المدخلات!$B$5/1440))-1,12)+1&amp;":"&amp;TEXT(MINUTE(([2]المدخلات!$B$4+3*[2]المدخلات!$B$5/1440+[2]المدخلات!$B$5/1440)),"00")&amp;IF(HOUR(([2]المدخلات!$B$4+3*[2]المدخلات!$B$5/1440))&lt;12," ص"," م")</f>
        <v>4:45–5:00 م</v>
      </c>
      <c r="C52" s="123" t="s">
        <v>738</v>
      </c>
      <c r="D52" s="124"/>
      <c r="E52" s="124"/>
      <c r="F52" s="123" t="s">
        <v>738</v>
      </c>
      <c r="G52" s="124"/>
      <c r="H52" s="124"/>
      <c r="I52" s="124"/>
      <c r="J52" s="124"/>
      <c r="K52" s="124"/>
      <c r="L52" s="101"/>
      <c r="M52" s="107" t="str">
        <f t="shared" si="0"/>
        <v>استراحة (لا توجد مباريات) استراحة (لا توجد مباريات)</v>
      </c>
      <c r="N52" s="101"/>
      <c r="O52" s="101"/>
      <c r="P52" s="101"/>
      <c r="Q52" s="101"/>
      <c r="R52" s="101"/>
      <c r="S52" s="101"/>
      <c r="T52" s="101"/>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row>
    <row r="53" spans="1:52" ht="14.5" customHeight="1">
      <c r="A53" s="125"/>
      <c r="B53" s="105" t="str">
        <f>MOD(HOUR(([2]المدخلات!$B$4+4*[2]المدخلات!$B$5/1440))-1,12)+1&amp;":"&amp;TEXT(MINUTE(([2]المدخلات!$B$4+4*[2]المدخلات!$B$5/1440)),"00")&amp;"–"&amp;MOD(HOUR(([2]المدخلات!$B$4+4*[2]المدخلات!$B$5/1440+[2]المدخلات!$B$5/1440))-1,12)+1&amp;":"&amp;TEXT(MINUTE(([2]المدخلات!$B$4+4*[2]المدخلات!$B$5/1440+[2]المدخلات!$B$5/1440)),"00")&amp;IF(HOUR(([2]المدخلات!$B$4+4*[2]المدخلات!$B$5/1440))&lt;12," ص"," م")</f>
        <v>5:00–5:15 م</v>
      </c>
      <c r="C53" s="106" t="s">
        <v>742</v>
      </c>
      <c r="D53" s="106" t="s">
        <v>741</v>
      </c>
      <c r="E53" s="106" t="s">
        <v>21</v>
      </c>
      <c r="F53" s="106" t="s">
        <v>744</v>
      </c>
      <c r="G53" s="106" t="s">
        <v>743</v>
      </c>
      <c r="H53" s="106" t="s">
        <v>52</v>
      </c>
      <c r="I53" s="124"/>
      <c r="J53" s="124"/>
      <c r="K53" s="124"/>
      <c r="L53" s="101"/>
      <c r="M53" s="107" t="str">
        <f t="shared" si="0"/>
        <v>6 ضد 2 5 ضد 3 1 ضد 4 12 ضد 8 11 ضد 9 7 ضد 10</v>
      </c>
      <c r="N53" s="101"/>
      <c r="O53" s="101"/>
      <c r="P53" s="101"/>
      <c r="Q53" s="101"/>
      <c r="R53" s="101"/>
      <c r="S53" s="101"/>
      <c r="T53" s="101"/>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row>
    <row r="54" spans="1:52" ht="14.5" customHeight="1">
      <c r="A54" s="125"/>
      <c r="B54" s="105" t="str">
        <f>MOD(HOUR(([2]المدخلات!$B$4+5*[2]المدخلات!$B$5/1440))-1,12)+1&amp;":"&amp;TEXT(MINUTE(([2]المدخلات!$B$4+5*[2]المدخلات!$B$5/1440)),"00")&amp;"–"&amp;MOD(HOUR(([2]المدخلات!$B$4+5*[2]المدخلات!$B$5/1440+[2]المدخلات!$B$5/1440))-1,12)+1&amp;":"&amp;TEXT(MINUTE(([2]المدخلات!$B$4+5*[2]المدخلات!$B$5/1440+[2]المدخلات!$B$5/1440)),"00")&amp;IF(HOUR(([2]المدخلات!$B$4+5*[2]المدخلات!$B$5/1440))&lt;12," ص"," م")</f>
        <v>5:15–5:30 م</v>
      </c>
      <c r="C54" s="123" t="s">
        <v>738</v>
      </c>
      <c r="D54" s="124"/>
      <c r="E54" s="124"/>
      <c r="F54" s="123" t="s">
        <v>738</v>
      </c>
      <c r="G54" s="124"/>
      <c r="H54" s="124"/>
      <c r="I54" s="124"/>
      <c r="J54" s="124"/>
      <c r="K54" s="124"/>
      <c r="L54" s="101"/>
      <c r="M54" s="107" t="str">
        <f t="shared" si="0"/>
        <v>استراحة (لا توجد مباريات) استراحة (لا توجد مباريات)</v>
      </c>
      <c r="N54" s="101"/>
      <c r="O54" s="101"/>
      <c r="P54" s="101"/>
      <c r="Q54" s="101"/>
      <c r="R54" s="101"/>
      <c r="S54" s="101"/>
      <c r="T54" s="101"/>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row>
    <row r="55" spans="1:52" ht="14.5" customHeight="1">
      <c r="A55" s="125"/>
      <c r="B55" s="105" t="str">
        <f>MOD(HOUR(([2]المدخلات!$B$4+6*[2]المدخلات!$B$5/1440))-1,12)+1&amp;":"&amp;TEXT(MINUTE(([2]المدخلات!$B$4+6*[2]المدخلات!$B$5/1440)),"00")&amp;"–"&amp;MOD(HOUR(([2]المدخلات!$B$4+6*[2]المدخلات!$B$5/1440+[2]المدخلات!$B$5/1440))-1,12)+1&amp;":"&amp;TEXT(MINUTE(([2]المدخلات!$B$4+6*[2]المدخلات!$B$5/1440+[2]المدخلات!$B$5/1440)),"00")&amp;IF(HOUR(([2]المدخلات!$B$4+6*[2]المدخلات!$B$5/1440))&lt;12," ص"," م")</f>
        <v>5:30–5:45 م</v>
      </c>
      <c r="C55" s="106" t="s">
        <v>11</v>
      </c>
      <c r="D55" s="106" t="s">
        <v>745</v>
      </c>
      <c r="E55" s="106" t="s">
        <v>19</v>
      </c>
      <c r="F55" s="106" t="s">
        <v>45</v>
      </c>
      <c r="G55" s="106" t="s">
        <v>746</v>
      </c>
      <c r="H55" s="106" t="s">
        <v>75</v>
      </c>
      <c r="I55" s="124"/>
      <c r="J55" s="124"/>
      <c r="K55" s="124"/>
      <c r="L55" s="101"/>
      <c r="M55" s="107" t="str">
        <f t="shared" si="0"/>
        <v>1 ضد 3 4 ضد 2 5 ضد 6 7 ضد 9 10 ضد 8 11 ضد 12</v>
      </c>
      <c r="N55" s="101"/>
      <c r="O55" s="101"/>
      <c r="P55" s="101"/>
      <c r="Q55" s="101"/>
      <c r="R55" s="101"/>
      <c r="S55" s="101"/>
      <c r="T55" s="101"/>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row>
    <row r="56" spans="1:52" ht="14.5" customHeight="1">
      <c r="A56" s="125"/>
      <c r="B56" s="105" t="str">
        <f>MOD(HOUR(([2]المدخلات!$B$4+7*[2]المدخلات!$B$5/1440))-1,12)+1&amp;":"&amp;TEXT(MINUTE(([2]المدخلات!$B$4+7*[2]المدخلات!$B$5/1440)),"00")&amp;"–"&amp;MOD(HOUR(([2]المدخلات!$B$4+7*[2]المدخلات!$B$5/1440+[2]المدخلات!$B$5/1440))-1,12)+1&amp;":"&amp;TEXT(MINUTE(([2]المدخلات!$B$4+7*[2]المدخلات!$B$5/1440+[2]المدخلات!$B$5/1440)),"00")&amp;IF(HOUR(([2]المدخلات!$B$4+7*[2]المدخلات!$B$5/1440))&lt;12," ص"," م")</f>
        <v>5:45–6:00 م</v>
      </c>
      <c r="C56" s="123" t="s">
        <v>738</v>
      </c>
      <c r="D56" s="124"/>
      <c r="E56" s="124"/>
      <c r="F56" s="123" t="s">
        <v>738</v>
      </c>
      <c r="G56" s="124"/>
      <c r="H56" s="124"/>
      <c r="I56" s="124"/>
      <c r="J56" s="124"/>
      <c r="K56" s="124"/>
      <c r="L56" s="101"/>
      <c r="M56" s="107" t="str">
        <f t="shared" si="0"/>
        <v>استراحة (لا توجد مباريات) استراحة (لا توجد مباريات)</v>
      </c>
      <c r="N56" s="101"/>
      <c r="O56" s="101"/>
      <c r="P56" s="101"/>
      <c r="Q56" s="101"/>
      <c r="R56" s="101"/>
      <c r="S56" s="101"/>
      <c r="T56" s="101"/>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row>
    <row r="57" spans="1:52" ht="14.5" customHeight="1">
      <c r="A57" s="125"/>
      <c r="B57" s="105" t="str">
        <f>MOD(HOUR(([2]المدخلات!$B$4+8*[2]المدخلات!$B$5/1440))-1,12)+1&amp;":"&amp;TEXT(MINUTE(([2]المدخلات!$B$4+8*[2]المدخلات!$B$5/1440)),"00")&amp;"–"&amp;MOD(HOUR(([2]المدخلات!$B$4+8*[2]المدخلات!$B$5/1440+[2]المدخلات!$B$5/1440))-1,12)+1&amp;":"&amp;TEXT(MINUTE(([2]المدخلات!$B$4+8*[2]المدخلات!$B$5/1440+[2]المدخلات!$B$5/1440)),"00")&amp;IF(HOUR(([2]المدخلات!$B$4+8*[2]المدخلات!$B$5/1440))&lt;12," ص"," م")</f>
        <v>6:00–6:15 م</v>
      </c>
      <c r="C57" s="106" t="s">
        <v>14</v>
      </c>
      <c r="D57" s="106" t="s">
        <v>15</v>
      </c>
      <c r="E57" s="106" t="s">
        <v>13</v>
      </c>
      <c r="F57" s="106" t="s">
        <v>33</v>
      </c>
      <c r="G57" s="106" t="s">
        <v>70</v>
      </c>
      <c r="H57" s="106" t="s">
        <v>59</v>
      </c>
      <c r="I57" s="124"/>
      <c r="J57" s="124"/>
      <c r="K57" s="124"/>
      <c r="L57" s="101"/>
      <c r="M57" s="107" t="str">
        <f t="shared" si="0"/>
        <v>1 ضد 2 3 ضد 6 4 ضد 5 7 ضد 8 9 ضد 12 10 ضد 11</v>
      </c>
      <c r="N57" s="101"/>
      <c r="O57" s="101"/>
      <c r="P57" s="101"/>
      <c r="Q57" s="101"/>
      <c r="R57" s="101"/>
      <c r="S57" s="101"/>
      <c r="T57" s="101"/>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row>
    <row r="58" spans="1:52" ht="15" customHeight="1">
      <c r="A58" s="101"/>
      <c r="B58" s="101"/>
      <c r="C58" s="101"/>
      <c r="D58" s="101"/>
      <c r="E58" s="101"/>
      <c r="F58" s="101"/>
      <c r="G58" s="101"/>
      <c r="H58" s="101"/>
      <c r="I58" s="101"/>
      <c r="J58" s="101"/>
      <c r="K58" s="101"/>
      <c r="L58" s="101"/>
      <c r="M58" s="101"/>
      <c r="N58" s="101"/>
      <c r="O58" s="101"/>
      <c r="P58" s="101"/>
      <c r="Q58" s="101"/>
      <c r="R58" s="101"/>
      <c r="S58" s="101"/>
      <c r="T58" s="101"/>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row>
    <row r="59" spans="1:52" ht="15" customHeight="1">
      <c r="A59" s="101"/>
      <c r="B59" s="101"/>
      <c r="C59" s="101"/>
      <c r="D59" s="101"/>
      <c r="E59" s="101"/>
      <c r="F59" s="101"/>
      <c r="G59" s="101"/>
      <c r="H59" s="101"/>
      <c r="I59" s="101"/>
      <c r="J59" s="101"/>
      <c r="K59" s="101"/>
      <c r="L59" s="101"/>
      <c r="M59" s="101"/>
      <c r="N59" s="101"/>
      <c r="O59" s="101"/>
      <c r="P59" s="101"/>
      <c r="Q59" s="101"/>
      <c r="R59" s="101"/>
      <c r="S59" s="101"/>
      <c r="T59" s="101"/>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row>
    <row r="60" spans="1:52" ht="15.5" customHeight="1">
      <c r="A60" s="101"/>
      <c r="B60" s="121" t="s">
        <v>753</v>
      </c>
      <c r="C60" s="121"/>
      <c r="D60" s="121"/>
      <c r="E60" s="121"/>
      <c r="F60" s="121"/>
      <c r="G60" s="121"/>
      <c r="H60" s="121"/>
      <c r="I60" s="121"/>
      <c r="J60" s="121"/>
      <c r="K60" s="121"/>
      <c r="L60" s="121"/>
      <c r="M60" s="121"/>
      <c r="N60" s="121"/>
      <c r="O60" s="101"/>
      <c r="P60" s="101"/>
      <c r="Q60" s="101"/>
      <c r="R60" s="101"/>
      <c r="S60" s="101"/>
      <c r="T60" s="101"/>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row>
    <row r="61" spans="1:52" ht="14.5" customHeight="1">
      <c r="A61" s="101"/>
      <c r="B61" s="111" t="s">
        <v>314</v>
      </c>
      <c r="C61" s="122" t="s">
        <v>754</v>
      </c>
      <c r="D61" s="122"/>
      <c r="E61" s="122"/>
      <c r="F61" s="122" t="s">
        <v>755</v>
      </c>
      <c r="G61" s="122"/>
      <c r="H61" s="101"/>
      <c r="I61" s="111" t="s">
        <v>314</v>
      </c>
      <c r="J61" s="122" t="s">
        <v>756</v>
      </c>
      <c r="K61" s="122"/>
      <c r="L61" s="122"/>
      <c r="M61" s="122" t="s">
        <v>755</v>
      </c>
      <c r="N61" s="122"/>
      <c r="O61" s="101"/>
      <c r="P61" s="101"/>
      <c r="Q61" s="101"/>
      <c r="R61" s="101"/>
      <c r="S61" s="101"/>
      <c r="T61" s="101"/>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row>
    <row r="62" spans="1:52" ht="14.5" customHeight="1">
      <c r="A62" s="101"/>
      <c r="B62" s="108">
        <v>1</v>
      </c>
      <c r="C62" s="120"/>
      <c r="D62" s="120"/>
      <c r="E62" s="120"/>
      <c r="F62" s="120"/>
      <c r="G62" s="120"/>
      <c r="H62" s="101"/>
      <c r="I62" s="108">
        <v>7</v>
      </c>
      <c r="J62" s="120"/>
      <c r="K62" s="120"/>
      <c r="L62" s="120"/>
      <c r="M62" s="120"/>
      <c r="N62" s="120"/>
      <c r="O62" s="101"/>
      <c r="P62" s="101"/>
      <c r="Q62" s="101"/>
      <c r="R62" s="101"/>
      <c r="S62" s="101"/>
      <c r="T62" s="101"/>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row>
    <row r="63" spans="1:52" ht="14.5" customHeight="1">
      <c r="A63" s="101"/>
      <c r="B63" s="108">
        <v>2</v>
      </c>
      <c r="C63" s="120"/>
      <c r="D63" s="120"/>
      <c r="E63" s="120"/>
      <c r="F63" s="120"/>
      <c r="G63" s="120"/>
      <c r="H63" s="101"/>
      <c r="I63" s="108">
        <v>8</v>
      </c>
      <c r="J63" s="120"/>
      <c r="K63" s="120"/>
      <c r="L63" s="120"/>
      <c r="M63" s="120"/>
      <c r="N63" s="120"/>
      <c r="O63" s="101"/>
      <c r="P63" s="101"/>
      <c r="Q63" s="101"/>
      <c r="R63" s="101"/>
      <c r="S63" s="101"/>
      <c r="T63" s="101"/>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row>
    <row r="64" spans="1:52" ht="14.5" customHeight="1">
      <c r="A64" s="101"/>
      <c r="B64" s="108">
        <v>3</v>
      </c>
      <c r="C64" s="120"/>
      <c r="D64" s="120"/>
      <c r="E64" s="120"/>
      <c r="F64" s="120"/>
      <c r="G64" s="120"/>
      <c r="H64" s="101"/>
      <c r="I64" s="108">
        <v>9</v>
      </c>
      <c r="J64" s="120"/>
      <c r="K64" s="120"/>
      <c r="L64" s="120"/>
      <c r="M64" s="120"/>
      <c r="N64" s="120"/>
      <c r="O64" s="101"/>
      <c r="P64" s="101"/>
      <c r="Q64" s="101"/>
      <c r="R64" s="101"/>
      <c r="S64" s="101"/>
      <c r="T64" s="101"/>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row>
    <row r="65" spans="1:52" ht="14.5" customHeight="1">
      <c r="A65" s="101"/>
      <c r="B65" s="108">
        <v>4</v>
      </c>
      <c r="C65" s="120"/>
      <c r="D65" s="120"/>
      <c r="E65" s="120"/>
      <c r="F65" s="120"/>
      <c r="G65" s="120"/>
      <c r="H65" s="101"/>
      <c r="I65" s="108">
        <v>10</v>
      </c>
      <c r="J65" s="120"/>
      <c r="K65" s="120"/>
      <c r="L65" s="120"/>
      <c r="M65" s="120"/>
      <c r="N65" s="120"/>
      <c r="O65" s="101"/>
      <c r="P65" s="101"/>
      <c r="Q65" s="101"/>
      <c r="R65" s="101"/>
      <c r="S65" s="101"/>
      <c r="T65" s="101"/>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row>
    <row r="66" spans="1:52" ht="14.5" customHeight="1">
      <c r="A66" s="101"/>
      <c r="B66" s="108">
        <v>5</v>
      </c>
      <c r="C66" s="120"/>
      <c r="D66" s="120"/>
      <c r="E66" s="120"/>
      <c r="F66" s="120"/>
      <c r="G66" s="120"/>
      <c r="H66" s="101"/>
      <c r="I66" s="108">
        <v>11</v>
      </c>
      <c r="J66" s="120"/>
      <c r="K66" s="120"/>
      <c r="L66" s="120"/>
      <c r="M66" s="120"/>
      <c r="N66" s="120"/>
      <c r="O66" s="101"/>
      <c r="P66" s="101"/>
      <c r="Q66" s="101"/>
      <c r="R66" s="101"/>
      <c r="S66" s="101"/>
      <c r="T66" s="101"/>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row>
    <row r="67" spans="1:52" ht="14.5" customHeight="1">
      <c r="A67" s="101"/>
      <c r="B67" s="108">
        <v>6</v>
      </c>
      <c r="C67" s="120"/>
      <c r="D67" s="120"/>
      <c r="E67" s="120"/>
      <c r="F67" s="120"/>
      <c r="G67" s="120"/>
      <c r="H67" s="101"/>
      <c r="I67" s="108">
        <v>12</v>
      </c>
      <c r="J67" s="120"/>
      <c r="K67" s="120"/>
      <c r="L67" s="120"/>
      <c r="M67" s="120"/>
      <c r="N67" s="120"/>
      <c r="O67" s="101"/>
      <c r="P67" s="101"/>
      <c r="Q67" s="101"/>
      <c r="R67" s="101"/>
      <c r="S67" s="101"/>
      <c r="T67" s="101"/>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row>
    <row r="68" spans="1:52" ht="1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row>
    <row r="69" spans="1:52" ht="1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row>
    <row r="70" spans="1:52" ht="15.5" customHeight="1">
      <c r="A70" s="74"/>
      <c r="B70" s="121" t="s">
        <v>757</v>
      </c>
      <c r="C70" s="121"/>
      <c r="D70" s="121"/>
      <c r="E70" s="121"/>
      <c r="F70" s="121"/>
      <c r="G70" s="121"/>
      <c r="H70" s="121"/>
      <c r="I70" s="121"/>
      <c r="J70" s="121"/>
      <c r="K70" s="121"/>
      <c r="L70" s="121"/>
      <c r="M70" s="121"/>
      <c r="N70" s="121"/>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row>
    <row r="71" spans="1:52" ht="14.5" customHeight="1">
      <c r="A71" s="74"/>
      <c r="B71" s="111" t="s">
        <v>314</v>
      </c>
      <c r="C71" s="122" t="s">
        <v>754</v>
      </c>
      <c r="D71" s="122"/>
      <c r="E71" s="122"/>
      <c r="F71" s="122" t="s">
        <v>755</v>
      </c>
      <c r="G71" s="122"/>
      <c r="H71" s="101"/>
      <c r="I71" s="111" t="s">
        <v>314</v>
      </c>
      <c r="J71" s="122" t="s">
        <v>756</v>
      </c>
      <c r="K71" s="122"/>
      <c r="L71" s="122"/>
      <c r="M71" s="122" t="s">
        <v>755</v>
      </c>
      <c r="N71" s="122"/>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row>
    <row r="72" spans="1:52" ht="14.5" customHeight="1">
      <c r="A72" s="74"/>
      <c r="B72" s="108">
        <v>1</v>
      </c>
      <c r="C72" s="120"/>
      <c r="D72" s="120"/>
      <c r="E72" s="120"/>
      <c r="F72" s="120"/>
      <c r="G72" s="120"/>
      <c r="H72" s="101"/>
      <c r="I72" s="108">
        <v>7</v>
      </c>
      <c r="J72" s="120"/>
      <c r="K72" s="120"/>
      <c r="L72" s="120"/>
      <c r="M72" s="120"/>
      <c r="N72" s="120"/>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row>
    <row r="73" spans="1:52" ht="14.5" customHeight="1">
      <c r="A73" s="74"/>
      <c r="B73" s="108">
        <v>2</v>
      </c>
      <c r="C73" s="120"/>
      <c r="D73" s="120"/>
      <c r="E73" s="120"/>
      <c r="F73" s="120"/>
      <c r="G73" s="120"/>
      <c r="H73" s="101"/>
      <c r="I73" s="108">
        <v>8</v>
      </c>
      <c r="J73" s="120"/>
      <c r="K73" s="120"/>
      <c r="L73" s="120"/>
      <c r="M73" s="120"/>
      <c r="N73" s="120"/>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row>
    <row r="74" spans="1:52" ht="14.5" customHeight="1">
      <c r="A74" s="74"/>
      <c r="B74" s="108">
        <v>3</v>
      </c>
      <c r="C74" s="120"/>
      <c r="D74" s="120"/>
      <c r="E74" s="120"/>
      <c r="F74" s="120"/>
      <c r="G74" s="120"/>
      <c r="H74" s="101"/>
      <c r="I74" s="108">
        <v>9</v>
      </c>
      <c r="J74" s="120"/>
      <c r="K74" s="120"/>
      <c r="L74" s="120"/>
      <c r="M74" s="120"/>
      <c r="N74" s="120"/>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row>
    <row r="75" spans="1:52" ht="14.5" customHeight="1">
      <c r="A75" s="74"/>
      <c r="B75" s="108">
        <v>4</v>
      </c>
      <c r="C75" s="120"/>
      <c r="D75" s="120"/>
      <c r="E75" s="120"/>
      <c r="F75" s="120"/>
      <c r="G75" s="120"/>
      <c r="H75" s="101"/>
      <c r="I75" s="108">
        <v>10</v>
      </c>
      <c r="J75" s="120"/>
      <c r="K75" s="120"/>
      <c r="L75" s="120"/>
      <c r="M75" s="120"/>
      <c r="N75" s="120"/>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row>
    <row r="76" spans="1:52" ht="14.5" customHeight="1">
      <c r="A76" s="74"/>
      <c r="B76" s="108">
        <v>5</v>
      </c>
      <c r="C76" s="120"/>
      <c r="D76" s="120"/>
      <c r="E76" s="120"/>
      <c r="F76" s="120"/>
      <c r="G76" s="120"/>
      <c r="H76" s="101"/>
      <c r="I76" s="108">
        <v>11</v>
      </c>
      <c r="J76" s="120"/>
      <c r="K76" s="120"/>
      <c r="L76" s="120"/>
      <c r="M76" s="120"/>
      <c r="N76" s="120"/>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row>
    <row r="77" spans="1:52" ht="14.5" customHeight="1">
      <c r="A77" s="74"/>
      <c r="B77" s="108">
        <v>6</v>
      </c>
      <c r="C77" s="120"/>
      <c r="D77" s="120"/>
      <c r="E77" s="120"/>
      <c r="F77" s="120"/>
      <c r="G77" s="120"/>
      <c r="H77" s="101"/>
      <c r="I77" s="108">
        <v>12</v>
      </c>
      <c r="J77" s="120"/>
      <c r="K77" s="120"/>
      <c r="L77" s="120"/>
      <c r="M77" s="120"/>
      <c r="N77" s="120"/>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row>
    <row r="78" spans="1:52" ht="1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row>
    <row r="79" spans="1:52" ht="1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row>
    <row r="80" spans="1:52" ht="1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row>
    <row r="81" spans="1:52" ht="1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row>
    <row r="82" spans="1:52" ht="1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row>
    <row r="83" spans="1:52" ht="1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row>
    <row r="84" spans="1:52" ht="1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row>
    <row r="85" spans="1:52" ht="1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row>
    <row r="86" spans="1:52" ht="1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row>
    <row r="87" spans="1:52" ht="1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row>
    <row r="88" spans="1:52" ht="1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row>
    <row r="89" spans="1:52" ht="1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row>
    <row r="90" spans="1:52" ht="1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row>
    <row r="91" spans="1:52" ht="1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row>
    <row r="92" spans="1:52" ht="1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row>
    <row r="93" spans="1:52" ht="1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row>
    <row r="94" spans="1:52" ht="1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row>
    <row r="95" spans="1:52" ht="1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row>
    <row r="96" spans="1:52" ht="1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row>
    <row r="97" spans="1:52" ht="1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row>
    <row r="98" spans="1:52" ht="1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row>
    <row r="99" spans="1:52" ht="1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row>
    <row r="100" spans="1:52" ht="1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row>
    <row r="101" spans="1:52" ht="1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row>
    <row r="102" spans="1:52" ht="1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row>
    <row r="103" spans="1:52" ht="1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row>
    <row r="104" spans="1:52" ht="1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row>
    <row r="105" spans="1:52" ht="1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row>
    <row r="106" spans="1:52" ht="1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row>
    <row r="107" spans="1:52" ht="1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row>
    <row r="108" spans="1:52" ht="1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row>
    <row r="109" spans="1:52" ht="1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row>
    <row r="110" spans="1:52" ht="1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row>
    <row r="111" spans="1:52" ht="1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row>
    <row r="112" spans="1:52" ht="1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row>
    <row r="113" spans="1:52" ht="1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row>
    <row r="114" spans="1:52" ht="1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row>
    <row r="115" spans="1:52" ht="1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row>
    <row r="116" spans="1:52" ht="1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row>
    <row r="117" spans="1:52" ht="1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row>
    <row r="118" spans="1:52" ht="1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row>
    <row r="119" spans="1:52" ht="1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row>
    <row r="120" spans="1:52" ht="1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row>
    <row r="121" spans="1:52" ht="1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row>
    <row r="122" spans="1:52" ht="1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row>
    <row r="123" spans="1:52" ht="1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row>
    <row r="124" spans="1:52" ht="1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row>
    <row r="125" spans="1:52" ht="1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row>
    <row r="126" spans="1:52" ht="1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row>
    <row r="127" spans="1:52" ht="1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row>
    <row r="128" spans="1:52" ht="1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row>
    <row r="129" spans="1:52" ht="1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row>
    <row r="130" spans="1:52" ht="1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row>
    <row r="131" spans="1:52" ht="1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row>
    <row r="132" spans="1:52" ht="1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row>
    <row r="133" spans="1:52" ht="1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row>
    <row r="134" spans="1:52" ht="1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row>
    <row r="135" spans="1:52" ht="1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row>
    <row r="136" spans="1:52" ht="1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row>
    <row r="137" spans="1:52" ht="1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row>
    <row r="138" spans="1:52" ht="1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row>
    <row r="139" spans="1:52" ht="1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row>
    <row r="140" spans="1:52" ht="1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row>
    <row r="141" spans="1:52" ht="1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row>
    <row r="142" spans="1:52" ht="1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row>
    <row r="143" spans="1:52" ht="1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row>
    <row r="144" spans="1:52" ht="1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row>
    <row r="145" spans="1:52" ht="1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row>
    <row r="146" spans="1:52" ht="1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row>
    <row r="147" spans="1:52" ht="1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row>
    <row r="148" spans="1:52" ht="1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row>
    <row r="149" spans="1:52" ht="1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row>
    <row r="150" spans="1:52" ht="1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row>
    <row r="151" spans="1:52" ht="1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row>
    <row r="152" spans="1:52" ht="1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row>
    <row r="153" spans="1:52" ht="1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row>
    <row r="154" spans="1:52" ht="1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row>
    <row r="155" spans="1:52" ht="1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row>
    <row r="156" spans="1:52" ht="1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row>
    <row r="157" spans="1:52" ht="1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row>
    <row r="158" spans="1:52" ht="1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row>
    <row r="159" spans="1:52" ht="1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row>
    <row r="160" spans="1:52" ht="1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row>
    <row r="161" spans="1:52" ht="1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row>
    <row r="162" spans="1:52" ht="1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row>
    <row r="163" spans="1:52" ht="1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row>
    <row r="164" spans="1:52" ht="1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row>
    <row r="165" spans="1:52" ht="1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row>
    <row r="166" spans="1:52" ht="1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row>
    <row r="167" spans="1:52" ht="1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row>
    <row r="168" spans="1:52" ht="1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row>
    <row r="169" spans="1:52" ht="1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row>
    <row r="170" spans="1:52" ht="1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row>
    <row r="171" spans="1:52" ht="1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row>
    <row r="172" spans="1:52" ht="1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row>
    <row r="173" spans="1:52" ht="1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row>
    <row r="174" spans="1:52" ht="1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row>
    <row r="175" spans="1:52" ht="1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row>
    <row r="176" spans="1:52" ht="1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row>
    <row r="177" spans="1:52" ht="1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row>
    <row r="178" spans="1:52" ht="1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row>
    <row r="179" spans="1:52" ht="1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row>
    <row r="180" spans="1:52" ht="1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row>
    <row r="181" spans="1:52" ht="1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row>
    <row r="182" spans="1:52" ht="1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row>
    <row r="183" spans="1:52" ht="1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row>
    <row r="184" spans="1:52" ht="1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row>
    <row r="185" spans="1:52" ht="1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row>
    <row r="186" spans="1:52" ht="1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row>
    <row r="187" spans="1:52" ht="1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row>
    <row r="188" spans="1:52" ht="1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row>
    <row r="189" spans="1:52" ht="1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row>
    <row r="190" spans="1:52" ht="1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row>
    <row r="191" spans="1:52" ht="1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row>
    <row r="192" spans="1:52" ht="1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row>
    <row r="193" spans="1:52" ht="1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row>
    <row r="194" spans="1:52" ht="1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row>
    <row r="195" spans="1:52" ht="1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row>
    <row r="196" spans="1:52" ht="1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row>
    <row r="197" spans="1:52" ht="1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row>
    <row r="198" spans="1:52" ht="1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row>
    <row r="199" spans="1:52" ht="1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row>
    <row r="200" spans="1:52" ht="1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row>
  </sheetData>
  <mergeCells count="121">
    <mergeCell ref="A1:K1"/>
    <mergeCell ref="A4:A12"/>
    <mergeCell ref="I4:I12"/>
    <mergeCell ref="J4:J12"/>
    <mergeCell ref="K4:K12"/>
    <mergeCell ref="C5:E5"/>
    <mergeCell ref="F5:H5"/>
    <mergeCell ref="C7:E7"/>
    <mergeCell ref="F7:H7"/>
    <mergeCell ref="C9:E9"/>
    <mergeCell ref="F9:H9"/>
    <mergeCell ref="A13:A21"/>
    <mergeCell ref="I13:I21"/>
    <mergeCell ref="J13:J21"/>
    <mergeCell ref="K13:K21"/>
    <mergeCell ref="C14:E14"/>
    <mergeCell ref="F14:H14"/>
    <mergeCell ref="C16:E16"/>
    <mergeCell ref="F16:H16"/>
    <mergeCell ref="C18:E18"/>
    <mergeCell ref="F18:H18"/>
    <mergeCell ref="A22:A30"/>
    <mergeCell ref="I22:I30"/>
    <mergeCell ref="J22:J30"/>
    <mergeCell ref="K22:K30"/>
    <mergeCell ref="C23:E23"/>
    <mergeCell ref="F23:H23"/>
    <mergeCell ref="C25:E25"/>
    <mergeCell ref="F25:H25"/>
    <mergeCell ref="C27:E27"/>
    <mergeCell ref="F27:H27"/>
    <mergeCell ref="A31:A39"/>
    <mergeCell ref="I31:I39"/>
    <mergeCell ref="J31:J39"/>
    <mergeCell ref="K31:K39"/>
    <mergeCell ref="C32:E32"/>
    <mergeCell ref="F32:H32"/>
    <mergeCell ref="C34:E34"/>
    <mergeCell ref="F34:H34"/>
    <mergeCell ref="C36:E36"/>
    <mergeCell ref="F36:H36"/>
    <mergeCell ref="A40:A48"/>
    <mergeCell ref="I40:I48"/>
    <mergeCell ref="J40:J48"/>
    <mergeCell ref="K40:K48"/>
    <mergeCell ref="C41:E41"/>
    <mergeCell ref="F41:H41"/>
    <mergeCell ref="C43:E43"/>
    <mergeCell ref="F43:H43"/>
    <mergeCell ref="C45:E45"/>
    <mergeCell ref="F45:H45"/>
    <mergeCell ref="A49:A57"/>
    <mergeCell ref="I49:I57"/>
    <mergeCell ref="J49:J57"/>
    <mergeCell ref="K49:K57"/>
    <mergeCell ref="C50:E50"/>
    <mergeCell ref="F50:H50"/>
    <mergeCell ref="C52:E52"/>
    <mergeCell ref="F52:H52"/>
    <mergeCell ref="C54:E54"/>
    <mergeCell ref="C62:E62"/>
    <mergeCell ref="F62:G62"/>
    <mergeCell ref="J62:L62"/>
    <mergeCell ref="M62:N62"/>
    <mergeCell ref="C63:E63"/>
    <mergeCell ref="F63:G63"/>
    <mergeCell ref="J63:L63"/>
    <mergeCell ref="M63:N63"/>
    <mergeCell ref="F54:H54"/>
    <mergeCell ref="C56:E56"/>
    <mergeCell ref="F56:H56"/>
    <mergeCell ref="B60:N60"/>
    <mergeCell ref="C61:E61"/>
    <mergeCell ref="F61:G61"/>
    <mergeCell ref="J61:L61"/>
    <mergeCell ref="M61:N61"/>
    <mergeCell ref="C66:E66"/>
    <mergeCell ref="F66:G66"/>
    <mergeCell ref="J66:L66"/>
    <mergeCell ref="M66:N66"/>
    <mergeCell ref="C67:E67"/>
    <mergeCell ref="F67:G67"/>
    <mergeCell ref="J67:L67"/>
    <mergeCell ref="M67:N67"/>
    <mergeCell ref="C64:E64"/>
    <mergeCell ref="F64:G64"/>
    <mergeCell ref="J64:L64"/>
    <mergeCell ref="M64:N64"/>
    <mergeCell ref="C65:E65"/>
    <mergeCell ref="F65:G65"/>
    <mergeCell ref="J65:L65"/>
    <mergeCell ref="M65:N65"/>
    <mergeCell ref="C73:E73"/>
    <mergeCell ref="F73:G73"/>
    <mergeCell ref="J73:L73"/>
    <mergeCell ref="M73:N73"/>
    <mergeCell ref="C74:E74"/>
    <mergeCell ref="F74:G74"/>
    <mergeCell ref="J74:L74"/>
    <mergeCell ref="M74:N74"/>
    <mergeCell ref="B70:N70"/>
    <mergeCell ref="C71:E71"/>
    <mergeCell ref="F71:G71"/>
    <mergeCell ref="J71:L71"/>
    <mergeCell ref="M71:N71"/>
    <mergeCell ref="C72:E72"/>
    <mergeCell ref="F72:G72"/>
    <mergeCell ref="J72:L72"/>
    <mergeCell ref="M72:N72"/>
    <mergeCell ref="C77:E77"/>
    <mergeCell ref="F77:G77"/>
    <mergeCell ref="J77:L77"/>
    <mergeCell ref="M77:N77"/>
    <mergeCell ref="C75:E75"/>
    <mergeCell ref="F75:G75"/>
    <mergeCell ref="J75:L75"/>
    <mergeCell ref="M75:N75"/>
    <mergeCell ref="C76:E76"/>
    <mergeCell ref="F76:G76"/>
    <mergeCell ref="J76:L76"/>
    <mergeCell ref="M76:N7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FCB2-010B-48FF-B374-EA45FB040532}">
  <dimension ref="B2:F185"/>
  <sheetViews>
    <sheetView rightToLeft="1" workbookViewId="0">
      <selection activeCell="G1" sqref="G1:G1048576"/>
    </sheetView>
  </sheetViews>
  <sheetFormatPr defaultRowHeight="14"/>
  <cols>
    <col min="1" max="16384" width="8.6640625" style="53"/>
  </cols>
  <sheetData>
    <row r="2" spans="2:6">
      <c r="B2" s="53" t="s">
        <v>558</v>
      </c>
      <c r="C2" s="53" t="s">
        <v>559</v>
      </c>
      <c r="D2" s="53">
        <v>1</v>
      </c>
      <c r="E2" s="53" t="s">
        <v>560</v>
      </c>
      <c r="F2" s="53">
        <v>5</v>
      </c>
    </row>
    <row r="3" spans="2:6">
      <c r="B3" s="53" t="s">
        <v>561</v>
      </c>
      <c r="C3" s="53" t="s">
        <v>562</v>
      </c>
      <c r="D3" s="53">
        <v>1</v>
      </c>
      <c r="E3" s="53" t="s">
        <v>563</v>
      </c>
      <c r="F3" s="53">
        <v>5</v>
      </c>
    </row>
    <row r="4" spans="2:6">
      <c r="B4" s="53" t="s">
        <v>564</v>
      </c>
      <c r="C4" s="53" t="s">
        <v>562</v>
      </c>
      <c r="D4" s="53">
        <v>1</v>
      </c>
      <c r="E4" s="53" t="s">
        <v>563</v>
      </c>
      <c r="F4" s="53">
        <v>5</v>
      </c>
    </row>
    <row r="5" spans="2:6">
      <c r="B5" s="53" t="s">
        <v>565</v>
      </c>
      <c r="C5" s="53" t="s">
        <v>566</v>
      </c>
      <c r="D5" s="53">
        <v>1</v>
      </c>
      <c r="E5" s="53" t="s">
        <v>567</v>
      </c>
      <c r="F5" s="53">
        <v>5</v>
      </c>
    </row>
    <row r="6" spans="2:6">
      <c r="B6" s="53" t="s">
        <v>568</v>
      </c>
      <c r="C6" s="53" t="s">
        <v>562</v>
      </c>
      <c r="D6" s="53">
        <v>1</v>
      </c>
      <c r="E6" s="53" t="s">
        <v>563</v>
      </c>
      <c r="F6" s="53">
        <v>5</v>
      </c>
    </row>
    <row r="7" spans="2:6">
      <c r="B7" s="53" t="s">
        <v>558</v>
      </c>
      <c r="C7" s="53" t="s">
        <v>562</v>
      </c>
      <c r="D7" s="53">
        <v>1</v>
      </c>
      <c r="E7" s="53" t="s">
        <v>563</v>
      </c>
      <c r="F7" s="53">
        <v>5</v>
      </c>
    </row>
    <row r="8" spans="2:6">
      <c r="B8" s="53" t="s">
        <v>564</v>
      </c>
      <c r="C8" s="53" t="s">
        <v>569</v>
      </c>
      <c r="D8" s="53">
        <v>1</v>
      </c>
      <c r="E8" s="53" t="s">
        <v>570</v>
      </c>
      <c r="F8" s="53">
        <v>5</v>
      </c>
    </row>
    <row r="9" spans="2:6">
      <c r="B9" s="53" t="s">
        <v>565</v>
      </c>
      <c r="C9" s="53" t="s">
        <v>569</v>
      </c>
      <c r="D9" s="53">
        <v>1</v>
      </c>
      <c r="E9" s="53" t="s">
        <v>570</v>
      </c>
      <c r="F9" s="53">
        <v>5</v>
      </c>
    </row>
    <row r="10" spans="2:6">
      <c r="B10" s="53" t="s">
        <v>565</v>
      </c>
      <c r="C10" s="53" t="s">
        <v>571</v>
      </c>
      <c r="D10" s="53">
        <v>1</v>
      </c>
      <c r="E10" s="53" t="s">
        <v>572</v>
      </c>
      <c r="F10" s="53">
        <v>5</v>
      </c>
    </row>
    <row r="11" spans="2:6">
      <c r="B11" s="53" t="s">
        <v>573</v>
      </c>
      <c r="C11" s="53" t="s">
        <v>574</v>
      </c>
      <c r="D11" s="53">
        <v>1</v>
      </c>
      <c r="E11" s="53" t="s">
        <v>575</v>
      </c>
      <c r="F11" s="53">
        <v>5</v>
      </c>
    </row>
    <row r="12" spans="2:6">
      <c r="B12" s="53" t="s">
        <v>568</v>
      </c>
      <c r="C12" s="53" t="s">
        <v>574</v>
      </c>
      <c r="D12" s="53">
        <v>1</v>
      </c>
      <c r="E12" s="53" t="s">
        <v>575</v>
      </c>
      <c r="F12" s="53">
        <v>5</v>
      </c>
    </row>
    <row r="13" spans="2:6">
      <c r="B13" s="53" t="s">
        <v>576</v>
      </c>
      <c r="C13" s="53" t="s">
        <v>574</v>
      </c>
      <c r="D13" s="53">
        <v>1</v>
      </c>
      <c r="E13" s="53" t="s">
        <v>575</v>
      </c>
      <c r="F13" s="53">
        <v>5</v>
      </c>
    </row>
    <row r="14" spans="2:6">
      <c r="B14" s="53" t="s">
        <v>558</v>
      </c>
      <c r="C14" s="53" t="s">
        <v>574</v>
      </c>
      <c r="D14" s="53">
        <v>1</v>
      </c>
      <c r="E14" s="53" t="s">
        <v>575</v>
      </c>
      <c r="F14" s="53">
        <v>5</v>
      </c>
    </row>
    <row r="15" spans="2:6">
      <c r="B15" s="53" t="s">
        <v>568</v>
      </c>
      <c r="C15" s="53" t="s">
        <v>577</v>
      </c>
      <c r="D15" s="53">
        <v>2</v>
      </c>
      <c r="E15" s="53" t="s">
        <v>578</v>
      </c>
      <c r="F15" s="53">
        <v>6</v>
      </c>
    </row>
    <row r="16" spans="2:6">
      <c r="B16" s="53" t="s">
        <v>576</v>
      </c>
      <c r="C16" s="53" t="s">
        <v>559</v>
      </c>
      <c r="D16" s="53">
        <v>1</v>
      </c>
      <c r="E16" s="53" t="s">
        <v>560</v>
      </c>
      <c r="F16" s="53">
        <v>6</v>
      </c>
    </row>
    <row r="17" spans="2:6">
      <c r="B17" s="53" t="s">
        <v>576</v>
      </c>
      <c r="C17" s="53" t="s">
        <v>577</v>
      </c>
      <c r="D17" s="53">
        <v>3</v>
      </c>
      <c r="E17" s="53" t="s">
        <v>579</v>
      </c>
      <c r="F17" s="53">
        <v>6</v>
      </c>
    </row>
    <row r="18" spans="2:6">
      <c r="B18" s="53" t="s">
        <v>558</v>
      </c>
      <c r="C18" s="53" t="s">
        <v>577</v>
      </c>
      <c r="D18" s="53">
        <v>1</v>
      </c>
      <c r="E18" s="53" t="s">
        <v>580</v>
      </c>
      <c r="F18" s="53">
        <v>6</v>
      </c>
    </row>
    <row r="19" spans="2:6">
      <c r="B19" s="53" t="s">
        <v>561</v>
      </c>
      <c r="C19" s="53" t="s">
        <v>581</v>
      </c>
      <c r="D19" s="53">
        <v>1</v>
      </c>
      <c r="E19" s="53" t="s">
        <v>582</v>
      </c>
      <c r="F19" s="53">
        <v>6</v>
      </c>
    </row>
    <row r="20" spans="2:6">
      <c r="B20" s="53" t="s">
        <v>561</v>
      </c>
      <c r="C20" s="53" t="s">
        <v>574</v>
      </c>
      <c r="D20" s="53">
        <v>1</v>
      </c>
      <c r="E20" s="53" t="s">
        <v>575</v>
      </c>
      <c r="F20" s="53">
        <v>6</v>
      </c>
    </row>
    <row r="21" spans="2:6">
      <c r="B21" s="53" t="s">
        <v>561</v>
      </c>
      <c r="C21" s="53" t="s">
        <v>569</v>
      </c>
      <c r="D21" s="53">
        <v>1</v>
      </c>
      <c r="E21" s="53" t="s">
        <v>570</v>
      </c>
      <c r="F21" s="53">
        <v>6</v>
      </c>
    </row>
    <row r="22" spans="2:6">
      <c r="B22" s="53" t="s">
        <v>564</v>
      </c>
      <c r="C22" s="53" t="s">
        <v>577</v>
      </c>
      <c r="D22" s="53">
        <v>2</v>
      </c>
      <c r="E22" s="53" t="s">
        <v>583</v>
      </c>
      <c r="F22" s="53">
        <v>6</v>
      </c>
    </row>
    <row r="23" spans="2:6">
      <c r="B23" s="53" t="s">
        <v>564</v>
      </c>
      <c r="C23" s="53" t="s">
        <v>584</v>
      </c>
      <c r="D23" s="53">
        <v>2</v>
      </c>
      <c r="E23" s="53" t="s">
        <v>585</v>
      </c>
      <c r="F23" s="53">
        <v>6</v>
      </c>
    </row>
    <row r="24" spans="2:6">
      <c r="B24" s="53" t="s">
        <v>565</v>
      </c>
      <c r="C24" s="53" t="s">
        <v>574</v>
      </c>
      <c r="D24" s="53">
        <v>1</v>
      </c>
      <c r="E24" s="53" t="s">
        <v>575</v>
      </c>
      <c r="F24" s="53">
        <v>6</v>
      </c>
    </row>
    <row r="25" spans="2:6">
      <c r="B25" s="53" t="s">
        <v>565</v>
      </c>
      <c r="C25" s="53" t="s">
        <v>562</v>
      </c>
      <c r="D25" s="53">
        <v>1</v>
      </c>
      <c r="E25" s="53" t="s">
        <v>563</v>
      </c>
      <c r="F25" s="53">
        <v>6</v>
      </c>
    </row>
    <row r="26" spans="2:6">
      <c r="B26" s="53" t="s">
        <v>576</v>
      </c>
      <c r="C26" s="53" t="s">
        <v>586</v>
      </c>
      <c r="D26" s="53">
        <v>2</v>
      </c>
      <c r="E26" s="53" t="s">
        <v>587</v>
      </c>
      <c r="F26" s="53">
        <v>7</v>
      </c>
    </row>
    <row r="27" spans="2:6">
      <c r="B27" s="53" t="s">
        <v>576</v>
      </c>
      <c r="C27" s="53" t="s">
        <v>588</v>
      </c>
      <c r="D27" s="53">
        <v>1</v>
      </c>
      <c r="E27" s="53" t="s">
        <v>589</v>
      </c>
      <c r="F27" s="53">
        <v>7</v>
      </c>
    </row>
    <row r="28" spans="2:6">
      <c r="B28" s="53" t="s">
        <v>558</v>
      </c>
      <c r="C28" s="53" t="s">
        <v>581</v>
      </c>
      <c r="D28" s="53">
        <v>1</v>
      </c>
      <c r="E28" s="53" t="s">
        <v>582</v>
      </c>
      <c r="F28" s="53">
        <v>7</v>
      </c>
    </row>
    <row r="29" spans="2:6">
      <c r="B29" s="53" t="s">
        <v>558</v>
      </c>
      <c r="C29" s="53" t="s">
        <v>566</v>
      </c>
      <c r="D29" s="53">
        <v>2</v>
      </c>
      <c r="E29" s="53" t="s">
        <v>590</v>
      </c>
      <c r="F29" s="53">
        <v>7</v>
      </c>
    </row>
    <row r="30" spans="2:6">
      <c r="B30" s="53" t="s">
        <v>561</v>
      </c>
      <c r="C30" s="53" t="s">
        <v>591</v>
      </c>
      <c r="D30" s="53">
        <v>1</v>
      </c>
      <c r="E30" s="53" t="s">
        <v>592</v>
      </c>
      <c r="F30" s="53">
        <v>7</v>
      </c>
    </row>
    <row r="31" spans="2:6">
      <c r="B31" s="53" t="s">
        <v>561</v>
      </c>
      <c r="C31" s="53" t="s">
        <v>593</v>
      </c>
      <c r="D31" s="53">
        <v>1</v>
      </c>
      <c r="E31" s="53" t="s">
        <v>594</v>
      </c>
      <c r="F31" s="53">
        <v>7</v>
      </c>
    </row>
    <row r="32" spans="2:6">
      <c r="B32" s="53" t="s">
        <v>564</v>
      </c>
      <c r="C32" s="53" t="s">
        <v>581</v>
      </c>
      <c r="D32" s="53">
        <v>1</v>
      </c>
      <c r="E32" s="53" t="s">
        <v>582</v>
      </c>
      <c r="F32" s="53">
        <v>7</v>
      </c>
    </row>
    <row r="33" spans="2:6">
      <c r="B33" s="53" t="s">
        <v>564</v>
      </c>
      <c r="C33" s="53" t="s">
        <v>591</v>
      </c>
      <c r="D33" s="53">
        <v>1</v>
      </c>
      <c r="E33" s="53" t="s">
        <v>592</v>
      </c>
      <c r="F33" s="53">
        <v>7</v>
      </c>
    </row>
    <row r="34" spans="2:6">
      <c r="B34" s="53" t="s">
        <v>564</v>
      </c>
      <c r="C34" s="53" t="s">
        <v>574</v>
      </c>
      <c r="D34" s="53">
        <v>1</v>
      </c>
      <c r="E34" s="53" t="s">
        <v>575</v>
      </c>
      <c r="F34" s="53">
        <v>7</v>
      </c>
    </row>
    <row r="35" spans="2:6">
      <c r="B35" s="53" t="s">
        <v>565</v>
      </c>
      <c r="C35" s="53" t="s">
        <v>591</v>
      </c>
      <c r="D35" s="53">
        <v>1</v>
      </c>
      <c r="E35" s="53" t="s">
        <v>592</v>
      </c>
      <c r="F35" s="53">
        <v>7</v>
      </c>
    </row>
    <row r="36" spans="2:6">
      <c r="B36" s="53" t="s">
        <v>565</v>
      </c>
      <c r="C36" s="53" t="s">
        <v>577</v>
      </c>
      <c r="D36" s="53">
        <v>3</v>
      </c>
      <c r="E36" s="53" t="s">
        <v>579</v>
      </c>
      <c r="F36" s="53">
        <v>7</v>
      </c>
    </row>
    <row r="37" spans="2:6">
      <c r="B37" s="53" t="s">
        <v>573</v>
      </c>
      <c r="C37" s="53" t="s">
        <v>595</v>
      </c>
      <c r="D37" s="53">
        <v>1</v>
      </c>
      <c r="E37" s="53" t="s">
        <v>596</v>
      </c>
      <c r="F37" s="53">
        <v>8</v>
      </c>
    </row>
    <row r="38" spans="2:6">
      <c r="B38" s="53" t="s">
        <v>568</v>
      </c>
      <c r="C38" s="53" t="s">
        <v>597</v>
      </c>
      <c r="D38" s="53">
        <v>2</v>
      </c>
      <c r="E38" s="53" t="s">
        <v>598</v>
      </c>
      <c r="F38" s="53">
        <v>8</v>
      </c>
    </row>
    <row r="39" spans="2:6">
      <c r="B39" s="53" t="s">
        <v>568</v>
      </c>
      <c r="C39" s="53" t="s">
        <v>591</v>
      </c>
      <c r="D39" s="53">
        <v>1</v>
      </c>
      <c r="E39" s="53" t="s">
        <v>592</v>
      </c>
      <c r="F39" s="53">
        <v>8</v>
      </c>
    </row>
    <row r="40" spans="2:6">
      <c r="B40" s="53" t="s">
        <v>568</v>
      </c>
      <c r="C40" s="53" t="s">
        <v>559</v>
      </c>
      <c r="D40" s="53">
        <v>1</v>
      </c>
      <c r="E40" s="53" t="s">
        <v>560</v>
      </c>
      <c r="F40" s="53">
        <v>8</v>
      </c>
    </row>
    <row r="41" spans="2:6">
      <c r="B41" s="53" t="s">
        <v>568</v>
      </c>
      <c r="C41" s="53" t="s">
        <v>595</v>
      </c>
      <c r="D41" s="53">
        <v>1</v>
      </c>
      <c r="E41" s="53" t="s">
        <v>596</v>
      </c>
      <c r="F41" s="53">
        <v>8</v>
      </c>
    </row>
    <row r="42" spans="2:6">
      <c r="B42" s="53" t="s">
        <v>576</v>
      </c>
      <c r="C42" s="53" t="s">
        <v>599</v>
      </c>
      <c r="D42" s="53">
        <v>1</v>
      </c>
      <c r="E42" s="53" t="s">
        <v>600</v>
      </c>
      <c r="F42" s="53">
        <v>8</v>
      </c>
    </row>
    <row r="43" spans="2:6">
      <c r="B43" s="53" t="s">
        <v>576</v>
      </c>
      <c r="C43" s="53" t="s">
        <v>581</v>
      </c>
      <c r="D43" s="53">
        <v>1</v>
      </c>
      <c r="E43" s="53" t="s">
        <v>582</v>
      </c>
      <c r="F43" s="53">
        <v>8</v>
      </c>
    </row>
    <row r="44" spans="2:6">
      <c r="B44" s="53" t="s">
        <v>576</v>
      </c>
      <c r="C44" s="53" t="s">
        <v>591</v>
      </c>
      <c r="D44" s="53">
        <v>1</v>
      </c>
      <c r="E44" s="53" t="s">
        <v>592</v>
      </c>
      <c r="F44" s="53">
        <v>8</v>
      </c>
    </row>
    <row r="45" spans="2:6">
      <c r="B45" s="53" t="s">
        <v>576</v>
      </c>
      <c r="C45" s="53" t="s">
        <v>566</v>
      </c>
      <c r="D45" s="53">
        <v>2</v>
      </c>
      <c r="E45" s="53" t="s">
        <v>590</v>
      </c>
      <c r="F45" s="53">
        <v>8</v>
      </c>
    </row>
    <row r="46" spans="2:6">
      <c r="B46" s="53" t="s">
        <v>576</v>
      </c>
      <c r="C46" s="53" t="s">
        <v>601</v>
      </c>
      <c r="D46" s="53">
        <v>2</v>
      </c>
      <c r="E46" s="53" t="s">
        <v>602</v>
      </c>
      <c r="F46" s="53">
        <v>8</v>
      </c>
    </row>
    <row r="47" spans="2:6">
      <c r="B47" s="53" t="s">
        <v>576</v>
      </c>
      <c r="C47" s="53" t="s">
        <v>595</v>
      </c>
      <c r="D47" s="53">
        <v>1</v>
      </c>
      <c r="E47" s="53" t="s">
        <v>596</v>
      </c>
      <c r="F47" s="53">
        <v>8</v>
      </c>
    </row>
    <row r="48" spans="2:6">
      <c r="B48" s="53" t="s">
        <v>558</v>
      </c>
      <c r="C48" s="53" t="s">
        <v>591</v>
      </c>
      <c r="D48" s="53">
        <v>1</v>
      </c>
      <c r="E48" s="53" t="s">
        <v>592</v>
      </c>
      <c r="F48" s="53">
        <v>8</v>
      </c>
    </row>
    <row r="49" spans="2:6">
      <c r="B49" s="53" t="s">
        <v>558</v>
      </c>
      <c r="C49" s="53" t="s">
        <v>586</v>
      </c>
      <c r="D49" s="53">
        <v>4</v>
      </c>
      <c r="E49" s="53" t="s">
        <v>603</v>
      </c>
      <c r="F49" s="53">
        <v>8</v>
      </c>
    </row>
    <row r="50" spans="2:6">
      <c r="B50" s="53" t="s">
        <v>558</v>
      </c>
      <c r="C50" s="53" t="s">
        <v>588</v>
      </c>
      <c r="D50" s="53">
        <v>1</v>
      </c>
      <c r="E50" s="53" t="s">
        <v>589</v>
      </c>
      <c r="F50" s="53">
        <v>8</v>
      </c>
    </row>
    <row r="51" spans="2:6">
      <c r="B51" s="53" t="s">
        <v>558</v>
      </c>
      <c r="C51" s="53" t="s">
        <v>595</v>
      </c>
      <c r="D51" s="53">
        <v>1</v>
      </c>
      <c r="E51" s="53" t="s">
        <v>596</v>
      </c>
      <c r="F51" s="53">
        <v>8</v>
      </c>
    </row>
    <row r="52" spans="2:6">
      <c r="B52" s="53" t="s">
        <v>561</v>
      </c>
      <c r="C52" s="53" t="s">
        <v>604</v>
      </c>
      <c r="D52" s="53">
        <v>3</v>
      </c>
      <c r="E52" s="53" t="s">
        <v>605</v>
      </c>
      <c r="F52" s="53">
        <v>8</v>
      </c>
    </row>
    <row r="53" spans="2:6">
      <c r="B53" s="53" t="s">
        <v>561</v>
      </c>
      <c r="C53" s="53" t="s">
        <v>595</v>
      </c>
      <c r="D53" s="53">
        <v>1</v>
      </c>
      <c r="E53" s="53" t="s">
        <v>596</v>
      </c>
      <c r="F53" s="53">
        <v>8</v>
      </c>
    </row>
    <row r="54" spans="2:6">
      <c r="B54" s="53" t="s">
        <v>561</v>
      </c>
      <c r="C54" s="53" t="s">
        <v>606</v>
      </c>
      <c r="D54" s="53">
        <v>1</v>
      </c>
      <c r="E54" s="53" t="s">
        <v>607</v>
      </c>
      <c r="F54" s="53">
        <v>8</v>
      </c>
    </row>
    <row r="55" spans="2:6">
      <c r="B55" s="53" t="s">
        <v>564</v>
      </c>
      <c r="C55" s="53" t="s">
        <v>588</v>
      </c>
      <c r="D55" s="53">
        <v>1</v>
      </c>
      <c r="E55" s="53" t="s">
        <v>589</v>
      </c>
      <c r="F55" s="53">
        <v>8</v>
      </c>
    </row>
    <row r="56" spans="2:6">
      <c r="B56" s="53" t="s">
        <v>564</v>
      </c>
      <c r="C56" s="53" t="s">
        <v>595</v>
      </c>
      <c r="D56" s="53">
        <v>1</v>
      </c>
      <c r="E56" s="53" t="s">
        <v>596</v>
      </c>
      <c r="F56" s="53">
        <v>8</v>
      </c>
    </row>
    <row r="57" spans="2:6">
      <c r="B57" s="53" t="s">
        <v>565</v>
      </c>
      <c r="C57" s="53" t="s">
        <v>586</v>
      </c>
      <c r="D57" s="53">
        <v>4</v>
      </c>
      <c r="E57" s="53" t="s">
        <v>603</v>
      </c>
      <c r="F57" s="53">
        <v>8</v>
      </c>
    </row>
    <row r="58" spans="2:6">
      <c r="B58" s="53" t="s">
        <v>565</v>
      </c>
      <c r="C58" s="53" t="s">
        <v>608</v>
      </c>
      <c r="D58" s="53">
        <v>1</v>
      </c>
      <c r="E58" s="53" t="s">
        <v>609</v>
      </c>
      <c r="F58" s="53">
        <v>8</v>
      </c>
    </row>
    <row r="59" spans="2:6">
      <c r="B59" s="53" t="s">
        <v>565</v>
      </c>
      <c r="C59" s="53" t="s">
        <v>595</v>
      </c>
      <c r="D59" s="53">
        <v>1</v>
      </c>
      <c r="E59" s="53" t="s">
        <v>596</v>
      </c>
      <c r="F59" s="53">
        <v>8</v>
      </c>
    </row>
    <row r="60" spans="2:6">
      <c r="B60" s="53" t="s">
        <v>573</v>
      </c>
      <c r="C60" s="53" t="s">
        <v>599</v>
      </c>
      <c r="D60" s="53">
        <v>1</v>
      </c>
      <c r="E60" s="53" t="s">
        <v>600</v>
      </c>
      <c r="F60" s="53">
        <v>9</v>
      </c>
    </row>
    <row r="61" spans="2:6">
      <c r="B61" s="53" t="s">
        <v>573</v>
      </c>
      <c r="C61" s="53" t="s">
        <v>591</v>
      </c>
      <c r="D61" s="53">
        <v>1</v>
      </c>
      <c r="E61" s="53" t="s">
        <v>592</v>
      </c>
      <c r="F61" s="53">
        <v>9</v>
      </c>
    </row>
    <row r="62" spans="2:6">
      <c r="B62" s="53" t="s">
        <v>568</v>
      </c>
      <c r="C62" s="53" t="s">
        <v>599</v>
      </c>
      <c r="D62" s="53">
        <v>1</v>
      </c>
      <c r="E62" s="53" t="s">
        <v>600</v>
      </c>
      <c r="F62" s="53">
        <v>9</v>
      </c>
    </row>
    <row r="63" spans="2:6">
      <c r="B63" s="53" t="s">
        <v>568</v>
      </c>
      <c r="C63" s="53" t="s">
        <v>601</v>
      </c>
      <c r="D63" s="53">
        <v>2</v>
      </c>
      <c r="E63" s="53" t="s">
        <v>602</v>
      </c>
      <c r="F63" s="53">
        <v>9</v>
      </c>
    </row>
    <row r="64" spans="2:6">
      <c r="B64" s="53" t="s">
        <v>558</v>
      </c>
      <c r="C64" s="53" t="s">
        <v>599</v>
      </c>
      <c r="D64" s="53">
        <v>1</v>
      </c>
      <c r="E64" s="53" t="s">
        <v>600</v>
      </c>
      <c r="F64" s="53">
        <v>9</v>
      </c>
    </row>
    <row r="65" spans="2:6">
      <c r="B65" s="53" t="s">
        <v>561</v>
      </c>
      <c r="C65" s="53" t="s">
        <v>610</v>
      </c>
      <c r="D65" s="53">
        <v>1</v>
      </c>
      <c r="E65" s="53" t="s">
        <v>611</v>
      </c>
      <c r="F65" s="53">
        <v>9</v>
      </c>
    </row>
    <row r="66" spans="2:6">
      <c r="B66" s="53" t="s">
        <v>561</v>
      </c>
      <c r="C66" s="53" t="s">
        <v>588</v>
      </c>
      <c r="D66" s="53">
        <v>1</v>
      </c>
      <c r="E66" s="53" t="s">
        <v>589</v>
      </c>
      <c r="F66" s="53">
        <v>9</v>
      </c>
    </row>
    <row r="67" spans="2:6">
      <c r="B67" s="53" t="s">
        <v>561</v>
      </c>
      <c r="C67" s="53" t="s">
        <v>612</v>
      </c>
      <c r="D67" s="53">
        <v>1</v>
      </c>
      <c r="E67" s="53" t="s">
        <v>613</v>
      </c>
      <c r="F67" s="53">
        <v>9</v>
      </c>
    </row>
    <row r="68" spans="2:6">
      <c r="B68" s="53" t="s">
        <v>564</v>
      </c>
      <c r="C68" s="53" t="s">
        <v>614</v>
      </c>
      <c r="D68" s="53">
        <v>4</v>
      </c>
      <c r="E68" s="53" t="s">
        <v>615</v>
      </c>
      <c r="F68" s="53">
        <v>9</v>
      </c>
    </row>
    <row r="69" spans="2:6">
      <c r="B69" s="53" t="s">
        <v>564</v>
      </c>
      <c r="C69" s="53" t="s">
        <v>606</v>
      </c>
      <c r="D69" s="53">
        <v>1</v>
      </c>
      <c r="E69" s="53" t="s">
        <v>607</v>
      </c>
      <c r="F69" s="53">
        <v>9</v>
      </c>
    </row>
    <row r="70" spans="2:6">
      <c r="B70" s="53" t="s">
        <v>565</v>
      </c>
      <c r="C70" s="53" t="s">
        <v>606</v>
      </c>
      <c r="D70" s="53">
        <v>1</v>
      </c>
      <c r="E70" s="53" t="s">
        <v>607</v>
      </c>
      <c r="F70" s="53">
        <v>9</v>
      </c>
    </row>
    <row r="71" spans="2:6">
      <c r="B71" s="53" t="s">
        <v>573</v>
      </c>
      <c r="C71" s="53" t="s">
        <v>601</v>
      </c>
      <c r="D71" s="53">
        <v>2</v>
      </c>
      <c r="E71" s="53" t="s">
        <v>602</v>
      </c>
      <c r="F71" s="53">
        <v>10</v>
      </c>
    </row>
    <row r="72" spans="2:6">
      <c r="B72" s="53" t="s">
        <v>573</v>
      </c>
      <c r="C72" s="53" t="s">
        <v>566</v>
      </c>
      <c r="D72" s="53">
        <v>2</v>
      </c>
      <c r="E72" s="53" t="s">
        <v>590</v>
      </c>
      <c r="F72" s="53">
        <v>10</v>
      </c>
    </row>
    <row r="73" spans="2:6">
      <c r="B73" s="53" t="s">
        <v>573</v>
      </c>
      <c r="C73" s="53" t="s">
        <v>584</v>
      </c>
      <c r="D73" s="53">
        <v>2</v>
      </c>
      <c r="E73" s="53" t="s">
        <v>585</v>
      </c>
      <c r="F73" s="53">
        <v>10</v>
      </c>
    </row>
    <row r="74" spans="2:6">
      <c r="B74" s="53" t="s">
        <v>573</v>
      </c>
      <c r="C74" s="53" t="s">
        <v>588</v>
      </c>
      <c r="D74" s="53">
        <v>1</v>
      </c>
      <c r="E74" s="53" t="s">
        <v>589</v>
      </c>
      <c r="F74" s="53">
        <v>10</v>
      </c>
    </row>
    <row r="75" spans="2:6">
      <c r="B75" s="53" t="s">
        <v>573</v>
      </c>
      <c r="C75" s="53" t="s">
        <v>612</v>
      </c>
      <c r="D75" s="53">
        <v>1</v>
      </c>
      <c r="E75" s="53" t="s">
        <v>613</v>
      </c>
      <c r="F75" s="53">
        <v>10</v>
      </c>
    </row>
    <row r="76" spans="2:6">
      <c r="B76" s="53" t="s">
        <v>573</v>
      </c>
      <c r="C76" s="53" t="s">
        <v>606</v>
      </c>
      <c r="D76" s="53">
        <v>1</v>
      </c>
      <c r="E76" s="53" t="s">
        <v>607</v>
      </c>
      <c r="F76" s="53">
        <v>10</v>
      </c>
    </row>
    <row r="77" spans="2:6">
      <c r="B77" s="53" t="s">
        <v>568</v>
      </c>
      <c r="C77" s="53" t="s">
        <v>612</v>
      </c>
      <c r="D77" s="53">
        <v>1</v>
      </c>
      <c r="E77" s="53" t="s">
        <v>613</v>
      </c>
      <c r="F77" s="53">
        <v>10</v>
      </c>
    </row>
    <row r="78" spans="2:6">
      <c r="B78" s="53" t="s">
        <v>568</v>
      </c>
      <c r="C78" s="53" t="s">
        <v>606</v>
      </c>
      <c r="D78" s="53">
        <v>1</v>
      </c>
      <c r="E78" s="53" t="s">
        <v>607</v>
      </c>
      <c r="F78" s="53">
        <v>10</v>
      </c>
    </row>
    <row r="79" spans="2:6">
      <c r="B79" s="53" t="s">
        <v>576</v>
      </c>
      <c r="C79" s="53" t="s">
        <v>584</v>
      </c>
      <c r="D79" s="53">
        <v>2</v>
      </c>
      <c r="E79" s="53" t="s">
        <v>585</v>
      </c>
      <c r="F79" s="53">
        <v>10</v>
      </c>
    </row>
    <row r="80" spans="2:6">
      <c r="B80" s="53" t="s">
        <v>576</v>
      </c>
      <c r="C80" s="53" t="s">
        <v>614</v>
      </c>
      <c r="D80" s="53">
        <v>4</v>
      </c>
      <c r="E80" s="53" t="s">
        <v>615</v>
      </c>
      <c r="F80" s="53">
        <v>10</v>
      </c>
    </row>
    <row r="81" spans="2:6">
      <c r="B81" s="53" t="s">
        <v>576</v>
      </c>
      <c r="C81" s="53" t="s">
        <v>593</v>
      </c>
      <c r="D81" s="53">
        <v>1</v>
      </c>
      <c r="E81" s="53" t="s">
        <v>594</v>
      </c>
      <c r="F81" s="53">
        <v>10</v>
      </c>
    </row>
    <row r="82" spans="2:6">
      <c r="B82" s="53" t="s">
        <v>576</v>
      </c>
      <c r="C82" s="53" t="s">
        <v>612</v>
      </c>
      <c r="D82" s="53">
        <v>1</v>
      </c>
      <c r="E82" s="53" t="s">
        <v>613</v>
      </c>
      <c r="F82" s="53">
        <v>10</v>
      </c>
    </row>
    <row r="83" spans="2:6">
      <c r="B83" s="53" t="s">
        <v>576</v>
      </c>
      <c r="C83" s="53" t="s">
        <v>606</v>
      </c>
      <c r="D83" s="53">
        <v>1</v>
      </c>
      <c r="E83" s="53" t="s">
        <v>607</v>
      </c>
      <c r="F83" s="53">
        <v>10</v>
      </c>
    </row>
    <row r="84" spans="2:6">
      <c r="B84" s="53" t="s">
        <v>558</v>
      </c>
      <c r="C84" s="53" t="s">
        <v>593</v>
      </c>
      <c r="D84" s="53">
        <v>2</v>
      </c>
      <c r="E84" s="53" t="s">
        <v>616</v>
      </c>
      <c r="F84" s="53">
        <v>10</v>
      </c>
    </row>
    <row r="85" spans="2:6">
      <c r="B85" s="53" t="s">
        <v>558</v>
      </c>
      <c r="C85" s="53" t="s">
        <v>606</v>
      </c>
      <c r="D85" s="53">
        <v>1</v>
      </c>
      <c r="E85" s="53" t="s">
        <v>607</v>
      </c>
      <c r="F85" s="53">
        <v>10</v>
      </c>
    </row>
    <row r="86" spans="2:6">
      <c r="B86" s="53" t="s">
        <v>558</v>
      </c>
      <c r="C86" s="53" t="s">
        <v>612</v>
      </c>
      <c r="D86" s="53">
        <v>1</v>
      </c>
      <c r="E86" s="53" t="s">
        <v>613</v>
      </c>
      <c r="F86" s="53">
        <v>10</v>
      </c>
    </row>
    <row r="87" spans="2:6">
      <c r="B87" s="53" t="s">
        <v>564</v>
      </c>
      <c r="C87" s="53" t="s">
        <v>593</v>
      </c>
      <c r="D87" s="53">
        <v>1</v>
      </c>
      <c r="E87" s="53" t="s">
        <v>594</v>
      </c>
      <c r="F87" s="53">
        <v>10</v>
      </c>
    </row>
    <row r="88" spans="2:6">
      <c r="B88" s="53" t="s">
        <v>564</v>
      </c>
      <c r="C88" s="53" t="s">
        <v>612</v>
      </c>
      <c r="D88" s="53">
        <v>1</v>
      </c>
      <c r="E88" s="53" t="s">
        <v>613</v>
      </c>
      <c r="F88" s="53">
        <v>10</v>
      </c>
    </row>
    <row r="89" spans="2:6">
      <c r="B89" s="53" t="s">
        <v>565</v>
      </c>
      <c r="C89" s="53" t="s">
        <v>612</v>
      </c>
      <c r="D89" s="53">
        <v>1</v>
      </c>
      <c r="E89" s="53" t="s">
        <v>613</v>
      </c>
      <c r="F89" s="53">
        <v>10</v>
      </c>
    </row>
    <row r="90" spans="2:6">
      <c r="B90" s="53" t="s">
        <v>573</v>
      </c>
      <c r="C90" s="53" t="s">
        <v>586</v>
      </c>
      <c r="D90" s="53">
        <v>4</v>
      </c>
      <c r="E90" s="53" t="s">
        <v>603</v>
      </c>
      <c r="F90" s="53">
        <v>11</v>
      </c>
    </row>
    <row r="91" spans="2:6">
      <c r="B91" s="53" t="s">
        <v>573</v>
      </c>
      <c r="C91" s="53" t="s">
        <v>617</v>
      </c>
      <c r="D91" s="53">
        <v>2</v>
      </c>
      <c r="E91" s="53" t="s">
        <v>618</v>
      </c>
      <c r="F91" s="53">
        <v>11</v>
      </c>
    </row>
    <row r="92" spans="2:6">
      <c r="B92" s="53" t="s">
        <v>568</v>
      </c>
      <c r="C92" s="53" t="s">
        <v>586</v>
      </c>
      <c r="D92" s="53">
        <v>4</v>
      </c>
      <c r="E92" s="53" t="s">
        <v>603</v>
      </c>
      <c r="F92" s="53">
        <v>11</v>
      </c>
    </row>
    <row r="93" spans="2:6">
      <c r="B93" s="53" t="s">
        <v>568</v>
      </c>
      <c r="C93" s="53" t="s">
        <v>588</v>
      </c>
      <c r="D93" s="53">
        <v>1</v>
      </c>
      <c r="E93" s="53" t="s">
        <v>589</v>
      </c>
      <c r="F93" s="53">
        <v>11</v>
      </c>
    </row>
    <row r="94" spans="2:6">
      <c r="B94" s="53" t="s">
        <v>558</v>
      </c>
      <c r="C94" s="53" t="s">
        <v>601</v>
      </c>
      <c r="D94" s="53">
        <v>2</v>
      </c>
      <c r="E94" s="53" t="s">
        <v>602</v>
      </c>
      <c r="F94" s="53">
        <v>11</v>
      </c>
    </row>
    <row r="95" spans="2:6">
      <c r="B95" s="53" t="s">
        <v>558</v>
      </c>
      <c r="C95" s="53" t="s">
        <v>608</v>
      </c>
      <c r="D95" s="53">
        <v>1</v>
      </c>
      <c r="E95" s="53" t="s">
        <v>609</v>
      </c>
      <c r="F95" s="53">
        <v>11</v>
      </c>
    </row>
    <row r="96" spans="2:6">
      <c r="B96" s="53" t="s">
        <v>561</v>
      </c>
      <c r="C96" s="53" t="s">
        <v>619</v>
      </c>
      <c r="D96" s="53">
        <v>1</v>
      </c>
      <c r="E96" s="53" t="s">
        <v>620</v>
      </c>
      <c r="F96" s="53">
        <v>11</v>
      </c>
    </row>
    <row r="97" spans="2:6">
      <c r="B97" s="53" t="s">
        <v>565</v>
      </c>
      <c r="C97" s="53" t="s">
        <v>584</v>
      </c>
      <c r="D97" s="53">
        <v>2</v>
      </c>
      <c r="E97" s="53" t="s">
        <v>585</v>
      </c>
      <c r="F97" s="53">
        <v>11</v>
      </c>
    </row>
    <row r="98" spans="2:6">
      <c r="B98" s="53" t="s">
        <v>565</v>
      </c>
      <c r="C98" s="53" t="s">
        <v>588</v>
      </c>
      <c r="D98" s="53">
        <v>1</v>
      </c>
      <c r="E98" s="53" t="s">
        <v>589</v>
      </c>
      <c r="F98" s="53">
        <v>11</v>
      </c>
    </row>
    <row r="99" spans="2:6">
      <c r="B99" s="53" t="s">
        <v>568</v>
      </c>
      <c r="C99" s="53" t="s">
        <v>581</v>
      </c>
      <c r="D99" s="53">
        <v>2</v>
      </c>
      <c r="E99" s="53" t="s">
        <v>621</v>
      </c>
      <c r="F99" s="53">
        <v>12</v>
      </c>
    </row>
    <row r="100" spans="2:6">
      <c r="B100" s="53" t="s">
        <v>568</v>
      </c>
      <c r="C100" s="53" t="s">
        <v>608</v>
      </c>
      <c r="D100" s="53">
        <v>2</v>
      </c>
      <c r="E100" s="53" t="s">
        <v>622</v>
      </c>
      <c r="F100" s="53">
        <v>12</v>
      </c>
    </row>
    <row r="101" spans="2:6">
      <c r="B101" s="53" t="s">
        <v>568</v>
      </c>
      <c r="C101" s="53" t="s">
        <v>617</v>
      </c>
      <c r="D101" s="53">
        <v>2</v>
      </c>
      <c r="E101" s="53" t="s">
        <v>618</v>
      </c>
      <c r="F101" s="53">
        <v>12</v>
      </c>
    </row>
    <row r="102" spans="2:6">
      <c r="B102" s="53" t="s">
        <v>558</v>
      </c>
      <c r="C102" s="53" t="s">
        <v>614</v>
      </c>
      <c r="D102" s="53">
        <v>4</v>
      </c>
      <c r="E102" s="53" t="s">
        <v>615</v>
      </c>
      <c r="F102" s="53">
        <v>12</v>
      </c>
    </row>
    <row r="103" spans="2:6">
      <c r="B103" s="53" t="s">
        <v>558</v>
      </c>
      <c r="C103" s="53" t="s">
        <v>604</v>
      </c>
      <c r="D103" s="53">
        <v>4</v>
      </c>
      <c r="E103" s="53" t="s">
        <v>623</v>
      </c>
      <c r="F103" s="53">
        <v>12</v>
      </c>
    </row>
    <row r="104" spans="2:6">
      <c r="B104" s="53" t="s">
        <v>561</v>
      </c>
      <c r="C104" s="53" t="s">
        <v>624</v>
      </c>
      <c r="D104" s="53">
        <v>1</v>
      </c>
      <c r="E104" s="53" t="s">
        <v>625</v>
      </c>
      <c r="F104" s="53">
        <v>12</v>
      </c>
    </row>
    <row r="105" spans="2:6">
      <c r="B105" s="53" t="s">
        <v>561</v>
      </c>
      <c r="C105" s="53" t="s">
        <v>601</v>
      </c>
      <c r="D105" s="53">
        <v>2</v>
      </c>
      <c r="E105" s="53" t="s">
        <v>602</v>
      </c>
      <c r="F105" s="53">
        <v>12</v>
      </c>
    </row>
    <row r="106" spans="2:6">
      <c r="B106" s="53" t="s">
        <v>564</v>
      </c>
      <c r="C106" s="53" t="s">
        <v>601</v>
      </c>
      <c r="D106" s="53">
        <v>2</v>
      </c>
      <c r="E106" s="53" t="s">
        <v>602</v>
      </c>
      <c r="F106" s="53">
        <v>12</v>
      </c>
    </row>
    <row r="107" spans="2:6">
      <c r="B107" s="53" t="s">
        <v>565</v>
      </c>
      <c r="C107" s="53" t="s">
        <v>581</v>
      </c>
      <c r="D107" s="53">
        <v>1</v>
      </c>
      <c r="E107" s="53" t="s">
        <v>582</v>
      </c>
      <c r="F107" s="53">
        <v>12</v>
      </c>
    </row>
    <row r="108" spans="2:6">
      <c r="B108" s="53" t="s">
        <v>573</v>
      </c>
      <c r="C108" s="53" t="s">
        <v>581</v>
      </c>
      <c r="D108" s="53">
        <v>2</v>
      </c>
      <c r="E108" s="53" t="s">
        <v>621</v>
      </c>
      <c r="F108" s="53">
        <v>13</v>
      </c>
    </row>
    <row r="109" spans="2:6">
      <c r="B109" s="53" t="s">
        <v>576</v>
      </c>
      <c r="C109" s="53" t="s">
        <v>608</v>
      </c>
      <c r="D109" s="53">
        <v>1</v>
      </c>
      <c r="E109" s="53" t="s">
        <v>609</v>
      </c>
      <c r="F109" s="53">
        <v>13</v>
      </c>
    </row>
    <row r="110" spans="2:6">
      <c r="B110" s="53" t="s">
        <v>576</v>
      </c>
      <c r="C110" s="53" t="s">
        <v>610</v>
      </c>
      <c r="D110" s="53">
        <v>1</v>
      </c>
      <c r="E110" s="53" t="s">
        <v>611</v>
      </c>
      <c r="F110" s="53">
        <v>13</v>
      </c>
    </row>
    <row r="111" spans="2:6">
      <c r="B111" s="53" t="s">
        <v>561</v>
      </c>
      <c r="C111" s="53" t="s">
        <v>626</v>
      </c>
      <c r="D111" s="53">
        <v>1</v>
      </c>
      <c r="E111" s="53" t="s">
        <v>627</v>
      </c>
      <c r="F111" s="53">
        <v>13</v>
      </c>
    </row>
    <row r="112" spans="2:6">
      <c r="B112" s="53" t="s">
        <v>561</v>
      </c>
      <c r="C112" s="53" t="s">
        <v>628</v>
      </c>
      <c r="D112" s="53">
        <v>2</v>
      </c>
      <c r="E112" s="53" t="s">
        <v>629</v>
      </c>
      <c r="F112" s="53">
        <v>13</v>
      </c>
    </row>
    <row r="113" spans="2:6">
      <c r="B113" s="53" t="s">
        <v>564</v>
      </c>
      <c r="C113" s="53" t="s">
        <v>624</v>
      </c>
      <c r="D113" s="53">
        <v>1</v>
      </c>
      <c r="E113" s="53" t="s">
        <v>625</v>
      </c>
      <c r="F113" s="53">
        <v>13</v>
      </c>
    </row>
    <row r="114" spans="2:6">
      <c r="B114" s="53" t="s">
        <v>564</v>
      </c>
      <c r="C114" s="53" t="s">
        <v>619</v>
      </c>
      <c r="D114" s="53">
        <v>1</v>
      </c>
      <c r="E114" s="53" t="s">
        <v>620</v>
      </c>
      <c r="F114" s="53">
        <v>13</v>
      </c>
    </row>
    <row r="115" spans="2:6">
      <c r="B115" s="53" t="s">
        <v>573</v>
      </c>
      <c r="C115" s="53" t="s">
        <v>604</v>
      </c>
      <c r="D115" s="53">
        <v>2</v>
      </c>
      <c r="E115" s="53" t="s">
        <v>630</v>
      </c>
      <c r="F115" s="53">
        <v>14</v>
      </c>
    </row>
    <row r="116" spans="2:6">
      <c r="B116" s="53" t="s">
        <v>573</v>
      </c>
      <c r="C116" s="53" t="s">
        <v>608</v>
      </c>
      <c r="D116" s="53">
        <v>2</v>
      </c>
      <c r="E116" s="53" t="s">
        <v>622</v>
      </c>
      <c r="F116" s="53">
        <v>14</v>
      </c>
    </row>
    <row r="117" spans="2:6">
      <c r="B117" s="53" t="s">
        <v>568</v>
      </c>
      <c r="C117" s="53" t="s">
        <v>604</v>
      </c>
      <c r="D117" s="53">
        <v>2</v>
      </c>
      <c r="E117" s="53" t="s">
        <v>630</v>
      </c>
      <c r="F117" s="53">
        <v>14</v>
      </c>
    </row>
    <row r="118" spans="2:6">
      <c r="B118" s="53" t="s">
        <v>568</v>
      </c>
      <c r="C118" s="53" t="s">
        <v>566</v>
      </c>
      <c r="D118" s="53">
        <v>2</v>
      </c>
      <c r="E118" s="53" t="s">
        <v>590</v>
      </c>
      <c r="F118" s="53">
        <v>14</v>
      </c>
    </row>
    <row r="119" spans="2:6">
      <c r="B119" s="53" t="s">
        <v>568</v>
      </c>
      <c r="C119" s="53" t="s">
        <v>614</v>
      </c>
      <c r="D119" s="53">
        <v>4</v>
      </c>
      <c r="E119" s="53" t="s">
        <v>615</v>
      </c>
      <c r="F119" s="53">
        <v>14</v>
      </c>
    </row>
    <row r="120" spans="2:6">
      <c r="B120" s="53" t="s">
        <v>576</v>
      </c>
      <c r="C120" s="53" t="s">
        <v>604</v>
      </c>
      <c r="D120" s="53">
        <v>4</v>
      </c>
      <c r="E120" s="53" t="s">
        <v>623</v>
      </c>
      <c r="F120" s="53">
        <v>14</v>
      </c>
    </row>
    <row r="121" spans="2:6">
      <c r="B121" s="53" t="s">
        <v>576</v>
      </c>
      <c r="C121" s="53" t="s">
        <v>628</v>
      </c>
      <c r="D121" s="53">
        <v>2</v>
      </c>
      <c r="E121" s="53" t="s">
        <v>629</v>
      </c>
      <c r="F121" s="53">
        <v>14</v>
      </c>
    </row>
    <row r="122" spans="2:6">
      <c r="B122" s="53" t="s">
        <v>558</v>
      </c>
      <c r="C122" s="53" t="s">
        <v>628</v>
      </c>
      <c r="D122" s="53">
        <v>2</v>
      </c>
      <c r="E122" s="53" t="s">
        <v>629</v>
      </c>
      <c r="F122" s="53">
        <v>14</v>
      </c>
    </row>
    <row r="123" spans="2:6">
      <c r="B123" s="53" t="s">
        <v>565</v>
      </c>
      <c r="C123" s="53" t="s">
        <v>624</v>
      </c>
      <c r="D123" s="53">
        <v>1</v>
      </c>
      <c r="E123" s="53" t="s">
        <v>625</v>
      </c>
      <c r="F123" s="53">
        <v>14</v>
      </c>
    </row>
    <row r="124" spans="2:6">
      <c r="B124" s="53" t="s">
        <v>565</v>
      </c>
      <c r="C124" s="53" t="s">
        <v>614</v>
      </c>
      <c r="D124" s="53">
        <v>4</v>
      </c>
      <c r="E124" s="53" t="s">
        <v>615</v>
      </c>
      <c r="F124" s="53">
        <v>14</v>
      </c>
    </row>
    <row r="125" spans="2:6">
      <c r="B125" s="53" t="s">
        <v>573</v>
      </c>
      <c r="C125" s="53" t="s">
        <v>624</v>
      </c>
      <c r="D125" s="53">
        <v>1</v>
      </c>
      <c r="E125" s="53" t="s">
        <v>625</v>
      </c>
      <c r="F125" s="53">
        <v>15</v>
      </c>
    </row>
    <row r="126" spans="2:6">
      <c r="B126" s="53" t="s">
        <v>573</v>
      </c>
      <c r="C126" s="53" t="s">
        <v>619</v>
      </c>
      <c r="D126" s="53">
        <v>1</v>
      </c>
      <c r="E126" s="53" t="s">
        <v>620</v>
      </c>
      <c r="F126" s="53">
        <v>15</v>
      </c>
    </row>
    <row r="127" spans="2:6">
      <c r="B127" s="53" t="s">
        <v>568</v>
      </c>
      <c r="C127" s="53" t="s">
        <v>584</v>
      </c>
      <c r="D127" s="53">
        <v>2</v>
      </c>
      <c r="E127" s="53" t="s">
        <v>585</v>
      </c>
      <c r="F127" s="53">
        <v>15</v>
      </c>
    </row>
    <row r="128" spans="2:6">
      <c r="B128" s="53" t="s">
        <v>568</v>
      </c>
      <c r="C128" s="53" t="s">
        <v>624</v>
      </c>
      <c r="D128" s="53">
        <v>1</v>
      </c>
      <c r="E128" s="53" t="s">
        <v>625</v>
      </c>
      <c r="F128" s="53">
        <v>15</v>
      </c>
    </row>
    <row r="129" spans="2:6">
      <c r="B129" s="53" t="s">
        <v>558</v>
      </c>
      <c r="C129" s="53" t="s">
        <v>584</v>
      </c>
      <c r="D129" s="53">
        <v>2</v>
      </c>
      <c r="E129" s="53" t="s">
        <v>585</v>
      </c>
      <c r="F129" s="53">
        <v>15</v>
      </c>
    </row>
    <row r="130" spans="2:6">
      <c r="B130" s="53" t="s">
        <v>558</v>
      </c>
      <c r="C130" s="53" t="s">
        <v>624</v>
      </c>
      <c r="D130" s="53">
        <v>1</v>
      </c>
      <c r="E130" s="53" t="s">
        <v>625</v>
      </c>
      <c r="F130" s="53">
        <v>15</v>
      </c>
    </row>
    <row r="131" spans="2:6">
      <c r="B131" s="53" t="s">
        <v>561</v>
      </c>
      <c r="C131" s="53" t="s">
        <v>631</v>
      </c>
      <c r="D131" s="53">
        <v>1</v>
      </c>
      <c r="E131" s="53" t="s">
        <v>632</v>
      </c>
      <c r="F131" s="53">
        <v>15</v>
      </c>
    </row>
    <row r="132" spans="2:6">
      <c r="B132" s="53" t="s">
        <v>564</v>
      </c>
      <c r="C132" s="53" t="s">
        <v>628</v>
      </c>
      <c r="D132" s="53">
        <v>2</v>
      </c>
      <c r="E132" s="53" t="s">
        <v>629</v>
      </c>
      <c r="F132" s="53">
        <v>15</v>
      </c>
    </row>
    <row r="133" spans="2:6">
      <c r="B133" s="53" t="s">
        <v>565</v>
      </c>
      <c r="C133" s="53" t="s">
        <v>593</v>
      </c>
      <c r="D133" s="53">
        <v>2</v>
      </c>
      <c r="E133" s="53" t="s">
        <v>616</v>
      </c>
      <c r="F133" s="53">
        <v>15</v>
      </c>
    </row>
    <row r="134" spans="2:6">
      <c r="B134" s="53" t="s">
        <v>565</v>
      </c>
      <c r="C134" s="53" t="s">
        <v>601</v>
      </c>
      <c r="D134" s="53">
        <v>2</v>
      </c>
      <c r="E134" s="53" t="s">
        <v>602</v>
      </c>
      <c r="F134" s="53">
        <v>15</v>
      </c>
    </row>
    <row r="135" spans="2:6">
      <c r="B135" s="53" t="s">
        <v>565</v>
      </c>
      <c r="C135" s="53" t="s">
        <v>619</v>
      </c>
      <c r="D135" s="53">
        <v>1</v>
      </c>
      <c r="E135" s="53" t="s">
        <v>620</v>
      </c>
      <c r="F135" s="53">
        <v>15</v>
      </c>
    </row>
    <row r="136" spans="2:6">
      <c r="B136" s="53" t="s">
        <v>573</v>
      </c>
      <c r="C136" s="53" t="s">
        <v>614</v>
      </c>
      <c r="D136" s="53">
        <v>4</v>
      </c>
      <c r="E136" s="53" t="s">
        <v>615</v>
      </c>
      <c r="F136" s="53">
        <v>16</v>
      </c>
    </row>
    <row r="137" spans="2:6">
      <c r="B137" s="53" t="s">
        <v>573</v>
      </c>
      <c r="C137" s="53" t="s">
        <v>593</v>
      </c>
      <c r="D137" s="53">
        <v>2</v>
      </c>
      <c r="E137" s="53" t="s">
        <v>616</v>
      </c>
      <c r="F137" s="53">
        <v>16</v>
      </c>
    </row>
    <row r="138" spans="2:6">
      <c r="B138" s="53" t="s">
        <v>573</v>
      </c>
      <c r="C138" s="53" t="s">
        <v>628</v>
      </c>
      <c r="D138" s="53">
        <v>2</v>
      </c>
      <c r="E138" s="53" t="s">
        <v>629</v>
      </c>
      <c r="F138" s="53">
        <v>16</v>
      </c>
    </row>
    <row r="139" spans="2:6">
      <c r="B139" s="53" t="s">
        <v>568</v>
      </c>
      <c r="C139" s="53" t="s">
        <v>619</v>
      </c>
      <c r="D139" s="53">
        <v>1</v>
      </c>
      <c r="E139" s="53" t="s">
        <v>620</v>
      </c>
      <c r="F139" s="53">
        <v>16</v>
      </c>
    </row>
    <row r="140" spans="2:6">
      <c r="B140" s="53" t="s">
        <v>568</v>
      </c>
      <c r="C140" s="53" t="s">
        <v>628</v>
      </c>
      <c r="D140" s="53">
        <v>2</v>
      </c>
      <c r="E140" s="53" t="s">
        <v>629</v>
      </c>
      <c r="F140" s="53">
        <v>16</v>
      </c>
    </row>
    <row r="141" spans="2:6">
      <c r="B141" s="53" t="s">
        <v>576</v>
      </c>
      <c r="C141" s="53" t="s">
        <v>624</v>
      </c>
      <c r="D141" s="53">
        <v>1</v>
      </c>
      <c r="E141" s="53" t="s">
        <v>625</v>
      </c>
      <c r="F141" s="53">
        <v>16</v>
      </c>
    </row>
    <row r="142" spans="2:6">
      <c r="B142" s="53" t="s">
        <v>576</v>
      </c>
      <c r="C142" s="53" t="s">
        <v>619</v>
      </c>
      <c r="D142" s="53">
        <v>1</v>
      </c>
      <c r="E142" s="53" t="s">
        <v>620</v>
      </c>
      <c r="F142" s="53">
        <v>16</v>
      </c>
    </row>
    <row r="143" spans="2:6">
      <c r="B143" s="53" t="s">
        <v>558</v>
      </c>
      <c r="C143" s="53" t="s">
        <v>610</v>
      </c>
      <c r="D143" s="53">
        <v>1</v>
      </c>
      <c r="E143" s="53" t="s">
        <v>611</v>
      </c>
      <c r="F143" s="53">
        <v>16</v>
      </c>
    </row>
    <row r="144" spans="2:6">
      <c r="B144" s="53" t="s">
        <v>561</v>
      </c>
      <c r="C144" s="53" t="s">
        <v>633</v>
      </c>
      <c r="D144" s="53">
        <v>1</v>
      </c>
      <c r="E144" s="53" t="s">
        <v>634</v>
      </c>
      <c r="F144" s="53">
        <v>16</v>
      </c>
    </row>
    <row r="145" spans="2:6">
      <c r="B145" s="53" t="s">
        <v>564</v>
      </c>
      <c r="C145" s="53" t="s">
        <v>610</v>
      </c>
      <c r="D145" s="53">
        <v>1</v>
      </c>
      <c r="E145" s="53" t="s">
        <v>611</v>
      </c>
      <c r="F145" s="53">
        <v>16</v>
      </c>
    </row>
    <row r="146" spans="2:6">
      <c r="B146" s="53" t="s">
        <v>564</v>
      </c>
      <c r="C146" s="53" t="s">
        <v>604</v>
      </c>
      <c r="D146" s="53">
        <v>4</v>
      </c>
      <c r="E146" s="53" t="s">
        <v>623</v>
      </c>
      <c r="F146" s="53">
        <v>16</v>
      </c>
    </row>
    <row r="147" spans="2:6">
      <c r="B147" s="53" t="s">
        <v>565</v>
      </c>
      <c r="C147" s="53" t="s">
        <v>628</v>
      </c>
      <c r="D147" s="53">
        <v>2</v>
      </c>
      <c r="E147" s="53" t="s">
        <v>629</v>
      </c>
      <c r="F147" s="53">
        <v>16</v>
      </c>
    </row>
    <row r="148" spans="2:6">
      <c r="B148" s="53" t="s">
        <v>576</v>
      </c>
      <c r="C148" s="53" t="s">
        <v>633</v>
      </c>
      <c r="D148" s="53">
        <v>1</v>
      </c>
      <c r="E148" s="53" t="s">
        <v>634</v>
      </c>
      <c r="F148" s="53">
        <v>17</v>
      </c>
    </row>
    <row r="149" spans="2:6">
      <c r="B149" s="53" t="s">
        <v>558</v>
      </c>
      <c r="C149" s="53" t="s">
        <v>619</v>
      </c>
      <c r="D149" s="53">
        <v>1</v>
      </c>
      <c r="E149" s="53" t="s">
        <v>620</v>
      </c>
      <c r="F149" s="53">
        <v>17</v>
      </c>
    </row>
    <row r="150" spans="2:6">
      <c r="B150" s="53" t="s">
        <v>561</v>
      </c>
      <c r="C150" s="53" t="s">
        <v>635</v>
      </c>
      <c r="D150" s="53">
        <v>1</v>
      </c>
      <c r="E150" s="53" t="s">
        <v>636</v>
      </c>
      <c r="F150" s="53">
        <v>17</v>
      </c>
    </row>
    <row r="151" spans="2:6">
      <c r="B151" s="53" t="s">
        <v>564</v>
      </c>
      <c r="C151" s="53" t="s">
        <v>633</v>
      </c>
      <c r="D151" s="53">
        <v>1</v>
      </c>
      <c r="E151" s="53" t="s">
        <v>634</v>
      </c>
      <c r="F151" s="53">
        <v>17</v>
      </c>
    </row>
    <row r="152" spans="2:6">
      <c r="B152" s="53" t="s">
        <v>568</v>
      </c>
      <c r="C152" s="53" t="s">
        <v>593</v>
      </c>
      <c r="D152" s="53">
        <v>2</v>
      </c>
      <c r="E152" s="53" t="s">
        <v>616</v>
      </c>
      <c r="F152" s="53">
        <v>18</v>
      </c>
    </row>
    <row r="153" spans="2:6">
      <c r="B153" s="53" t="s">
        <v>564</v>
      </c>
      <c r="C153" s="53" t="s">
        <v>626</v>
      </c>
      <c r="D153" s="53">
        <v>1</v>
      </c>
      <c r="E153" s="53" t="s">
        <v>627</v>
      </c>
      <c r="F153" s="53">
        <v>18</v>
      </c>
    </row>
    <row r="154" spans="2:6">
      <c r="B154" s="53" t="s">
        <v>558</v>
      </c>
      <c r="C154" s="53" t="s">
        <v>633</v>
      </c>
      <c r="D154" s="53">
        <v>1</v>
      </c>
      <c r="E154" s="53" t="s">
        <v>634</v>
      </c>
      <c r="F154" s="53">
        <v>19</v>
      </c>
    </row>
    <row r="155" spans="2:6">
      <c r="B155" s="53" t="s">
        <v>565</v>
      </c>
      <c r="C155" s="53" t="s">
        <v>633</v>
      </c>
      <c r="D155" s="53">
        <v>1</v>
      </c>
      <c r="E155" s="53" t="s">
        <v>634</v>
      </c>
      <c r="F155" s="53">
        <v>19</v>
      </c>
    </row>
    <row r="156" spans="2:6">
      <c r="B156" s="53" t="s">
        <v>573</v>
      </c>
      <c r="C156" s="53" t="s">
        <v>633</v>
      </c>
      <c r="D156" s="53">
        <v>1</v>
      </c>
      <c r="E156" s="53" t="s">
        <v>634</v>
      </c>
      <c r="F156" s="53">
        <v>21</v>
      </c>
    </row>
    <row r="157" spans="2:6">
      <c r="B157" s="53" t="s">
        <v>564</v>
      </c>
      <c r="C157" s="53" t="s">
        <v>631</v>
      </c>
      <c r="D157" s="53">
        <v>1</v>
      </c>
      <c r="E157" s="53" t="s">
        <v>632</v>
      </c>
      <c r="F157" s="53">
        <v>21</v>
      </c>
    </row>
    <row r="158" spans="2:6">
      <c r="B158" s="53" t="s">
        <v>568</v>
      </c>
      <c r="C158" s="53" t="s">
        <v>633</v>
      </c>
      <c r="D158" s="53">
        <v>1</v>
      </c>
      <c r="E158" s="53" t="s">
        <v>634</v>
      </c>
      <c r="F158" s="53">
        <v>22</v>
      </c>
    </row>
    <row r="159" spans="2:6">
      <c r="B159" s="53" t="s">
        <v>561</v>
      </c>
      <c r="C159" s="53" t="s">
        <v>637</v>
      </c>
      <c r="D159" s="53">
        <v>1</v>
      </c>
      <c r="E159" s="53" t="s">
        <v>638</v>
      </c>
      <c r="F159" s="53">
        <v>22</v>
      </c>
    </row>
    <row r="160" spans="2:6">
      <c r="B160" s="53" t="s">
        <v>573</v>
      </c>
      <c r="C160" s="53" t="s">
        <v>610</v>
      </c>
      <c r="D160" s="53">
        <v>1</v>
      </c>
      <c r="E160" s="53" t="s">
        <v>611</v>
      </c>
      <c r="F160" s="53">
        <v>23</v>
      </c>
    </row>
    <row r="161" spans="2:6">
      <c r="B161" s="53" t="s">
        <v>576</v>
      </c>
      <c r="C161" s="53" t="s">
        <v>631</v>
      </c>
      <c r="D161" s="53">
        <v>2</v>
      </c>
      <c r="E161" s="53" t="s">
        <v>639</v>
      </c>
      <c r="F161" s="53">
        <v>24</v>
      </c>
    </row>
    <row r="162" spans="2:6">
      <c r="B162" s="53" t="s">
        <v>568</v>
      </c>
      <c r="C162" s="53" t="s">
        <v>610</v>
      </c>
      <c r="D162" s="53">
        <v>1</v>
      </c>
      <c r="E162" s="53" t="s">
        <v>611</v>
      </c>
      <c r="F162" s="53">
        <v>25</v>
      </c>
    </row>
    <row r="163" spans="2:6">
      <c r="B163" s="53" t="s">
        <v>565</v>
      </c>
      <c r="C163" s="53" t="s">
        <v>610</v>
      </c>
      <c r="D163" s="53">
        <v>1</v>
      </c>
      <c r="E163" s="53" t="s">
        <v>611</v>
      </c>
      <c r="F163" s="53">
        <v>25</v>
      </c>
    </row>
    <row r="164" spans="2:6">
      <c r="B164" s="53" t="s">
        <v>558</v>
      </c>
      <c r="C164" s="53" t="s">
        <v>631</v>
      </c>
      <c r="D164" s="53">
        <v>2</v>
      </c>
      <c r="E164" s="53" t="s">
        <v>639</v>
      </c>
      <c r="F164" s="53">
        <v>26</v>
      </c>
    </row>
    <row r="165" spans="2:6">
      <c r="B165" s="53" t="s">
        <v>573</v>
      </c>
      <c r="C165" s="53" t="s">
        <v>631</v>
      </c>
      <c r="D165" s="53">
        <v>2</v>
      </c>
      <c r="E165" s="53" t="s">
        <v>639</v>
      </c>
      <c r="F165" s="53">
        <v>27</v>
      </c>
    </row>
    <row r="166" spans="2:6">
      <c r="B166" s="53" t="s">
        <v>568</v>
      </c>
      <c r="C166" s="53" t="s">
        <v>631</v>
      </c>
      <c r="D166" s="53">
        <v>2</v>
      </c>
      <c r="E166" s="53" t="s">
        <v>639</v>
      </c>
      <c r="F166" s="53">
        <v>27</v>
      </c>
    </row>
    <row r="167" spans="2:6">
      <c r="B167" s="53" t="s">
        <v>558</v>
      </c>
      <c r="C167" s="53" t="s">
        <v>626</v>
      </c>
      <c r="D167" s="53">
        <v>1</v>
      </c>
      <c r="E167" s="53" t="s">
        <v>627</v>
      </c>
      <c r="F167" s="53">
        <v>28</v>
      </c>
    </row>
    <row r="168" spans="2:6">
      <c r="B168" s="53" t="s">
        <v>565</v>
      </c>
      <c r="C168" s="53" t="s">
        <v>626</v>
      </c>
      <c r="D168" s="53">
        <v>1</v>
      </c>
      <c r="E168" s="53" t="s">
        <v>627</v>
      </c>
      <c r="F168" s="53">
        <v>28</v>
      </c>
    </row>
    <row r="169" spans="2:6">
      <c r="B169" s="53" t="s">
        <v>568</v>
      </c>
      <c r="C169" s="53" t="s">
        <v>626</v>
      </c>
      <c r="D169" s="53">
        <v>1</v>
      </c>
      <c r="E169" s="53" t="s">
        <v>627</v>
      </c>
      <c r="F169" s="53">
        <v>29</v>
      </c>
    </row>
    <row r="170" spans="2:6">
      <c r="B170" s="53" t="s">
        <v>576</v>
      </c>
      <c r="C170" s="53" t="s">
        <v>635</v>
      </c>
      <c r="D170" s="53">
        <v>1</v>
      </c>
      <c r="E170" s="53" t="s">
        <v>636</v>
      </c>
      <c r="F170" s="53">
        <v>29</v>
      </c>
    </row>
    <row r="171" spans="2:6">
      <c r="B171" s="53" t="s">
        <v>565</v>
      </c>
      <c r="C171" s="53" t="s">
        <v>631</v>
      </c>
      <c r="D171" s="53">
        <v>2</v>
      </c>
      <c r="E171" s="53" t="s">
        <v>639</v>
      </c>
      <c r="F171" s="53">
        <v>29</v>
      </c>
    </row>
    <row r="172" spans="2:6">
      <c r="B172" s="53" t="s">
        <v>564</v>
      </c>
      <c r="C172" s="53" t="s">
        <v>635</v>
      </c>
      <c r="D172" s="53">
        <v>1</v>
      </c>
      <c r="E172" s="53" t="s">
        <v>636</v>
      </c>
      <c r="F172" s="53">
        <v>30</v>
      </c>
    </row>
    <row r="173" spans="2:6">
      <c r="B173" s="53" t="s">
        <v>564</v>
      </c>
      <c r="C173" s="53" t="s">
        <v>637</v>
      </c>
      <c r="D173" s="53">
        <v>1</v>
      </c>
      <c r="E173" s="53" t="s">
        <v>638</v>
      </c>
      <c r="F173" s="53">
        <v>31</v>
      </c>
    </row>
    <row r="174" spans="2:6">
      <c r="B174" s="53" t="s">
        <v>565</v>
      </c>
      <c r="C174" s="53" t="s">
        <v>604</v>
      </c>
      <c r="D174" s="53">
        <v>4</v>
      </c>
      <c r="E174" s="53" t="s">
        <v>623</v>
      </c>
      <c r="F174" s="53">
        <v>31</v>
      </c>
    </row>
    <row r="175" spans="2:6">
      <c r="B175" s="53" t="s">
        <v>576</v>
      </c>
      <c r="C175" s="53" t="s">
        <v>637</v>
      </c>
      <c r="D175" s="53">
        <v>1</v>
      </c>
      <c r="E175" s="53" t="s">
        <v>638</v>
      </c>
      <c r="F175" s="53">
        <v>34</v>
      </c>
    </row>
    <row r="176" spans="2:6">
      <c r="B176" s="53" t="s">
        <v>576</v>
      </c>
      <c r="C176" s="53" t="s">
        <v>626</v>
      </c>
      <c r="D176" s="53">
        <v>1</v>
      </c>
      <c r="E176" s="53" t="s">
        <v>627</v>
      </c>
      <c r="F176" s="53">
        <v>34</v>
      </c>
    </row>
    <row r="177" spans="2:6">
      <c r="B177" s="53" t="s">
        <v>573</v>
      </c>
      <c r="C177" s="53" t="s">
        <v>626</v>
      </c>
      <c r="D177" s="53">
        <v>1</v>
      </c>
      <c r="E177" s="53" t="s">
        <v>627</v>
      </c>
      <c r="F177" s="53">
        <v>35</v>
      </c>
    </row>
    <row r="178" spans="2:6">
      <c r="B178" s="53" t="s">
        <v>558</v>
      </c>
      <c r="C178" s="53" t="s">
        <v>635</v>
      </c>
      <c r="D178" s="53">
        <v>1</v>
      </c>
      <c r="E178" s="53" t="s">
        <v>636</v>
      </c>
      <c r="F178" s="53">
        <v>38</v>
      </c>
    </row>
    <row r="179" spans="2:6">
      <c r="B179" s="53" t="s">
        <v>558</v>
      </c>
      <c r="C179" s="53" t="s">
        <v>637</v>
      </c>
      <c r="D179" s="53">
        <v>1</v>
      </c>
      <c r="E179" s="53" t="s">
        <v>638</v>
      </c>
      <c r="F179" s="53">
        <v>39</v>
      </c>
    </row>
    <row r="180" spans="2:6">
      <c r="B180" s="53" t="s">
        <v>565</v>
      </c>
      <c r="C180" s="53" t="s">
        <v>635</v>
      </c>
      <c r="D180" s="53">
        <v>1</v>
      </c>
      <c r="E180" s="53" t="s">
        <v>636</v>
      </c>
      <c r="F180" s="53">
        <v>40</v>
      </c>
    </row>
    <row r="181" spans="2:6">
      <c r="B181" s="53" t="s">
        <v>573</v>
      </c>
      <c r="C181" s="53" t="s">
        <v>635</v>
      </c>
      <c r="D181" s="53">
        <v>1</v>
      </c>
      <c r="E181" s="53" t="s">
        <v>636</v>
      </c>
      <c r="F181" s="53">
        <v>48</v>
      </c>
    </row>
    <row r="182" spans="2:6">
      <c r="B182" s="53" t="s">
        <v>568</v>
      </c>
      <c r="C182" s="53" t="s">
        <v>635</v>
      </c>
      <c r="D182" s="53">
        <v>1</v>
      </c>
      <c r="E182" s="53" t="s">
        <v>636</v>
      </c>
      <c r="F182" s="53">
        <v>49</v>
      </c>
    </row>
    <row r="183" spans="2:6">
      <c r="B183" s="53" t="s">
        <v>565</v>
      </c>
      <c r="C183" s="53" t="s">
        <v>637</v>
      </c>
      <c r="D183" s="53">
        <v>1</v>
      </c>
      <c r="E183" s="53" t="s">
        <v>638</v>
      </c>
      <c r="F183" s="53">
        <v>49</v>
      </c>
    </row>
    <row r="184" spans="2:6">
      <c r="B184" s="53" t="s">
        <v>573</v>
      </c>
      <c r="C184" s="53" t="s">
        <v>637</v>
      </c>
      <c r="D184" s="53">
        <v>1</v>
      </c>
      <c r="E184" s="53" t="s">
        <v>638</v>
      </c>
      <c r="F184" s="53">
        <v>52</v>
      </c>
    </row>
    <row r="185" spans="2:6">
      <c r="B185" s="53" t="s">
        <v>568</v>
      </c>
      <c r="C185" s="53" t="s">
        <v>637</v>
      </c>
      <c r="D185" s="53">
        <v>1</v>
      </c>
      <c r="E185" s="53" t="s">
        <v>638</v>
      </c>
      <c r="F185" s="53">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F63D7-87C6-45E5-98A7-5BAA5EEF865C}">
  <dimension ref="A1:C10"/>
  <sheetViews>
    <sheetView showGridLines="0" rightToLeft="1" zoomScale="118" zoomScaleNormal="54" workbookViewId="0">
      <pane ySplit="2" topLeftCell="A3" activePane="bottomLeft" state="frozen"/>
      <selection pane="bottomLeft" activeCell="A18" sqref="A18"/>
    </sheetView>
  </sheetViews>
  <sheetFormatPr defaultRowHeight="14"/>
  <cols>
    <col min="1" max="1" width="35" customWidth="1"/>
    <col min="2" max="2" width="18.33203125" customWidth="1"/>
  </cols>
  <sheetData>
    <row r="1" spans="1:3" ht="30" customHeight="1">
      <c r="A1" s="128" t="s">
        <v>0</v>
      </c>
      <c r="B1" s="128"/>
    </row>
    <row r="2" spans="1:3" ht="14.5">
      <c r="A2" s="3"/>
      <c r="B2" s="3"/>
    </row>
    <row r="3" spans="1:3" ht="14.5">
      <c r="A3" s="4" t="s">
        <v>1</v>
      </c>
      <c r="B3" s="4" t="s">
        <v>2</v>
      </c>
      <c r="C3" s="2"/>
    </row>
    <row r="4" spans="1:3" ht="14.5">
      <c r="A4" s="5" t="s">
        <v>3</v>
      </c>
      <c r="B4" s="7">
        <v>0.66666666666666663</v>
      </c>
      <c r="C4" s="2"/>
    </row>
    <row r="5" spans="1:3" ht="14.5">
      <c r="A5" s="5" t="s">
        <v>4</v>
      </c>
      <c r="B5" s="6">
        <v>15</v>
      </c>
      <c r="C5" s="2"/>
    </row>
    <row r="6" spans="1:3" ht="14.5">
      <c r="A6" s="5" t="s">
        <v>5</v>
      </c>
      <c r="B6" s="6">
        <v>0</v>
      </c>
      <c r="C6" s="2"/>
    </row>
    <row r="7" spans="1:3" ht="14.5">
      <c r="A7" s="5" t="s">
        <v>6</v>
      </c>
      <c r="B7" s="6">
        <f>B5+B6</f>
        <v>15</v>
      </c>
      <c r="C7" s="2"/>
    </row>
    <row r="8" spans="1:3" ht="14.5">
      <c r="A8" s="5" t="s">
        <v>312</v>
      </c>
      <c r="B8" s="6">
        <v>7</v>
      </c>
      <c r="C8" s="2"/>
    </row>
    <row r="9" spans="1:3" ht="14.5">
      <c r="A9" s="5" t="s">
        <v>341</v>
      </c>
      <c r="B9" s="6">
        <v>4</v>
      </c>
      <c r="C9" s="2"/>
    </row>
    <row r="10" spans="1:3" ht="14.5">
      <c r="A10" s="5" t="s">
        <v>702</v>
      </c>
      <c r="B10" s="75">
        <v>1</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5BB0C-B44C-49F8-9C6E-20422D6FBB2D}">
  <dimension ref="A1:D14"/>
  <sheetViews>
    <sheetView showGridLines="0" rightToLeft="1" zoomScale="54" zoomScaleNormal="54" workbookViewId="0">
      <pane ySplit="3" topLeftCell="A4" activePane="bottomLeft" state="frozen"/>
      <selection pane="bottomLeft" activeCell="M6" sqref="M6"/>
    </sheetView>
  </sheetViews>
  <sheetFormatPr defaultRowHeight="14"/>
  <cols>
    <col min="1" max="1" width="7.5" customWidth="1"/>
    <col min="2" max="2" width="33.33203125" customWidth="1"/>
    <col min="3" max="3" width="93.33203125" customWidth="1"/>
  </cols>
  <sheetData>
    <row r="1" spans="1:4" ht="30" customHeight="1">
      <c r="A1" s="129" t="s">
        <v>313</v>
      </c>
      <c r="B1" s="129"/>
      <c r="C1" s="129"/>
    </row>
    <row r="2" spans="1:4" ht="14.5">
      <c r="A2" s="1"/>
      <c r="B2" s="1"/>
      <c r="C2" s="1"/>
    </row>
    <row r="3" spans="1:4" ht="14.5">
      <c r="A3" s="4" t="s">
        <v>314</v>
      </c>
      <c r="B3" s="4" t="s">
        <v>315</v>
      </c>
      <c r="C3" s="4" t="s">
        <v>316</v>
      </c>
      <c r="D3" s="2"/>
    </row>
    <row r="4" spans="1:4" ht="72.5">
      <c r="A4" s="8">
        <v>1</v>
      </c>
      <c r="B4" s="10" t="s">
        <v>386</v>
      </c>
      <c r="C4" s="9" t="s">
        <v>556</v>
      </c>
      <c r="D4" s="2"/>
    </row>
    <row r="5" spans="1:4" ht="14.5">
      <c r="A5" s="8">
        <v>2</v>
      </c>
      <c r="B5" s="10" t="s">
        <v>333</v>
      </c>
      <c r="C5" s="9" t="s">
        <v>334</v>
      </c>
      <c r="D5" s="2"/>
    </row>
    <row r="6" spans="1:4" ht="43.5">
      <c r="A6" s="8">
        <v>3</v>
      </c>
      <c r="B6" s="10" t="s">
        <v>335</v>
      </c>
      <c r="C6" s="9" t="s">
        <v>531</v>
      </c>
      <c r="D6" s="2"/>
    </row>
    <row r="7" spans="1:4" ht="14.5">
      <c r="A7" s="8">
        <v>4</v>
      </c>
      <c r="B7" s="10" t="s">
        <v>336</v>
      </c>
      <c r="C7" s="9" t="s">
        <v>337</v>
      </c>
      <c r="D7" s="2"/>
    </row>
    <row r="8" spans="1:4" ht="14.5">
      <c r="A8" s="8">
        <v>5</v>
      </c>
      <c r="B8" s="10" t="s">
        <v>77</v>
      </c>
      <c r="C8" s="9" t="s">
        <v>338</v>
      </c>
      <c r="D8" s="2"/>
    </row>
    <row r="9" spans="1:4" ht="43.5">
      <c r="A9" s="8">
        <v>6</v>
      </c>
      <c r="B9" s="10" t="s">
        <v>317</v>
      </c>
      <c r="C9" s="9" t="s">
        <v>387</v>
      </c>
      <c r="D9" s="2"/>
    </row>
    <row r="10" spans="1:4" ht="43.5">
      <c r="A10" s="8">
        <v>7</v>
      </c>
      <c r="B10" s="10" t="s">
        <v>318</v>
      </c>
      <c r="C10" s="9" t="s">
        <v>532</v>
      </c>
      <c r="D10" s="2"/>
    </row>
    <row r="11" spans="1:4" ht="14.5">
      <c r="A11" s="8">
        <v>8</v>
      </c>
      <c r="B11" s="10" t="s">
        <v>319</v>
      </c>
      <c r="C11" s="9" t="s">
        <v>320</v>
      </c>
      <c r="D11" s="2"/>
    </row>
    <row r="12" spans="1:4">
      <c r="A12" s="2">
        <v>9</v>
      </c>
      <c r="B12" s="2" t="s">
        <v>362</v>
      </c>
      <c r="C12" s="2" t="s">
        <v>541</v>
      </c>
    </row>
    <row r="13" spans="1:4" ht="43.5">
      <c r="A13" s="15">
        <v>10</v>
      </c>
      <c r="B13" s="16" t="s">
        <v>363</v>
      </c>
      <c r="C13" s="17" t="s">
        <v>557</v>
      </c>
    </row>
    <row r="14" spans="1:4" ht="43.5">
      <c r="A14" s="15">
        <v>11</v>
      </c>
      <c r="B14" s="16" t="s">
        <v>436</v>
      </c>
      <c r="C14" s="17" t="s">
        <v>437</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783-A2B3-4A23-A096-82602CACF684}">
  <dimension ref="A1:N60"/>
  <sheetViews>
    <sheetView showGridLines="0" rightToLeft="1" zoomScale="70" zoomScaleNormal="70" workbookViewId="0">
      <pane xSplit="2" ySplit="3" topLeftCell="D4" activePane="bottomRight" state="frozen"/>
      <selection pane="topRight" activeCell="C1" sqref="C1"/>
      <selection pane="bottomLeft" activeCell="A4" sqref="A4"/>
      <selection pane="bottomRight" activeCell="C20" sqref="C20"/>
    </sheetView>
  </sheetViews>
  <sheetFormatPr defaultRowHeight="14"/>
  <cols>
    <col min="1" max="2" width="12.5" customWidth="1"/>
    <col min="3" max="3" width="30.83203125" customWidth="1"/>
    <col min="4" max="4" width="15" customWidth="1"/>
    <col min="5" max="5" width="25" customWidth="1"/>
    <col min="6" max="6" width="18.33203125" customWidth="1"/>
    <col min="7" max="7" width="78.25" customWidth="1"/>
    <col min="8" max="8" width="8.5" bestFit="1" customWidth="1"/>
    <col min="9" max="9" width="8.08203125" bestFit="1" customWidth="1"/>
    <col min="10" max="10" width="6.5" bestFit="1" customWidth="1"/>
    <col min="11" max="11" width="20.4140625" customWidth="1"/>
    <col min="12" max="12" width="15.25" bestFit="1" customWidth="1"/>
    <col min="13" max="13" width="15.83203125" customWidth="1"/>
  </cols>
  <sheetData>
    <row r="1" spans="1:14" ht="30" customHeight="1">
      <c r="A1" s="129" t="s">
        <v>530</v>
      </c>
      <c r="B1" s="129"/>
      <c r="C1" s="129"/>
      <c r="D1" s="129"/>
      <c r="E1" s="129"/>
      <c r="F1" s="129"/>
      <c r="G1" s="129"/>
      <c r="H1" s="129"/>
      <c r="I1" s="129"/>
      <c r="J1" s="129"/>
      <c r="K1" s="129"/>
      <c r="L1" s="129"/>
      <c r="M1" s="129"/>
      <c r="N1" s="11"/>
    </row>
    <row r="2" spans="1:14" ht="18.5">
      <c r="A2" s="13"/>
      <c r="B2" s="13"/>
      <c r="C2" s="13"/>
      <c r="D2" s="13"/>
      <c r="E2" s="13"/>
      <c r="F2" s="13"/>
      <c r="G2" s="13"/>
      <c r="H2" s="13"/>
      <c r="I2" s="13"/>
      <c r="J2" s="13"/>
      <c r="K2" s="13"/>
      <c r="L2" s="13"/>
      <c r="M2" s="13"/>
      <c r="N2" s="14"/>
    </row>
    <row r="3" spans="1:14" s="12" customFormat="1" ht="58">
      <c r="A3" s="26" t="s">
        <v>76</v>
      </c>
      <c r="B3" s="26" t="s">
        <v>221</v>
      </c>
      <c r="C3" s="26" t="s">
        <v>342</v>
      </c>
      <c r="D3" s="26" t="s">
        <v>400</v>
      </c>
      <c r="E3" s="26" t="s">
        <v>240</v>
      </c>
      <c r="F3" s="26" t="s">
        <v>401</v>
      </c>
      <c r="G3" s="26" t="s">
        <v>402</v>
      </c>
      <c r="H3" s="26" t="s">
        <v>78</v>
      </c>
      <c r="I3" s="26" t="s">
        <v>539</v>
      </c>
      <c r="J3" s="26" t="s">
        <v>540</v>
      </c>
      <c r="K3" s="26" t="s">
        <v>339</v>
      </c>
      <c r="L3" s="27" t="s">
        <v>340</v>
      </c>
    </row>
    <row r="4" spans="1:14" ht="14.5">
      <c r="A4" s="28">
        <v>5</v>
      </c>
      <c r="B4" s="29">
        <v>1</v>
      </c>
      <c r="C4" s="29">
        <v>5</v>
      </c>
      <c r="D4" s="29">
        <v>7</v>
      </c>
      <c r="E4" s="29">
        <v>28</v>
      </c>
      <c r="F4" s="29">
        <v>7</v>
      </c>
      <c r="G4" s="44" t="s">
        <v>411</v>
      </c>
      <c r="H4" s="30" t="s">
        <v>384</v>
      </c>
      <c r="I4" s="30" t="s">
        <v>514</v>
      </c>
      <c r="J4" s="31">
        <f>(10*المدخلات!$B$7)/1440</f>
        <v>0.10416666666666667</v>
      </c>
      <c r="K4" s="29">
        <v>1</v>
      </c>
      <c r="L4" s="32">
        <v>1</v>
      </c>
    </row>
    <row r="5" spans="1:14" ht="14.5">
      <c r="A5" s="28">
        <v>6</v>
      </c>
      <c r="B5" s="29">
        <v>1</v>
      </c>
      <c r="C5" s="29">
        <v>6</v>
      </c>
      <c r="D5" s="29">
        <v>5</v>
      </c>
      <c r="E5" s="29">
        <v>25</v>
      </c>
      <c r="F5" s="29">
        <v>6</v>
      </c>
      <c r="G5" s="44" t="s">
        <v>409</v>
      </c>
      <c r="H5" s="30" t="s">
        <v>384</v>
      </c>
      <c r="I5" s="30" t="s">
        <v>385</v>
      </c>
      <c r="J5" s="31">
        <f>(9*المدخلات!$B$7)/1440</f>
        <v>9.375E-2</v>
      </c>
      <c r="K5" s="29">
        <v>3</v>
      </c>
      <c r="L5" s="32">
        <v>1</v>
      </c>
    </row>
    <row r="6" spans="1:14" ht="14.5">
      <c r="A6" s="28">
        <v>7</v>
      </c>
      <c r="B6" s="29">
        <v>1</v>
      </c>
      <c r="C6" s="29">
        <v>7</v>
      </c>
      <c r="D6" s="29">
        <v>4</v>
      </c>
      <c r="E6" s="29">
        <v>24</v>
      </c>
      <c r="F6" s="29">
        <v>6</v>
      </c>
      <c r="G6" s="44" t="s">
        <v>410</v>
      </c>
      <c r="H6" s="30" t="s">
        <v>384</v>
      </c>
      <c r="I6" s="30" t="s">
        <v>514</v>
      </c>
      <c r="J6" s="31">
        <f>(10*المدخلات!$B$7)/1440</f>
        <v>0.10416666666666667</v>
      </c>
      <c r="K6" s="29">
        <v>2</v>
      </c>
      <c r="L6" s="32">
        <v>1</v>
      </c>
    </row>
    <row r="7" spans="1:14" ht="14.5">
      <c r="A7" s="28">
        <v>8</v>
      </c>
      <c r="B7" s="29">
        <v>1</v>
      </c>
      <c r="C7" s="29">
        <v>8</v>
      </c>
      <c r="D7" s="29">
        <v>4</v>
      </c>
      <c r="E7" s="29">
        <v>28</v>
      </c>
      <c r="F7" s="29">
        <v>7</v>
      </c>
      <c r="G7" s="44" t="s">
        <v>411</v>
      </c>
      <c r="H7" s="30" t="s">
        <v>384</v>
      </c>
      <c r="I7" s="30" t="s">
        <v>433</v>
      </c>
      <c r="J7" s="31">
        <f>(7*المدخلات!$B$7)/1440</f>
        <v>7.2916666666666671E-2</v>
      </c>
      <c r="K7" s="29">
        <v>4</v>
      </c>
      <c r="L7" s="32">
        <v>1</v>
      </c>
    </row>
    <row r="8" spans="1:14" ht="14.5">
      <c r="A8" s="28">
        <v>9</v>
      </c>
      <c r="B8" s="29">
        <v>1</v>
      </c>
      <c r="C8" s="29">
        <v>9</v>
      </c>
      <c r="D8" s="29">
        <v>3</v>
      </c>
      <c r="E8" s="29">
        <v>24</v>
      </c>
      <c r="F8" s="29">
        <v>6</v>
      </c>
      <c r="G8" s="44" t="s">
        <v>410</v>
      </c>
      <c r="H8" s="30" t="s">
        <v>384</v>
      </c>
      <c r="I8" s="30" t="s">
        <v>514</v>
      </c>
      <c r="J8" s="31">
        <f>(10*المدخلات!$B$7)/1440</f>
        <v>0.10416666666666667</v>
      </c>
      <c r="K8" s="29">
        <v>3</v>
      </c>
      <c r="L8" s="32">
        <v>1</v>
      </c>
    </row>
    <row r="9" spans="1:14" ht="14.5">
      <c r="A9" s="28">
        <v>10</v>
      </c>
      <c r="B9" s="29">
        <v>1</v>
      </c>
      <c r="C9" s="29">
        <v>10</v>
      </c>
      <c r="D9" s="29">
        <v>3</v>
      </c>
      <c r="E9" s="29">
        <v>27</v>
      </c>
      <c r="F9" s="29">
        <v>7</v>
      </c>
      <c r="G9" s="44" t="s">
        <v>412</v>
      </c>
      <c r="H9" s="30" t="s">
        <v>384</v>
      </c>
      <c r="I9" s="30" t="s">
        <v>385</v>
      </c>
      <c r="J9" s="31">
        <f>(9*المدخلات!$B$7)/1440</f>
        <v>9.375E-2</v>
      </c>
      <c r="K9" s="29">
        <v>4</v>
      </c>
      <c r="L9" s="32">
        <v>1</v>
      </c>
    </row>
    <row r="10" spans="1:14" ht="14.5">
      <c r="A10" s="28">
        <v>11</v>
      </c>
      <c r="B10" s="29">
        <v>1</v>
      </c>
      <c r="C10" s="29">
        <v>11</v>
      </c>
      <c r="D10" s="29">
        <v>3</v>
      </c>
      <c r="E10" s="29">
        <v>30</v>
      </c>
      <c r="F10" s="29">
        <v>7</v>
      </c>
      <c r="G10" s="44" t="s">
        <v>542</v>
      </c>
      <c r="H10" s="30" t="s">
        <v>384</v>
      </c>
      <c r="I10" s="30" t="s">
        <v>543</v>
      </c>
      <c r="J10" s="31">
        <f>(14*المدخلات!$B$7)/1440</f>
        <v>0.14583333333333334</v>
      </c>
      <c r="K10" s="29">
        <v>4</v>
      </c>
      <c r="L10" s="32">
        <v>1</v>
      </c>
    </row>
    <row r="11" spans="1:14" ht="14.5">
      <c r="A11" s="28">
        <v>12</v>
      </c>
      <c r="B11" s="29">
        <v>1</v>
      </c>
      <c r="C11" s="29">
        <v>12</v>
      </c>
      <c r="D11" s="29">
        <v>2</v>
      </c>
      <c r="E11" s="29">
        <v>22</v>
      </c>
      <c r="F11" s="29">
        <v>6</v>
      </c>
      <c r="G11" s="44" t="s">
        <v>413</v>
      </c>
      <c r="H11" s="30" t="s">
        <v>384</v>
      </c>
      <c r="I11" s="30" t="s">
        <v>385</v>
      </c>
      <c r="J11" s="31">
        <f>(9*المدخلات!$B$7)/1440</f>
        <v>9.375E-2</v>
      </c>
      <c r="K11" s="29">
        <v>4</v>
      </c>
      <c r="L11" s="32">
        <v>1</v>
      </c>
    </row>
    <row r="12" spans="1:14" ht="14.5">
      <c r="A12" s="28">
        <v>13</v>
      </c>
      <c r="B12" s="29">
        <v>1</v>
      </c>
      <c r="C12" s="29">
        <v>13</v>
      </c>
      <c r="D12" s="29">
        <v>2</v>
      </c>
      <c r="E12" s="29">
        <v>24</v>
      </c>
      <c r="F12" s="29">
        <v>6</v>
      </c>
      <c r="G12" s="44" t="s">
        <v>410</v>
      </c>
      <c r="H12" s="30" t="s">
        <v>384</v>
      </c>
      <c r="I12" s="30" t="s">
        <v>385</v>
      </c>
      <c r="J12" s="31">
        <f>(9*المدخلات!$B$7)/1440</f>
        <v>9.375E-2</v>
      </c>
      <c r="K12" s="29">
        <v>4</v>
      </c>
      <c r="L12" s="32">
        <v>1</v>
      </c>
    </row>
    <row r="13" spans="1:14" ht="14.5">
      <c r="A13" s="28">
        <v>14</v>
      </c>
      <c r="B13" s="29">
        <v>2</v>
      </c>
      <c r="C13" s="29" t="s">
        <v>414</v>
      </c>
      <c r="D13" s="29" t="s">
        <v>381</v>
      </c>
      <c r="E13" s="29" t="s">
        <v>403</v>
      </c>
      <c r="F13" s="29">
        <v>6</v>
      </c>
      <c r="G13" s="44" t="s">
        <v>544</v>
      </c>
      <c r="H13" s="30" t="s">
        <v>384</v>
      </c>
      <c r="I13" s="30" t="s">
        <v>514</v>
      </c>
      <c r="J13" s="31">
        <f>(10*المدخلات!$B$7)/1440</f>
        <v>0.10416666666666667</v>
      </c>
      <c r="K13" s="29">
        <v>4</v>
      </c>
      <c r="L13" s="32">
        <v>2</v>
      </c>
    </row>
    <row r="14" spans="1:14" ht="14.5">
      <c r="A14" s="28">
        <v>15</v>
      </c>
      <c r="B14" s="29">
        <v>2</v>
      </c>
      <c r="C14" s="29" t="s">
        <v>515</v>
      </c>
      <c r="D14" s="29" t="s">
        <v>381</v>
      </c>
      <c r="E14" s="29" t="s">
        <v>516</v>
      </c>
      <c r="F14" s="29">
        <v>7</v>
      </c>
      <c r="G14" s="44" t="s">
        <v>545</v>
      </c>
      <c r="H14" s="30" t="s">
        <v>384</v>
      </c>
      <c r="I14" s="30" t="s">
        <v>514</v>
      </c>
      <c r="J14" s="31">
        <f>(10*المدخلات!$B$7)/1440</f>
        <v>0.10416666666666667</v>
      </c>
      <c r="K14" s="29">
        <v>6</v>
      </c>
      <c r="L14" s="32">
        <v>2</v>
      </c>
    </row>
    <row r="15" spans="1:14" ht="14.5">
      <c r="A15" s="28">
        <v>16</v>
      </c>
      <c r="B15" s="29">
        <v>2</v>
      </c>
      <c r="C15" s="29" t="s">
        <v>415</v>
      </c>
      <c r="D15" s="29" t="s">
        <v>381</v>
      </c>
      <c r="E15" s="29" t="s">
        <v>382</v>
      </c>
      <c r="F15" s="29">
        <v>7</v>
      </c>
      <c r="G15" s="44" t="s">
        <v>538</v>
      </c>
      <c r="H15" s="30" t="s">
        <v>384</v>
      </c>
      <c r="I15" s="30" t="s">
        <v>433</v>
      </c>
      <c r="J15" s="31">
        <f>(7*المدخلات!$B$7)/1440</f>
        <v>7.2916666666666671E-2</v>
      </c>
      <c r="K15" s="29">
        <v>8</v>
      </c>
      <c r="L15" s="32">
        <v>2</v>
      </c>
    </row>
    <row r="16" spans="1:14" ht="14.5">
      <c r="A16" s="28">
        <v>17</v>
      </c>
      <c r="B16" s="29">
        <v>2</v>
      </c>
      <c r="C16" s="29" t="s">
        <v>416</v>
      </c>
      <c r="D16" s="29" t="s">
        <v>398</v>
      </c>
      <c r="E16" s="29" t="s">
        <v>404</v>
      </c>
      <c r="F16" s="29">
        <v>7</v>
      </c>
      <c r="G16" s="44" t="s">
        <v>546</v>
      </c>
      <c r="H16" s="30" t="s">
        <v>384</v>
      </c>
      <c r="I16" s="30" t="s">
        <v>514</v>
      </c>
      <c r="J16" s="31">
        <f>(10*المدخلات!$B$7)/1440</f>
        <v>0.10416666666666667</v>
      </c>
      <c r="K16" s="29">
        <v>7</v>
      </c>
      <c r="L16" s="32">
        <v>2</v>
      </c>
    </row>
    <row r="17" spans="1:14" ht="14.5">
      <c r="A17" s="28">
        <v>18</v>
      </c>
      <c r="B17" s="29">
        <v>2</v>
      </c>
      <c r="C17" s="29" t="s">
        <v>417</v>
      </c>
      <c r="D17" s="29" t="s">
        <v>398</v>
      </c>
      <c r="E17" s="29" t="s">
        <v>399</v>
      </c>
      <c r="F17" s="29">
        <v>7</v>
      </c>
      <c r="G17" s="44" t="s">
        <v>547</v>
      </c>
      <c r="H17" s="30" t="s">
        <v>384</v>
      </c>
      <c r="I17" s="30" t="s">
        <v>385</v>
      </c>
      <c r="J17" s="31">
        <f>(9*المدخلات!$B$7)/1440</f>
        <v>9.375E-2</v>
      </c>
      <c r="K17" s="29">
        <v>8</v>
      </c>
      <c r="L17" s="32">
        <v>2</v>
      </c>
    </row>
    <row r="18" spans="1:14" ht="14.5">
      <c r="A18" s="28">
        <v>19</v>
      </c>
      <c r="B18" s="29">
        <v>2</v>
      </c>
      <c r="C18" s="29" t="s">
        <v>418</v>
      </c>
      <c r="D18" s="29" t="s">
        <v>383</v>
      </c>
      <c r="E18" s="29" t="s">
        <v>405</v>
      </c>
      <c r="F18" s="29">
        <v>7</v>
      </c>
      <c r="G18" s="44" t="s">
        <v>548</v>
      </c>
      <c r="H18" s="30" t="s">
        <v>384</v>
      </c>
      <c r="I18" s="30" t="s">
        <v>514</v>
      </c>
      <c r="J18" s="31">
        <f>(10*المدخلات!$B$7)/1440</f>
        <v>0.10416666666666667</v>
      </c>
      <c r="K18" s="29">
        <v>7</v>
      </c>
      <c r="L18" s="32">
        <v>2</v>
      </c>
    </row>
    <row r="19" spans="1:14" ht="29">
      <c r="A19" s="28">
        <v>21</v>
      </c>
      <c r="B19" s="29">
        <v>2</v>
      </c>
      <c r="C19" s="29" t="s">
        <v>517</v>
      </c>
      <c r="D19" s="29" t="s">
        <v>383</v>
      </c>
      <c r="E19" s="29" t="s">
        <v>518</v>
      </c>
      <c r="F19" s="29">
        <v>7</v>
      </c>
      <c r="G19" s="44" t="s">
        <v>549</v>
      </c>
      <c r="H19" s="30" t="s">
        <v>384</v>
      </c>
      <c r="I19" s="30" t="s">
        <v>543</v>
      </c>
      <c r="J19" s="31">
        <f>(14*المدخلات!$B$7)/1440</f>
        <v>0.14583333333333334</v>
      </c>
      <c r="K19" s="29">
        <v>8</v>
      </c>
      <c r="L19" s="32">
        <v>2</v>
      </c>
    </row>
    <row r="20" spans="1:14" ht="29">
      <c r="A20" s="28">
        <v>25</v>
      </c>
      <c r="B20" s="29">
        <v>3</v>
      </c>
      <c r="C20" s="29" t="s">
        <v>419</v>
      </c>
      <c r="D20" s="29" t="s">
        <v>406</v>
      </c>
      <c r="E20" s="29" t="s">
        <v>407</v>
      </c>
      <c r="F20" s="29">
        <v>7</v>
      </c>
      <c r="G20" s="44" t="s">
        <v>550</v>
      </c>
      <c r="H20" s="30" t="s">
        <v>384</v>
      </c>
      <c r="I20" s="30" t="s">
        <v>514</v>
      </c>
      <c r="J20" s="31">
        <f>(10*المدخلات!$B$7)/1440</f>
        <v>0.10416666666666667</v>
      </c>
      <c r="K20" s="29">
        <v>11</v>
      </c>
      <c r="L20" s="32">
        <v>3</v>
      </c>
    </row>
    <row r="21" spans="1:14" ht="29">
      <c r="A21" s="28">
        <v>28</v>
      </c>
      <c r="B21" s="29">
        <v>3</v>
      </c>
      <c r="C21" s="29" t="s">
        <v>519</v>
      </c>
      <c r="D21" s="29" t="s">
        <v>408</v>
      </c>
      <c r="E21" s="29" t="s">
        <v>520</v>
      </c>
      <c r="F21" s="29">
        <v>7</v>
      </c>
      <c r="G21" s="44" t="s">
        <v>551</v>
      </c>
      <c r="H21" s="30" t="s">
        <v>384</v>
      </c>
      <c r="I21" s="30" t="s">
        <v>514</v>
      </c>
      <c r="J21" s="31">
        <f>(10*المدخلات!$B$7)/1440</f>
        <v>0.10416666666666667</v>
      </c>
      <c r="K21" s="29">
        <v>10</v>
      </c>
      <c r="L21" s="32">
        <v>3</v>
      </c>
    </row>
    <row r="22" spans="1:14" ht="29">
      <c r="A22" s="28">
        <v>29</v>
      </c>
      <c r="B22" s="29">
        <v>3</v>
      </c>
      <c r="C22" s="29" t="s">
        <v>521</v>
      </c>
      <c r="D22" s="29" t="s">
        <v>408</v>
      </c>
      <c r="E22" s="29" t="s">
        <v>522</v>
      </c>
      <c r="F22" s="29">
        <v>7</v>
      </c>
      <c r="G22" s="44" t="s">
        <v>552</v>
      </c>
      <c r="H22" s="30" t="s">
        <v>384</v>
      </c>
      <c r="I22" s="30" t="s">
        <v>514</v>
      </c>
      <c r="J22" s="31">
        <f>(10*المدخلات!$B$7)/1440</f>
        <v>0.10416666666666667</v>
      </c>
      <c r="K22" s="29">
        <v>11</v>
      </c>
      <c r="L22" s="32">
        <v>3</v>
      </c>
    </row>
    <row r="23" spans="1:14" ht="14.5">
      <c r="A23" s="28">
        <v>30</v>
      </c>
      <c r="B23" s="29">
        <v>3</v>
      </c>
      <c r="C23" s="29" t="s">
        <v>523</v>
      </c>
      <c r="D23" s="29" t="s">
        <v>408</v>
      </c>
      <c r="E23" s="29" t="s">
        <v>524</v>
      </c>
      <c r="F23" s="29">
        <v>7</v>
      </c>
      <c r="G23" s="44" t="s">
        <v>553</v>
      </c>
      <c r="H23" s="30" t="s">
        <v>384</v>
      </c>
      <c r="I23" s="30" t="s">
        <v>385</v>
      </c>
      <c r="J23" s="31">
        <f>(9*المدخلات!$B$7)/1440</f>
        <v>9.375E-2</v>
      </c>
      <c r="K23" s="29">
        <v>12</v>
      </c>
      <c r="L23" s="32">
        <v>3</v>
      </c>
    </row>
    <row r="24" spans="1:14" ht="29">
      <c r="A24" s="28">
        <v>31</v>
      </c>
      <c r="B24" s="29">
        <v>3</v>
      </c>
      <c r="C24" s="29" t="s">
        <v>464</v>
      </c>
      <c r="D24" s="29" t="s">
        <v>408</v>
      </c>
      <c r="E24" s="29" t="s">
        <v>465</v>
      </c>
      <c r="F24" s="29">
        <v>7</v>
      </c>
      <c r="G24" s="44" t="s">
        <v>554</v>
      </c>
      <c r="H24" s="30" t="s">
        <v>384</v>
      </c>
      <c r="I24" s="30" t="s">
        <v>543</v>
      </c>
      <c r="J24" s="31">
        <f>(14*المدخلات!$B$7)/1440</f>
        <v>0.14583333333333334</v>
      </c>
      <c r="K24" s="29">
        <v>12</v>
      </c>
      <c r="L24" s="32">
        <v>3</v>
      </c>
    </row>
    <row r="25" spans="1:14" ht="14.5">
      <c r="A25" s="28">
        <v>40</v>
      </c>
      <c r="B25" s="29">
        <v>4</v>
      </c>
      <c r="C25" s="29" t="s">
        <v>525</v>
      </c>
      <c r="D25" s="29" t="s">
        <v>526</v>
      </c>
      <c r="E25" s="29" t="s">
        <v>527</v>
      </c>
      <c r="F25" s="29">
        <v>7</v>
      </c>
      <c r="G25" s="44" t="s">
        <v>553</v>
      </c>
      <c r="H25" s="30" t="s">
        <v>384</v>
      </c>
      <c r="I25" s="30" t="s">
        <v>385</v>
      </c>
      <c r="J25" s="31">
        <f>(9*المدخلات!$B$7)/1440</f>
        <v>9.375E-2</v>
      </c>
      <c r="K25" s="29">
        <v>16</v>
      </c>
      <c r="L25" s="32">
        <v>4</v>
      </c>
    </row>
    <row r="26" spans="1:14" ht="43.5">
      <c r="A26" s="28">
        <v>49</v>
      </c>
      <c r="B26" s="29">
        <v>4</v>
      </c>
      <c r="C26" s="29" t="s">
        <v>528</v>
      </c>
      <c r="D26" s="29" t="s">
        <v>466</v>
      </c>
      <c r="E26" s="29" t="s">
        <v>529</v>
      </c>
      <c r="F26" s="29">
        <v>6</v>
      </c>
      <c r="G26" s="44" t="s">
        <v>555</v>
      </c>
      <c r="H26" s="30" t="s">
        <v>384</v>
      </c>
      <c r="I26" s="30" t="s">
        <v>385</v>
      </c>
      <c r="J26" s="31">
        <f>(9*المدخلات!$B$7)/1440</f>
        <v>9.375E-2</v>
      </c>
      <c r="K26" s="29">
        <v>16</v>
      </c>
      <c r="L26" s="32">
        <v>4</v>
      </c>
    </row>
    <row r="27" spans="1:14">
      <c r="A27" s="2"/>
      <c r="B27" s="2"/>
      <c r="C27" s="2"/>
      <c r="D27" s="2"/>
      <c r="E27" s="2"/>
      <c r="F27" s="2"/>
      <c r="G27" s="2"/>
      <c r="H27" s="2"/>
      <c r="I27" s="2"/>
      <c r="J27" s="2"/>
      <c r="K27" s="2"/>
      <c r="L27" s="2"/>
      <c r="M27" s="2"/>
      <c r="N27" s="2"/>
    </row>
    <row r="29" spans="1:14" ht="15.5">
      <c r="A29" s="130" t="s">
        <v>420</v>
      </c>
      <c r="B29" s="131"/>
      <c r="C29" s="131"/>
      <c r="D29" s="131"/>
      <c r="E29" s="131"/>
      <c r="F29" s="132"/>
    </row>
    <row r="30" spans="1:14" ht="14.5">
      <c r="A30" s="39" t="s">
        <v>76</v>
      </c>
      <c r="B30" s="40" t="s">
        <v>421</v>
      </c>
      <c r="C30" s="40" t="s">
        <v>422</v>
      </c>
      <c r="D30" s="40" t="s">
        <v>423</v>
      </c>
      <c r="E30" s="40" t="s">
        <v>424</v>
      </c>
      <c r="F30" s="41" t="s">
        <v>425</v>
      </c>
    </row>
    <row r="31" spans="1:14" ht="14.5">
      <c r="A31" s="35">
        <v>5</v>
      </c>
      <c r="B31" s="33">
        <v>56</v>
      </c>
      <c r="C31" s="33">
        <v>49</v>
      </c>
      <c r="D31" s="33">
        <v>0</v>
      </c>
      <c r="E31" s="33">
        <f t="shared" ref="E31:E53" si="0">B31+C31+D31</f>
        <v>105</v>
      </c>
      <c r="F31" s="37">
        <f t="shared" ref="F31:F53" si="1">B31/E31</f>
        <v>0.53333333333333333</v>
      </c>
    </row>
    <row r="32" spans="1:14" ht="14.5">
      <c r="A32" s="35">
        <v>6</v>
      </c>
      <c r="B32" s="33">
        <v>114</v>
      </c>
      <c r="C32" s="33">
        <v>0</v>
      </c>
      <c r="D32" s="33">
        <v>0</v>
      </c>
      <c r="E32" s="33">
        <f t="shared" si="0"/>
        <v>114</v>
      </c>
      <c r="F32" s="37">
        <f t="shared" si="1"/>
        <v>1</v>
      </c>
    </row>
    <row r="33" spans="1:6" ht="14.5">
      <c r="A33" s="35">
        <v>7</v>
      </c>
      <c r="B33" s="33">
        <v>81</v>
      </c>
      <c r="C33" s="33">
        <v>45</v>
      </c>
      <c r="D33" s="33">
        <v>0</v>
      </c>
      <c r="E33" s="33">
        <f t="shared" si="0"/>
        <v>126</v>
      </c>
      <c r="F33" s="37">
        <f t="shared" si="1"/>
        <v>0.6428571428571429</v>
      </c>
    </row>
    <row r="34" spans="1:6" ht="14.5">
      <c r="A34" s="35">
        <v>8</v>
      </c>
      <c r="B34" s="33">
        <v>168</v>
      </c>
      <c r="C34" s="33">
        <v>0</v>
      </c>
      <c r="D34" s="33">
        <v>0</v>
      </c>
      <c r="E34" s="33">
        <f t="shared" si="0"/>
        <v>168</v>
      </c>
      <c r="F34" s="37">
        <f t="shared" si="1"/>
        <v>1</v>
      </c>
    </row>
    <row r="35" spans="1:6" ht="14.5">
      <c r="A35" s="35">
        <v>9</v>
      </c>
      <c r="B35" s="33">
        <v>113</v>
      </c>
      <c r="C35" s="33">
        <v>49</v>
      </c>
      <c r="D35" s="33">
        <v>0</v>
      </c>
      <c r="E35" s="33">
        <f t="shared" si="0"/>
        <v>162</v>
      </c>
      <c r="F35" s="37">
        <f t="shared" si="1"/>
        <v>0.69753086419753085</v>
      </c>
    </row>
    <row r="36" spans="1:6" ht="14.5">
      <c r="A36" s="35">
        <v>10</v>
      </c>
      <c r="B36" s="33">
        <v>146</v>
      </c>
      <c r="C36" s="33">
        <v>54</v>
      </c>
      <c r="D36" s="33">
        <v>0</v>
      </c>
      <c r="E36" s="33">
        <f t="shared" si="0"/>
        <v>200</v>
      </c>
      <c r="F36" s="37">
        <f t="shared" si="1"/>
        <v>0.73</v>
      </c>
    </row>
    <row r="37" spans="1:6" ht="14.5">
      <c r="A37" s="35">
        <v>11</v>
      </c>
      <c r="B37" s="33">
        <v>184</v>
      </c>
      <c r="C37" s="33">
        <v>69</v>
      </c>
      <c r="D37" s="33">
        <v>0</v>
      </c>
      <c r="E37" s="33">
        <f t="shared" si="0"/>
        <v>253</v>
      </c>
      <c r="F37" s="37">
        <f t="shared" si="1"/>
        <v>0.72727272727272729</v>
      </c>
    </row>
    <row r="38" spans="1:6" ht="14.5">
      <c r="A38" s="35">
        <v>12</v>
      </c>
      <c r="B38" s="33">
        <v>144</v>
      </c>
      <c r="C38" s="33">
        <v>48</v>
      </c>
      <c r="D38" s="33">
        <v>0</v>
      </c>
      <c r="E38" s="33">
        <f t="shared" si="0"/>
        <v>192</v>
      </c>
      <c r="F38" s="37">
        <f t="shared" si="1"/>
        <v>0.75</v>
      </c>
    </row>
    <row r="39" spans="1:6" ht="14.5">
      <c r="A39" s="35">
        <v>13</v>
      </c>
      <c r="B39" s="33">
        <v>164</v>
      </c>
      <c r="C39" s="33">
        <v>70</v>
      </c>
      <c r="D39" s="33">
        <v>0</v>
      </c>
      <c r="E39" s="33">
        <f t="shared" si="0"/>
        <v>234</v>
      </c>
      <c r="F39" s="37">
        <f t="shared" si="1"/>
        <v>0.70085470085470081</v>
      </c>
    </row>
    <row r="40" spans="1:6" ht="14.5">
      <c r="A40" s="35">
        <v>14</v>
      </c>
      <c r="B40" s="33">
        <v>162</v>
      </c>
      <c r="C40" s="33">
        <v>90</v>
      </c>
      <c r="D40" s="33">
        <v>0</v>
      </c>
      <c r="E40" s="33">
        <f t="shared" si="0"/>
        <v>252</v>
      </c>
      <c r="F40" s="37">
        <f t="shared" si="1"/>
        <v>0.6428571428571429</v>
      </c>
    </row>
    <row r="41" spans="1:6" ht="14.5">
      <c r="A41" s="35">
        <v>15</v>
      </c>
      <c r="B41" s="33">
        <v>249</v>
      </c>
      <c r="C41" s="33">
        <v>45</v>
      </c>
      <c r="D41" s="33">
        <v>0</v>
      </c>
      <c r="E41" s="33">
        <f t="shared" si="0"/>
        <v>294</v>
      </c>
      <c r="F41" s="37">
        <f t="shared" si="1"/>
        <v>0.84693877551020413</v>
      </c>
    </row>
    <row r="42" spans="1:6" ht="14.5">
      <c r="A42" s="35">
        <v>16</v>
      </c>
      <c r="B42" s="33">
        <v>336</v>
      </c>
      <c r="C42" s="33">
        <v>0</v>
      </c>
      <c r="D42" s="33">
        <v>0</v>
      </c>
      <c r="E42" s="33">
        <f t="shared" si="0"/>
        <v>336</v>
      </c>
      <c r="F42" s="37">
        <f t="shared" si="1"/>
        <v>1</v>
      </c>
    </row>
    <row r="43" spans="1:6" ht="14.5">
      <c r="A43" s="35">
        <v>17</v>
      </c>
      <c r="B43" s="33">
        <v>281</v>
      </c>
      <c r="C43" s="33">
        <v>49</v>
      </c>
      <c r="D43" s="33">
        <v>0</v>
      </c>
      <c r="E43" s="33">
        <f t="shared" si="0"/>
        <v>330</v>
      </c>
      <c r="F43" s="37">
        <f t="shared" si="1"/>
        <v>0.85151515151515156</v>
      </c>
    </row>
    <row r="44" spans="1:6" ht="14.5">
      <c r="A44" s="35">
        <v>18</v>
      </c>
      <c r="B44" s="33">
        <v>314</v>
      </c>
      <c r="C44" s="33">
        <v>54</v>
      </c>
      <c r="D44" s="33">
        <v>0</v>
      </c>
      <c r="E44" s="33">
        <f t="shared" si="0"/>
        <v>368</v>
      </c>
      <c r="F44" s="37">
        <f t="shared" si="1"/>
        <v>0.85326086956521741</v>
      </c>
    </row>
    <row r="45" spans="1:6" ht="14.5">
      <c r="A45" s="35">
        <v>19</v>
      </c>
      <c r="B45" s="33">
        <v>259</v>
      </c>
      <c r="C45" s="33">
        <v>103</v>
      </c>
      <c r="D45" s="33">
        <v>0</v>
      </c>
      <c r="E45" s="33">
        <f t="shared" si="0"/>
        <v>362</v>
      </c>
      <c r="F45" s="37">
        <f t="shared" si="1"/>
        <v>0.71546961325966851</v>
      </c>
    </row>
    <row r="46" spans="1:6" ht="14.5">
      <c r="A46" s="35">
        <v>21</v>
      </c>
      <c r="B46" s="33">
        <v>330</v>
      </c>
      <c r="C46" s="33">
        <v>123</v>
      </c>
      <c r="D46" s="33">
        <v>0</v>
      </c>
      <c r="E46" s="33">
        <f t="shared" si="0"/>
        <v>453</v>
      </c>
      <c r="F46" s="37">
        <f t="shared" si="1"/>
        <v>0.72847682119205293</v>
      </c>
    </row>
    <row r="47" spans="1:6" ht="14.5">
      <c r="A47" s="35">
        <v>25</v>
      </c>
      <c r="B47" s="33">
        <v>449</v>
      </c>
      <c r="C47" s="33">
        <v>49</v>
      </c>
      <c r="D47" s="33">
        <v>0</v>
      </c>
      <c r="E47" s="33">
        <f t="shared" si="0"/>
        <v>498</v>
      </c>
      <c r="F47" s="37">
        <f t="shared" si="1"/>
        <v>0.90160642570281124</v>
      </c>
    </row>
    <row r="48" spans="1:6" ht="14.5">
      <c r="A48" s="35">
        <v>28</v>
      </c>
      <c r="B48" s="33">
        <v>372</v>
      </c>
      <c r="C48" s="33">
        <v>152</v>
      </c>
      <c r="D48" s="33">
        <v>0</v>
      </c>
      <c r="E48" s="33">
        <f t="shared" si="0"/>
        <v>524</v>
      </c>
      <c r="F48" s="37">
        <f t="shared" si="1"/>
        <v>0.70992366412213737</v>
      </c>
    </row>
    <row r="49" spans="1:6" ht="14.5">
      <c r="A49" s="35">
        <v>29</v>
      </c>
      <c r="B49" s="33">
        <v>405</v>
      </c>
      <c r="C49" s="33">
        <v>157</v>
      </c>
      <c r="D49" s="33">
        <v>0</v>
      </c>
      <c r="E49" s="33">
        <f t="shared" si="0"/>
        <v>562</v>
      </c>
      <c r="F49" s="37">
        <f t="shared" si="1"/>
        <v>0.72064056939501775</v>
      </c>
    </row>
    <row r="50" spans="1:6" ht="14.5">
      <c r="A50" s="35">
        <v>30</v>
      </c>
      <c r="B50" s="33">
        <v>438</v>
      </c>
      <c r="C50" s="33">
        <v>162</v>
      </c>
      <c r="D50" s="33">
        <v>0</v>
      </c>
      <c r="E50" s="33">
        <f t="shared" si="0"/>
        <v>600</v>
      </c>
      <c r="F50" s="37">
        <f t="shared" si="1"/>
        <v>0.73</v>
      </c>
    </row>
    <row r="51" spans="1:6" ht="14.5">
      <c r="A51" s="35">
        <v>31</v>
      </c>
      <c r="B51" s="33">
        <v>476</v>
      </c>
      <c r="C51" s="33">
        <v>177</v>
      </c>
      <c r="D51" s="33">
        <v>0</v>
      </c>
      <c r="E51" s="33">
        <f t="shared" si="0"/>
        <v>653</v>
      </c>
      <c r="F51" s="37">
        <f t="shared" si="1"/>
        <v>0.72894333843797854</v>
      </c>
    </row>
    <row r="52" spans="1:6" ht="14.5">
      <c r="A52" s="35">
        <v>40</v>
      </c>
      <c r="B52" s="33">
        <v>584</v>
      </c>
      <c r="C52" s="33">
        <v>216</v>
      </c>
      <c r="D52" s="33">
        <v>0</v>
      </c>
      <c r="E52" s="33">
        <f t="shared" si="0"/>
        <v>800</v>
      </c>
      <c r="F52" s="37">
        <f t="shared" si="1"/>
        <v>0.73</v>
      </c>
    </row>
    <row r="53" spans="1:6" ht="14.5">
      <c r="A53" s="36">
        <v>49</v>
      </c>
      <c r="B53" s="34">
        <v>596</v>
      </c>
      <c r="C53" s="34">
        <v>214</v>
      </c>
      <c r="D53" s="34">
        <v>0</v>
      </c>
      <c r="E53" s="34">
        <f t="shared" si="0"/>
        <v>810</v>
      </c>
      <c r="F53" s="38">
        <f t="shared" si="1"/>
        <v>0.73580246913580249</v>
      </c>
    </row>
    <row r="56" spans="1:6" ht="26" customHeight="1">
      <c r="A56" s="133" t="s">
        <v>658</v>
      </c>
      <c r="B56" s="133"/>
      <c r="C56" s="133"/>
      <c r="D56" s="133"/>
    </row>
    <row r="57" spans="1:6" ht="32" customHeight="1">
      <c r="A57" s="54" t="s">
        <v>645</v>
      </c>
      <c r="B57" s="54" t="s">
        <v>646</v>
      </c>
      <c r="C57" s="54" t="s">
        <v>647</v>
      </c>
      <c r="D57" s="54" t="s">
        <v>641</v>
      </c>
    </row>
    <row r="58" spans="1:6" ht="14.5">
      <c r="A58" s="20" t="s">
        <v>564</v>
      </c>
      <c r="B58" s="20">
        <f>INDEX('حساب الملاعب'!$B$4:$B$10,MATCH($A58,'حساب الملاعب'!$A$4:$A$10,0))</f>
        <v>24</v>
      </c>
      <c r="C58" s="25">
        <f>INDEX('حساب الملاعب'!$C$4:$C$10,MATCH($A58,'حساب الملاعب'!$A$4:$A$10,0))</f>
        <v>34</v>
      </c>
      <c r="D58" s="25">
        <f>INDEX('حساب الملاعب'!$D$4:$D$10,MATCH($A58,'حساب الملاعب'!$A$4:$A$10,0))</f>
        <v>117</v>
      </c>
    </row>
    <row r="59" spans="1:6" ht="14.5">
      <c r="A59" s="20" t="s">
        <v>565</v>
      </c>
      <c r="B59" s="20">
        <f>INDEX('حساب الملاعب'!$B$4:$B$10,MATCH($A59,'حساب الملاعب'!$A$4:$A$10,0))</f>
        <v>28</v>
      </c>
      <c r="C59" s="25">
        <f>INDEX('حساب الملاعب'!$C$4:$C$10,MATCH($A59,'حساب الملاعب'!$A$4:$A$10,0))</f>
        <v>49</v>
      </c>
      <c r="D59" s="25">
        <f>INDEX('حساب الملاعب'!$D$4:$D$10,MATCH($A59,'حساب الملاعب'!$A$4:$A$10,0))</f>
        <v>161</v>
      </c>
    </row>
    <row r="60" spans="1:6" ht="14.5">
      <c r="A60" s="25" t="s">
        <v>659</v>
      </c>
      <c r="B60" s="25"/>
      <c r="C60" s="25">
        <f>MAX(C58:C59)</f>
        <v>49</v>
      </c>
      <c r="D60" s="25">
        <f>MAX(D58:D59)</f>
        <v>161</v>
      </c>
    </row>
  </sheetData>
  <mergeCells count="3">
    <mergeCell ref="A1:M1"/>
    <mergeCell ref="A29:F29"/>
    <mergeCell ref="A56:D5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77568-44CE-406F-95E2-432A29AC51E3}">
  <dimension ref="A1:H119"/>
  <sheetViews>
    <sheetView showGridLines="0" rightToLeft="1" workbookViewId="0">
      <pane ySplit="3" topLeftCell="A91" activePane="bottomLeft" state="frozen"/>
      <selection pane="bottomLeft" activeCell="F113" sqref="C113:G117"/>
    </sheetView>
  </sheetViews>
  <sheetFormatPr defaultRowHeight="14"/>
  <cols>
    <col min="1" max="1" width="15.83203125" customWidth="1"/>
    <col min="2" max="2" width="17.5" customWidth="1"/>
    <col min="3" max="3" width="13" customWidth="1"/>
    <col min="4" max="4" width="17.5" customWidth="1"/>
    <col min="5" max="7" width="13" customWidth="1"/>
  </cols>
  <sheetData>
    <row r="1" spans="1:7" ht="26" customHeight="1">
      <c r="A1" s="119" t="s">
        <v>472</v>
      </c>
      <c r="B1" s="119"/>
      <c r="C1" s="119"/>
      <c r="D1" s="119"/>
      <c r="E1" s="119"/>
      <c r="F1" s="119"/>
      <c r="G1" s="119"/>
    </row>
    <row r="2" spans="1:7" ht="20" customHeight="1">
      <c r="A2" s="49"/>
      <c r="B2" s="49"/>
      <c r="C2" s="49" t="s">
        <v>473</v>
      </c>
      <c r="D2" s="49"/>
      <c r="E2" s="45"/>
      <c r="F2" s="45"/>
      <c r="G2" s="45"/>
    </row>
    <row r="3" spans="1:7" ht="32" customHeight="1" thickBot="1">
      <c r="A3" s="49" t="s">
        <v>426</v>
      </c>
      <c r="B3" s="49" t="s">
        <v>7</v>
      </c>
      <c r="C3" s="49" t="s">
        <v>8</v>
      </c>
      <c r="D3" s="49" t="s">
        <v>427</v>
      </c>
      <c r="E3" s="45"/>
      <c r="F3" s="45"/>
      <c r="G3" s="45"/>
    </row>
    <row r="4" spans="1:7"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13</v>
      </c>
      <c r="D4" s="51">
        <f>COUNTA(C4:C13)</f>
        <v>10</v>
      </c>
      <c r="E4" s="45"/>
      <c r="F4" s="45"/>
      <c r="G4" s="45"/>
    </row>
    <row r="5" spans="1:7"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11</v>
      </c>
      <c r="D5" s="50"/>
      <c r="E5" s="45"/>
      <c r="F5" s="45"/>
      <c r="G5" s="45"/>
    </row>
    <row r="6" spans="1:7"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17</v>
      </c>
      <c r="D6" s="47"/>
      <c r="E6" s="45"/>
      <c r="F6" s="45"/>
      <c r="G6" s="45"/>
    </row>
    <row r="7" spans="1:7"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23</v>
      </c>
      <c r="D7" s="47"/>
      <c r="E7" s="45"/>
      <c r="F7" s="45"/>
      <c r="G7" s="45"/>
    </row>
    <row r="8" spans="1:7"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20</v>
      </c>
      <c r="D8" s="47"/>
      <c r="E8" s="45"/>
      <c r="F8" s="45"/>
      <c r="G8" s="45"/>
    </row>
    <row r="9" spans="1:7"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21</v>
      </c>
      <c r="D9" s="47"/>
      <c r="E9" s="45"/>
      <c r="F9" s="45"/>
      <c r="G9" s="45"/>
    </row>
    <row r="10" spans="1:7"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16</v>
      </c>
      <c r="D10" s="47"/>
      <c r="E10" s="45"/>
      <c r="F10" s="45"/>
      <c r="G10" s="45"/>
    </row>
    <row r="11" spans="1:7"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14</v>
      </c>
      <c r="D11" s="47"/>
      <c r="E11" s="45"/>
      <c r="F11" s="45"/>
      <c r="G11" s="45"/>
    </row>
    <row r="12" spans="1:7" ht="14.5" customHeight="1">
      <c r="A12" s="47"/>
      <c r="B12"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7" t="s">
        <v>22</v>
      </c>
      <c r="D12" s="47"/>
      <c r="E12" s="45"/>
      <c r="F12" s="45"/>
      <c r="G12" s="45"/>
    </row>
    <row r="13" spans="1:7" ht="14.5" customHeight="1" thickBot="1">
      <c r="A13" s="48"/>
      <c r="B13"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13" s="48" t="s">
        <v>10</v>
      </c>
      <c r="D13" s="48"/>
      <c r="E13" s="45"/>
      <c r="F13" s="45"/>
      <c r="G13" s="45"/>
    </row>
    <row r="14" spans="1:7" ht="14.5" customHeight="1">
      <c r="A14" s="51" t="s">
        <v>429</v>
      </c>
      <c r="B1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4" s="51" t="s">
        <v>14</v>
      </c>
      <c r="D14" s="51">
        <f>COUNTA(C14:C23)</f>
        <v>10</v>
      </c>
      <c r="E14" s="45"/>
      <c r="F14" s="45"/>
      <c r="G14" s="45"/>
    </row>
    <row r="15" spans="1:7" ht="14.5" customHeight="1">
      <c r="A15" s="50"/>
      <c r="B1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5" s="50" t="s">
        <v>13</v>
      </c>
      <c r="D15" s="50"/>
      <c r="E15" s="45"/>
      <c r="F15" s="45"/>
      <c r="G15" s="45"/>
    </row>
    <row r="16" spans="1:7" ht="14.5" customHeight="1">
      <c r="A16" s="47"/>
      <c r="B1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6" s="47" t="s">
        <v>20</v>
      </c>
      <c r="D16" s="47"/>
      <c r="E16" s="45"/>
      <c r="F16" s="45"/>
      <c r="G16" s="45"/>
    </row>
    <row r="17" spans="1:7" ht="14.5" customHeight="1">
      <c r="A17" s="47"/>
      <c r="B1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7" s="47" t="s">
        <v>23</v>
      </c>
      <c r="D17" s="47"/>
      <c r="E17" s="45"/>
      <c r="F17" s="45"/>
      <c r="G17" s="45"/>
    </row>
    <row r="18" spans="1:7" ht="14.5" customHeight="1">
      <c r="A18" s="47"/>
      <c r="B1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8" s="47" t="s">
        <v>22</v>
      </c>
      <c r="D18" s="47"/>
      <c r="E18" s="45"/>
      <c r="F18" s="45"/>
      <c r="G18" s="45"/>
    </row>
    <row r="19" spans="1:7" ht="14.5" customHeight="1">
      <c r="A19" s="47"/>
      <c r="B1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9" s="47" t="s">
        <v>10</v>
      </c>
      <c r="D19" s="47"/>
      <c r="E19" s="45"/>
      <c r="F19" s="45"/>
      <c r="G19" s="45"/>
    </row>
    <row r="20" spans="1:7" ht="14.5" customHeight="1">
      <c r="A20" s="47"/>
      <c r="B2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0" s="47" t="s">
        <v>11</v>
      </c>
      <c r="D20" s="47"/>
      <c r="E20" s="45"/>
      <c r="F20" s="45"/>
      <c r="G20" s="45"/>
    </row>
    <row r="21" spans="1:7" ht="14.5" customHeight="1">
      <c r="A21" s="47"/>
      <c r="B2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1" s="47" t="s">
        <v>17</v>
      </c>
      <c r="D21" s="47"/>
      <c r="E21" s="45"/>
      <c r="F21" s="45"/>
      <c r="G21" s="45"/>
    </row>
    <row r="22" spans="1:7" ht="14.5" customHeight="1">
      <c r="A22" s="47"/>
      <c r="B22"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2" s="47" t="s">
        <v>16</v>
      </c>
      <c r="D22" s="47"/>
      <c r="E22" s="45"/>
      <c r="F22" s="45"/>
      <c r="G22" s="45"/>
    </row>
    <row r="23" spans="1:7" ht="14.5" customHeight="1" thickBot="1">
      <c r="A23" s="48"/>
      <c r="B23"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23" s="48" t="s">
        <v>21</v>
      </c>
      <c r="D23" s="48"/>
      <c r="E23" s="45"/>
      <c r="F23" s="45"/>
      <c r="G23" s="45"/>
    </row>
    <row r="24" spans="1:7" ht="14.5" customHeight="1">
      <c r="A24" s="51" t="s">
        <v>430</v>
      </c>
      <c r="B2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4" s="51" t="s">
        <v>22</v>
      </c>
      <c r="D24" s="51">
        <f>COUNTA(C24:C33)</f>
        <v>10</v>
      </c>
      <c r="E24" s="45"/>
      <c r="F24" s="45"/>
      <c r="G24" s="45"/>
    </row>
    <row r="25" spans="1:7" ht="14.5" customHeight="1">
      <c r="A25" s="50"/>
      <c r="B2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5" s="50" t="s">
        <v>10</v>
      </c>
      <c r="D25" s="50"/>
      <c r="E25" s="45"/>
      <c r="F25" s="45"/>
      <c r="G25" s="45"/>
    </row>
    <row r="26" spans="1:7" ht="14.5" customHeight="1">
      <c r="A26" s="47"/>
      <c r="B2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6" s="47" t="s">
        <v>11</v>
      </c>
      <c r="D26" s="47"/>
      <c r="E26" s="45"/>
      <c r="F26" s="45"/>
      <c r="G26" s="45"/>
    </row>
    <row r="27" spans="1:7" ht="14.5" customHeight="1">
      <c r="A27" s="47"/>
      <c r="B2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7" s="47" t="s">
        <v>13</v>
      </c>
      <c r="D27" s="47"/>
      <c r="E27" s="45"/>
      <c r="F27" s="45"/>
      <c r="G27" s="45"/>
    </row>
    <row r="28" spans="1:7" ht="14.5" customHeight="1">
      <c r="A28" s="47"/>
      <c r="B2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8" s="47" t="s">
        <v>14</v>
      </c>
      <c r="D28" s="47"/>
      <c r="E28" s="45"/>
      <c r="F28" s="45"/>
      <c r="G28" s="45"/>
    </row>
    <row r="29" spans="1:7" ht="14.5" customHeight="1">
      <c r="A29" s="47"/>
      <c r="B2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9" s="47" t="s">
        <v>16</v>
      </c>
      <c r="D29" s="47"/>
      <c r="E29" s="45"/>
      <c r="F29" s="45"/>
      <c r="G29" s="45"/>
    </row>
    <row r="30" spans="1:7" ht="14.5" customHeight="1">
      <c r="A30" s="47"/>
      <c r="B3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0" s="47" t="s">
        <v>17</v>
      </c>
      <c r="D30" s="47"/>
      <c r="E30" s="45"/>
      <c r="F30" s="45"/>
      <c r="G30" s="45"/>
    </row>
    <row r="31" spans="1:7" ht="14.5" customHeight="1">
      <c r="A31" s="47"/>
      <c r="B3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1" s="47" t="s">
        <v>23</v>
      </c>
      <c r="D31" s="47"/>
      <c r="E31" s="45"/>
      <c r="F31" s="45"/>
      <c r="G31" s="45"/>
    </row>
    <row r="32" spans="1:7" ht="14.5" customHeight="1">
      <c r="A32" s="47"/>
      <c r="B32"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2" s="47" t="s">
        <v>20</v>
      </c>
      <c r="D32" s="47"/>
      <c r="E32" s="45"/>
      <c r="F32" s="45"/>
      <c r="G32" s="45"/>
    </row>
    <row r="33" spans="1:7" ht="14.5" customHeight="1" thickBot="1">
      <c r="A33" s="48"/>
      <c r="B33"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33" s="48" t="s">
        <v>21</v>
      </c>
      <c r="D33" s="48"/>
      <c r="E33" s="45"/>
      <c r="F33" s="45"/>
      <c r="G33" s="45"/>
    </row>
    <row r="34" spans="1:7" ht="14.5" customHeight="1">
      <c r="A34" s="51" t="s">
        <v>431</v>
      </c>
      <c r="B3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4" s="51" t="s">
        <v>23</v>
      </c>
      <c r="D34" s="51">
        <f>COUNTA(C34:C43)</f>
        <v>10</v>
      </c>
      <c r="E34" s="45"/>
      <c r="F34" s="45"/>
      <c r="G34" s="45"/>
    </row>
    <row r="35" spans="1:7" ht="14.5" customHeight="1">
      <c r="A35" s="50"/>
      <c r="B3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5" s="50" t="s">
        <v>20</v>
      </c>
      <c r="D35" s="50"/>
      <c r="E35" s="45"/>
      <c r="F35" s="45"/>
      <c r="G35" s="45"/>
    </row>
    <row r="36" spans="1:7" ht="14.5" customHeight="1">
      <c r="A36" s="47"/>
      <c r="B3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6" s="47" t="s">
        <v>21</v>
      </c>
      <c r="D36" s="47"/>
      <c r="E36" s="45"/>
      <c r="F36" s="45"/>
      <c r="G36" s="45"/>
    </row>
    <row r="37" spans="1:7" ht="14.5" customHeight="1">
      <c r="A37" s="47"/>
      <c r="B3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7" s="47" t="s">
        <v>10</v>
      </c>
      <c r="D37" s="47"/>
      <c r="E37" s="45"/>
      <c r="F37" s="45"/>
      <c r="G37" s="45"/>
    </row>
    <row r="38" spans="1:7" ht="14.5" customHeight="1">
      <c r="A38" s="47"/>
      <c r="B3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8" s="47" t="s">
        <v>22</v>
      </c>
      <c r="D38" s="47"/>
      <c r="E38" s="45"/>
      <c r="F38" s="45"/>
      <c r="G38" s="45"/>
    </row>
    <row r="39" spans="1:7" ht="14.5" customHeight="1">
      <c r="A39" s="47"/>
      <c r="B3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9" s="47" t="s">
        <v>14</v>
      </c>
      <c r="D39" s="47"/>
      <c r="E39" s="45"/>
      <c r="F39" s="45"/>
      <c r="G39" s="45"/>
    </row>
    <row r="40" spans="1:7" ht="14.5" customHeight="1">
      <c r="A40" s="47"/>
      <c r="B4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0" s="47" t="s">
        <v>13</v>
      </c>
      <c r="D40" s="47"/>
      <c r="E40" s="45"/>
      <c r="F40" s="45"/>
      <c r="G40" s="45"/>
    </row>
    <row r="41" spans="1:7" ht="14.5" customHeight="1">
      <c r="A41" s="47"/>
      <c r="B4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1" s="47" t="s">
        <v>11</v>
      </c>
      <c r="D41" s="47"/>
      <c r="E41" s="45"/>
      <c r="F41" s="45"/>
      <c r="G41" s="45"/>
    </row>
    <row r="42" spans="1:7" ht="14.5" customHeight="1">
      <c r="A42" s="47"/>
      <c r="B42"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2" s="47" t="s">
        <v>17</v>
      </c>
      <c r="D42" s="47"/>
      <c r="E42" s="45"/>
      <c r="F42" s="45"/>
      <c r="G42" s="45"/>
    </row>
    <row r="43" spans="1:7" ht="14.5" customHeight="1" thickBot="1">
      <c r="A43" s="48"/>
      <c r="B43"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43" s="48" t="s">
        <v>16</v>
      </c>
      <c r="D43" s="48"/>
      <c r="E43" s="45"/>
      <c r="F43" s="45"/>
      <c r="G43" s="45"/>
    </row>
    <row r="44" spans="1:7" ht="14.5" customHeight="1">
      <c r="A44" s="51" t="s">
        <v>432</v>
      </c>
      <c r="B4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4" s="51" t="s">
        <v>20</v>
      </c>
      <c r="D44" s="51">
        <f>COUNTA(C44:C53)</f>
        <v>10</v>
      </c>
      <c r="E44" s="45"/>
      <c r="F44" s="45"/>
      <c r="G44" s="45"/>
    </row>
    <row r="45" spans="1:7" ht="14.5" customHeight="1">
      <c r="A45" s="50"/>
      <c r="B4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5" s="50" t="s">
        <v>13</v>
      </c>
      <c r="D45" s="50"/>
      <c r="E45" s="45"/>
      <c r="F45" s="45"/>
      <c r="G45" s="45"/>
    </row>
    <row r="46" spans="1:7" ht="14.5" customHeight="1">
      <c r="A46" s="47"/>
      <c r="B4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6" s="47" t="s">
        <v>11</v>
      </c>
      <c r="D46" s="47"/>
      <c r="E46" s="45"/>
      <c r="F46" s="45"/>
      <c r="G46" s="45"/>
    </row>
    <row r="47" spans="1:7" ht="14.5" customHeight="1">
      <c r="A47" s="47"/>
      <c r="B4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7" s="47" t="s">
        <v>17</v>
      </c>
      <c r="D47" s="47"/>
      <c r="E47" s="45"/>
      <c r="F47" s="45"/>
      <c r="G47" s="45"/>
    </row>
    <row r="48" spans="1:7" ht="14.5" customHeight="1">
      <c r="A48" s="47"/>
      <c r="B4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8" s="47" t="s">
        <v>23</v>
      </c>
      <c r="D48" s="47"/>
      <c r="E48" s="45"/>
      <c r="F48" s="45"/>
      <c r="G48" s="45"/>
    </row>
    <row r="49" spans="1:7" ht="14.5" customHeight="1">
      <c r="A49" s="47"/>
      <c r="B4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9" s="47" t="s">
        <v>22</v>
      </c>
      <c r="D49" s="47"/>
      <c r="E49" s="45"/>
      <c r="F49" s="45"/>
      <c r="G49" s="45"/>
    </row>
    <row r="50" spans="1:7" ht="14.5" customHeight="1">
      <c r="A50" s="47"/>
      <c r="B5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0" s="47" t="s">
        <v>10</v>
      </c>
      <c r="D50" s="47"/>
      <c r="E50" s="45"/>
      <c r="F50" s="45"/>
      <c r="G50" s="45"/>
    </row>
    <row r="51" spans="1:7" ht="14.5" customHeight="1">
      <c r="A51" s="47"/>
      <c r="B5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1" s="47" t="s">
        <v>21</v>
      </c>
      <c r="D51" s="47"/>
      <c r="E51" s="45"/>
      <c r="F51" s="45"/>
      <c r="G51" s="45"/>
    </row>
    <row r="52" spans="1:7" ht="14.5" customHeight="1">
      <c r="A52" s="47"/>
      <c r="B52"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2" s="47" t="s">
        <v>16</v>
      </c>
      <c r="D52" s="47"/>
      <c r="E52" s="45"/>
      <c r="F52" s="45"/>
      <c r="G52" s="45"/>
    </row>
    <row r="53" spans="1:7" ht="14.5" customHeight="1" thickBot="1">
      <c r="A53" s="48"/>
      <c r="B53"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3" s="48" t="s">
        <v>14</v>
      </c>
      <c r="D53" s="48"/>
      <c r="E53" s="45"/>
      <c r="F53" s="45"/>
      <c r="G53" s="45"/>
    </row>
    <row r="54" spans="1:7" ht="14.5" customHeight="1">
      <c r="A54" s="51" t="s">
        <v>434</v>
      </c>
      <c r="B5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4" s="51" t="s">
        <v>20</v>
      </c>
      <c r="D54" s="51">
        <f>COUNTA(C54:C63)</f>
        <v>10</v>
      </c>
      <c r="E54" s="45"/>
      <c r="F54" s="45"/>
      <c r="G54" s="45"/>
    </row>
    <row r="55" spans="1:7" ht="14.5" customHeight="1">
      <c r="A55" s="50"/>
      <c r="B5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5" s="50" t="s">
        <v>23</v>
      </c>
      <c r="D55" s="50"/>
      <c r="E55" s="45"/>
      <c r="F55" s="45"/>
      <c r="G55" s="45"/>
    </row>
    <row r="56" spans="1:7" ht="14.5" customHeight="1">
      <c r="A56" s="47"/>
      <c r="B5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6" s="47" t="s">
        <v>17</v>
      </c>
      <c r="D56" s="47"/>
      <c r="E56" s="45"/>
      <c r="F56" s="45"/>
      <c r="G56" s="45"/>
    </row>
    <row r="57" spans="1:7" ht="14.5" customHeight="1">
      <c r="A57" s="47"/>
      <c r="B5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7" s="47" t="s">
        <v>16</v>
      </c>
      <c r="D57" s="47"/>
      <c r="E57" s="45"/>
      <c r="F57" s="45"/>
      <c r="G57" s="45"/>
    </row>
    <row r="58" spans="1:7" ht="14.5" customHeight="1">
      <c r="A58" s="47"/>
      <c r="B5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8" s="47" t="s">
        <v>21</v>
      </c>
      <c r="D58" s="47"/>
      <c r="E58" s="45"/>
      <c r="F58" s="45"/>
      <c r="G58" s="45"/>
    </row>
    <row r="59" spans="1:7" ht="14.5" customHeight="1">
      <c r="A59" s="47"/>
      <c r="B5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9" s="47" t="s">
        <v>10</v>
      </c>
      <c r="D59" s="47"/>
      <c r="E59" s="45"/>
      <c r="F59" s="45"/>
      <c r="G59" s="45"/>
    </row>
    <row r="60" spans="1:7" ht="14.5" customHeight="1">
      <c r="A60" s="47"/>
      <c r="B6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0" s="47" t="s">
        <v>22</v>
      </c>
      <c r="D60" s="47"/>
      <c r="E60" s="45"/>
      <c r="F60" s="45"/>
      <c r="G60" s="45"/>
    </row>
    <row r="61" spans="1:7" ht="14.5" customHeight="1">
      <c r="A61" s="47"/>
      <c r="B6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61" s="47" t="s">
        <v>14</v>
      </c>
      <c r="D61" s="47"/>
      <c r="E61" s="45"/>
      <c r="F61" s="45"/>
      <c r="G61" s="45"/>
    </row>
    <row r="62" spans="1:7" ht="14.5" customHeight="1">
      <c r="A62" s="47"/>
      <c r="B62"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62" s="47" t="s">
        <v>13</v>
      </c>
      <c r="D62" s="47"/>
      <c r="E62" s="45"/>
      <c r="F62" s="45"/>
      <c r="G62" s="45"/>
    </row>
    <row r="63" spans="1:7" ht="14.5" customHeight="1" thickBot="1">
      <c r="A63" s="48"/>
      <c r="B63"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63" s="48" t="s">
        <v>11</v>
      </c>
      <c r="D63" s="48"/>
      <c r="E63" s="45"/>
      <c r="F63" s="45"/>
      <c r="G63" s="45"/>
    </row>
    <row r="64" spans="1:7" ht="14.5" customHeight="1">
      <c r="A64" s="51" t="s">
        <v>435</v>
      </c>
      <c r="B6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4" s="51" t="s">
        <v>21</v>
      </c>
      <c r="D64" s="51">
        <f>COUNTA(C64:C73)</f>
        <v>10</v>
      </c>
      <c r="E64" s="45"/>
      <c r="F64" s="45"/>
      <c r="G64" s="45"/>
    </row>
    <row r="65" spans="1:8" ht="14.5" customHeight="1">
      <c r="A65" s="50"/>
      <c r="B6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5" s="50" t="s">
        <v>10</v>
      </c>
      <c r="D65" s="50"/>
      <c r="E65" s="45"/>
      <c r="F65" s="45"/>
      <c r="G65" s="45"/>
    </row>
    <row r="66" spans="1:8" ht="14.5" customHeight="1">
      <c r="A66" s="47"/>
      <c r="B6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6" s="47" t="s">
        <v>11</v>
      </c>
      <c r="D66" s="47"/>
      <c r="E66" s="45"/>
      <c r="F66" s="45"/>
      <c r="G66" s="45"/>
    </row>
    <row r="67" spans="1:8" ht="14.5" customHeight="1">
      <c r="A67" s="47"/>
      <c r="B6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7" s="47" t="s">
        <v>13</v>
      </c>
      <c r="D67" s="47"/>
      <c r="E67" s="45"/>
      <c r="F67" s="45"/>
      <c r="G67" s="45"/>
    </row>
    <row r="68" spans="1:8" ht="14.5" customHeight="1">
      <c r="A68" s="47"/>
      <c r="B6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8" s="47" t="s">
        <v>20</v>
      </c>
      <c r="D68" s="47"/>
      <c r="E68" s="45"/>
      <c r="F68" s="45"/>
      <c r="G68" s="45"/>
    </row>
    <row r="69" spans="1:8" ht="14.5" customHeight="1">
      <c r="A69" s="47"/>
      <c r="B6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9" s="47" t="s">
        <v>23</v>
      </c>
      <c r="D69" s="47"/>
      <c r="E69" s="45"/>
      <c r="F69" s="45"/>
      <c r="G69" s="45"/>
    </row>
    <row r="70" spans="1:8" ht="14.5" customHeight="1">
      <c r="A70" s="47"/>
      <c r="B7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70" s="47" t="s">
        <v>22</v>
      </c>
      <c r="D70" s="47"/>
      <c r="E70" s="45"/>
      <c r="F70" s="45"/>
      <c r="G70" s="45"/>
    </row>
    <row r="71" spans="1:8" ht="14.5" customHeight="1">
      <c r="A71" s="47"/>
      <c r="B7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71" s="47" t="s">
        <v>14</v>
      </c>
      <c r="D71" s="47"/>
      <c r="E71" s="45"/>
      <c r="F71" s="45"/>
      <c r="G71" s="45"/>
    </row>
    <row r="72" spans="1:8" ht="14.5" customHeight="1">
      <c r="A72" s="47"/>
      <c r="B72"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72" s="47" t="s">
        <v>16</v>
      </c>
      <c r="D72" s="47"/>
      <c r="E72" s="45"/>
      <c r="F72" s="45"/>
      <c r="G72" s="45"/>
    </row>
    <row r="73" spans="1:8" ht="14.5" customHeight="1" thickBot="1">
      <c r="A73" s="52"/>
      <c r="B73" s="52"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73" s="52" t="s">
        <v>17</v>
      </c>
      <c r="D73" s="52"/>
      <c r="E73" s="45"/>
      <c r="F73" s="45"/>
      <c r="G73" s="45"/>
    </row>
    <row r="74" spans="1:8" ht="14.5" customHeight="1">
      <c r="A74" s="45"/>
      <c r="B74" s="45"/>
      <c r="C74" s="45"/>
      <c r="D74" s="45"/>
      <c r="E74" s="45"/>
      <c r="F74" s="45"/>
      <c r="G74" s="45"/>
    </row>
    <row r="75" spans="1:8" ht="20" customHeight="1">
      <c r="A75" s="136" t="s">
        <v>784</v>
      </c>
      <c r="B75" s="136"/>
      <c r="C75" s="136"/>
      <c r="D75" s="136"/>
      <c r="E75" s="136"/>
      <c r="F75" s="136"/>
      <c r="G75" s="136"/>
      <c r="H75" s="136"/>
    </row>
    <row r="76" spans="1:8" ht="14.5" customHeight="1">
      <c r="A76" s="18"/>
      <c r="B76" s="19" t="s">
        <v>314</v>
      </c>
      <c r="C76" s="135" t="s">
        <v>759</v>
      </c>
      <c r="D76" s="135"/>
      <c r="E76" s="135"/>
      <c r="F76" s="135" t="s">
        <v>755</v>
      </c>
      <c r="G76" s="135"/>
      <c r="H76" s="18"/>
    </row>
    <row r="77" spans="1:8" ht="14.5" customHeight="1">
      <c r="A77" s="18"/>
      <c r="B77" s="20">
        <v>1</v>
      </c>
      <c r="C77" s="134" t="s">
        <v>563</v>
      </c>
      <c r="D77" s="134"/>
      <c r="E77" s="134"/>
      <c r="F77" s="134" t="s">
        <v>840</v>
      </c>
      <c r="G77" s="134"/>
      <c r="H77" s="18"/>
    </row>
    <row r="78" spans="1:8" ht="14.5" customHeight="1">
      <c r="A78" s="18"/>
      <c r="B78" s="20">
        <v>2</v>
      </c>
      <c r="C78" s="134" t="s">
        <v>836</v>
      </c>
      <c r="D78" s="134"/>
      <c r="E78" s="134"/>
      <c r="F78" s="134" t="s">
        <v>841</v>
      </c>
      <c r="G78" s="134"/>
      <c r="H78" s="18"/>
    </row>
    <row r="79" spans="1:8" ht="14.5" customHeight="1">
      <c r="A79" s="18"/>
      <c r="B79" s="20">
        <v>3</v>
      </c>
      <c r="C79" s="134" t="s">
        <v>837</v>
      </c>
      <c r="D79" s="134"/>
      <c r="E79" s="134"/>
      <c r="F79" s="134" t="s">
        <v>841</v>
      </c>
      <c r="G79" s="134"/>
      <c r="H79" s="18"/>
    </row>
    <row r="80" spans="1:8" ht="14.5" customHeight="1">
      <c r="A80" s="18"/>
      <c r="B80" s="20">
        <v>4</v>
      </c>
      <c r="C80" s="134" t="s">
        <v>838</v>
      </c>
      <c r="D80" s="134"/>
      <c r="E80" s="134"/>
      <c r="F80" s="134" t="s">
        <v>841</v>
      </c>
      <c r="G80" s="134"/>
      <c r="H80" s="18"/>
    </row>
    <row r="81" spans="1:8" ht="14.5" customHeight="1">
      <c r="A81" s="18"/>
      <c r="B81" s="20">
        <v>5</v>
      </c>
      <c r="C81" s="134" t="s">
        <v>839</v>
      </c>
      <c r="D81" s="134"/>
      <c r="E81" s="134"/>
      <c r="F81" s="134" t="s">
        <v>841</v>
      </c>
      <c r="G81" s="134"/>
      <c r="H81" s="18"/>
    </row>
    <row r="82" spans="1:8" ht="14.5" customHeight="1">
      <c r="A82" s="18"/>
      <c r="B82" s="18"/>
      <c r="C82" s="18"/>
      <c r="D82" s="18"/>
      <c r="E82" s="18"/>
      <c r="F82" s="18"/>
      <c r="G82" s="18"/>
      <c r="H82" s="18"/>
    </row>
    <row r="83" spans="1:8" ht="14.5" customHeight="1">
      <c r="A83" s="18"/>
      <c r="B83" s="18"/>
      <c r="C83" s="18"/>
      <c r="D83" s="18"/>
      <c r="E83" s="18"/>
      <c r="F83" s="18"/>
      <c r="G83" s="18"/>
      <c r="H83" s="18"/>
    </row>
    <row r="84" spans="1:8" ht="14.5" customHeight="1">
      <c r="A84" s="136" t="s">
        <v>785</v>
      </c>
      <c r="B84" s="136"/>
      <c r="C84" s="136"/>
      <c r="D84" s="136"/>
      <c r="E84" s="136"/>
      <c r="F84" s="136"/>
      <c r="G84" s="136"/>
      <c r="H84" s="136"/>
    </row>
    <row r="85" spans="1:8" ht="14.5" customHeight="1">
      <c r="A85" s="18"/>
      <c r="B85" s="19" t="s">
        <v>314</v>
      </c>
      <c r="C85" s="135" t="s">
        <v>759</v>
      </c>
      <c r="D85" s="135"/>
      <c r="E85" s="135"/>
      <c r="F85" s="135" t="s">
        <v>755</v>
      </c>
      <c r="G85" s="135"/>
      <c r="H85" s="18"/>
    </row>
    <row r="86" spans="1:8" ht="14.5">
      <c r="A86" s="18"/>
      <c r="B86" s="20">
        <v>1</v>
      </c>
      <c r="C86" s="134" t="s">
        <v>842</v>
      </c>
      <c r="D86" s="134"/>
      <c r="E86" s="134"/>
      <c r="F86" s="134" t="s">
        <v>840</v>
      </c>
      <c r="G86" s="134"/>
      <c r="H86" s="18"/>
    </row>
    <row r="87" spans="1:8" ht="14.5">
      <c r="A87" s="18"/>
      <c r="B87" s="20">
        <v>2</v>
      </c>
      <c r="C87" s="134" t="s">
        <v>843</v>
      </c>
      <c r="D87" s="134"/>
      <c r="E87" s="134"/>
      <c r="F87" s="134" t="s">
        <v>841</v>
      </c>
      <c r="G87" s="134"/>
      <c r="H87" s="18"/>
    </row>
    <row r="88" spans="1:8" ht="14.5">
      <c r="A88" s="18"/>
      <c r="B88" s="20">
        <v>3</v>
      </c>
      <c r="C88" s="134" t="s">
        <v>844</v>
      </c>
      <c r="D88" s="134"/>
      <c r="E88" s="134"/>
      <c r="F88" s="134" t="s">
        <v>841</v>
      </c>
      <c r="G88" s="134"/>
      <c r="H88" s="18"/>
    </row>
    <row r="89" spans="1:8" ht="14.5">
      <c r="A89" s="18"/>
      <c r="B89" s="20">
        <v>4</v>
      </c>
      <c r="C89" s="134" t="s">
        <v>845</v>
      </c>
      <c r="D89" s="134"/>
      <c r="E89" s="134"/>
      <c r="F89" s="134" t="s">
        <v>841</v>
      </c>
      <c r="G89" s="134"/>
      <c r="H89" s="18"/>
    </row>
    <row r="90" spans="1:8" ht="14.5">
      <c r="A90" s="18"/>
      <c r="B90" s="20">
        <v>5</v>
      </c>
      <c r="C90" s="134" t="s">
        <v>846</v>
      </c>
      <c r="D90" s="134"/>
      <c r="E90" s="134"/>
      <c r="F90" s="134" t="s">
        <v>847</v>
      </c>
      <c r="G90" s="134"/>
      <c r="H90" s="18"/>
    </row>
    <row r="91" spans="1:8" ht="14.5">
      <c r="A91" s="18"/>
      <c r="B91" s="18"/>
      <c r="C91" s="18"/>
      <c r="D91" s="18"/>
      <c r="E91" s="18"/>
      <c r="F91" s="18"/>
      <c r="G91" s="18"/>
      <c r="H91" s="18"/>
    </row>
    <row r="92" spans="1:8" ht="14.5">
      <c r="A92" s="18"/>
      <c r="B92" s="18"/>
      <c r="C92" s="18"/>
      <c r="D92" s="18"/>
      <c r="E92" s="18"/>
      <c r="F92" s="18"/>
      <c r="G92" s="18"/>
      <c r="H92" s="18"/>
    </row>
    <row r="93" spans="1:8" ht="15.5">
      <c r="A93" s="136" t="s">
        <v>786</v>
      </c>
      <c r="B93" s="136"/>
      <c r="C93" s="136"/>
      <c r="D93" s="136"/>
      <c r="E93" s="136"/>
      <c r="F93" s="136"/>
      <c r="G93" s="136"/>
      <c r="H93" s="136"/>
    </row>
    <row r="94" spans="1:8" ht="14.5">
      <c r="A94" s="18"/>
      <c r="B94" s="19" t="s">
        <v>314</v>
      </c>
      <c r="C94" s="135" t="s">
        <v>759</v>
      </c>
      <c r="D94" s="135"/>
      <c r="E94" s="135"/>
      <c r="F94" s="135" t="s">
        <v>755</v>
      </c>
      <c r="G94" s="135"/>
      <c r="H94" s="18"/>
    </row>
    <row r="95" spans="1:8" ht="14.5">
      <c r="A95" s="18"/>
      <c r="B95" s="20">
        <v>1</v>
      </c>
      <c r="C95" s="134" t="s">
        <v>848</v>
      </c>
      <c r="D95" s="134"/>
      <c r="E95" s="134"/>
      <c r="F95" s="134" t="s">
        <v>841</v>
      </c>
      <c r="G95" s="134"/>
      <c r="H95" s="18"/>
    </row>
    <row r="96" spans="1:8" ht="14.5">
      <c r="A96" s="18"/>
      <c r="B96" s="20">
        <v>2</v>
      </c>
      <c r="C96" s="134" t="s">
        <v>849</v>
      </c>
      <c r="D96" s="134"/>
      <c r="E96" s="134"/>
      <c r="F96" s="134" t="s">
        <v>841</v>
      </c>
      <c r="G96" s="134"/>
      <c r="H96" s="18"/>
    </row>
    <row r="97" spans="1:8" ht="14.5">
      <c r="A97" s="18"/>
      <c r="B97" s="20">
        <v>3</v>
      </c>
      <c r="C97" s="134" t="s">
        <v>850</v>
      </c>
      <c r="D97" s="134"/>
      <c r="E97" s="134"/>
      <c r="F97" s="134" t="s">
        <v>841</v>
      </c>
      <c r="G97" s="134"/>
      <c r="H97" s="18"/>
    </row>
    <row r="98" spans="1:8" ht="14.5">
      <c r="A98" s="18"/>
      <c r="B98" s="20">
        <v>4</v>
      </c>
      <c r="C98" s="134" t="s">
        <v>851</v>
      </c>
      <c r="D98" s="134"/>
      <c r="E98" s="134"/>
      <c r="F98" s="134" t="s">
        <v>841</v>
      </c>
      <c r="G98" s="134"/>
      <c r="H98" s="18"/>
    </row>
    <row r="99" spans="1:8" ht="14.5">
      <c r="A99" s="18"/>
      <c r="B99" s="20">
        <v>5</v>
      </c>
      <c r="C99" s="134" t="s">
        <v>852</v>
      </c>
      <c r="D99" s="134"/>
      <c r="E99" s="134"/>
      <c r="F99" s="134" t="s">
        <v>847</v>
      </c>
      <c r="G99" s="134"/>
      <c r="H99" s="18"/>
    </row>
    <row r="100" spans="1:8" ht="14.5">
      <c r="A100" s="18"/>
      <c r="B100" s="18"/>
      <c r="C100" s="18"/>
      <c r="D100" s="18"/>
      <c r="E100" s="18"/>
      <c r="F100" s="18"/>
      <c r="G100" s="18"/>
      <c r="H100" s="18"/>
    </row>
    <row r="101" spans="1:8" ht="14.5">
      <c r="A101" s="18"/>
      <c r="B101" s="18"/>
      <c r="C101" s="18"/>
      <c r="D101" s="18"/>
      <c r="E101" s="18"/>
      <c r="F101" s="18"/>
      <c r="G101" s="18"/>
      <c r="H101" s="18"/>
    </row>
    <row r="102" spans="1:8" ht="15.5">
      <c r="A102" s="136" t="s">
        <v>787</v>
      </c>
      <c r="B102" s="136"/>
      <c r="C102" s="136"/>
      <c r="D102" s="136"/>
      <c r="E102" s="136"/>
      <c r="F102" s="136"/>
      <c r="G102" s="136"/>
      <c r="H102" s="136"/>
    </row>
    <row r="103" spans="1:8" ht="14.5">
      <c r="A103" s="18"/>
      <c r="B103" s="19" t="s">
        <v>314</v>
      </c>
      <c r="C103" s="135" t="s">
        <v>759</v>
      </c>
      <c r="D103" s="135"/>
      <c r="E103" s="135"/>
      <c r="F103" s="135" t="s">
        <v>755</v>
      </c>
      <c r="G103" s="135"/>
      <c r="H103" s="18"/>
    </row>
    <row r="104" spans="1:8" ht="14.5">
      <c r="A104" s="18"/>
      <c r="B104" s="20">
        <v>1</v>
      </c>
      <c r="C104" s="134" t="s">
        <v>842</v>
      </c>
      <c r="D104" s="134"/>
      <c r="E104" s="134"/>
      <c r="F104" s="134" t="s">
        <v>840</v>
      </c>
      <c r="G104" s="134"/>
      <c r="H104" s="18"/>
    </row>
    <row r="105" spans="1:8" ht="14.5">
      <c r="A105" s="18"/>
      <c r="B105" s="20">
        <v>2</v>
      </c>
      <c r="C105" s="134" t="s">
        <v>843</v>
      </c>
      <c r="D105" s="134"/>
      <c r="E105" s="134"/>
      <c r="F105" s="134" t="s">
        <v>841</v>
      </c>
      <c r="G105" s="134"/>
      <c r="H105" s="18"/>
    </row>
    <row r="106" spans="1:8" ht="14.5">
      <c r="A106" s="18"/>
      <c r="B106" s="20">
        <v>3</v>
      </c>
      <c r="C106" s="134" t="s">
        <v>844</v>
      </c>
      <c r="D106" s="134"/>
      <c r="E106" s="134"/>
      <c r="F106" s="134" t="s">
        <v>841</v>
      </c>
      <c r="G106" s="134"/>
      <c r="H106" s="18"/>
    </row>
    <row r="107" spans="1:8" ht="14.5">
      <c r="A107" s="18"/>
      <c r="B107" s="20">
        <v>4</v>
      </c>
      <c r="C107" s="134" t="s">
        <v>845</v>
      </c>
      <c r="D107" s="134"/>
      <c r="E107" s="134"/>
      <c r="F107" s="134" t="s">
        <v>841</v>
      </c>
      <c r="G107" s="134"/>
      <c r="H107" s="18"/>
    </row>
    <row r="108" spans="1:8" ht="14.5">
      <c r="A108" s="18"/>
      <c r="B108" s="20">
        <v>5</v>
      </c>
      <c r="C108" s="134" t="s">
        <v>846</v>
      </c>
      <c r="D108" s="134"/>
      <c r="E108" s="134"/>
      <c r="F108" s="134" t="s">
        <v>847</v>
      </c>
      <c r="G108" s="134"/>
      <c r="H108" s="18"/>
    </row>
    <row r="109" spans="1:8" ht="14.5">
      <c r="A109" s="18"/>
      <c r="B109" s="18"/>
      <c r="C109" s="18"/>
      <c r="D109" s="18"/>
      <c r="E109" s="18"/>
      <c r="F109" s="18"/>
      <c r="G109" s="18"/>
      <c r="H109" s="18"/>
    </row>
    <row r="110" spans="1:8" ht="14.5">
      <c r="A110" s="18"/>
      <c r="B110" s="18"/>
      <c r="C110" s="18"/>
      <c r="D110" s="18"/>
      <c r="E110" s="18"/>
      <c r="F110" s="18"/>
      <c r="G110" s="18"/>
      <c r="H110" s="18"/>
    </row>
    <row r="111" spans="1:8" ht="15.5">
      <c r="A111" s="136" t="s">
        <v>788</v>
      </c>
      <c r="B111" s="136"/>
      <c r="C111" s="136"/>
      <c r="D111" s="136"/>
      <c r="E111" s="136"/>
      <c r="F111" s="136"/>
      <c r="G111" s="136"/>
      <c r="H111" s="136"/>
    </row>
    <row r="112" spans="1:8" ht="14.5">
      <c r="A112" s="18"/>
      <c r="B112" s="19" t="s">
        <v>314</v>
      </c>
      <c r="C112" s="135" t="s">
        <v>759</v>
      </c>
      <c r="D112" s="135"/>
      <c r="E112" s="135"/>
      <c r="F112" s="135" t="s">
        <v>755</v>
      </c>
      <c r="G112" s="135"/>
      <c r="H112" s="18"/>
    </row>
    <row r="113" spans="1:8" ht="14.5">
      <c r="A113" s="18"/>
      <c r="B113" s="20">
        <v>1</v>
      </c>
      <c r="C113" s="134" t="s">
        <v>853</v>
      </c>
      <c r="D113" s="134"/>
      <c r="E113" s="134"/>
      <c r="F113" s="134" t="s">
        <v>840</v>
      </c>
      <c r="G113" s="134"/>
      <c r="H113" s="18"/>
    </row>
    <row r="114" spans="1:8" ht="14.5">
      <c r="A114" s="18"/>
      <c r="B114" s="20">
        <v>2</v>
      </c>
      <c r="C114" s="134" t="s">
        <v>854</v>
      </c>
      <c r="D114" s="134"/>
      <c r="E114" s="134"/>
      <c r="F114" s="134" t="s">
        <v>840</v>
      </c>
      <c r="G114" s="134"/>
      <c r="H114" s="18"/>
    </row>
    <row r="115" spans="1:8" ht="14.5">
      <c r="A115" s="18"/>
      <c r="B115" s="20">
        <v>3</v>
      </c>
      <c r="C115" s="134" t="s">
        <v>855</v>
      </c>
      <c r="D115" s="134"/>
      <c r="E115" s="134"/>
      <c r="F115" s="134" t="s">
        <v>840</v>
      </c>
      <c r="G115" s="134"/>
      <c r="H115" s="18"/>
    </row>
    <row r="116" spans="1:8" ht="14.5">
      <c r="A116" s="18"/>
      <c r="B116" s="20">
        <v>4</v>
      </c>
      <c r="C116" s="134" t="s">
        <v>856</v>
      </c>
      <c r="D116" s="134"/>
      <c r="E116" s="134"/>
      <c r="F116" s="134" t="s">
        <v>847</v>
      </c>
      <c r="G116" s="134"/>
      <c r="H116" s="18"/>
    </row>
    <row r="117" spans="1:8" ht="14.5">
      <c r="A117" s="18"/>
      <c r="B117" s="20">
        <v>5</v>
      </c>
      <c r="C117" s="134" t="s">
        <v>857</v>
      </c>
      <c r="D117" s="134"/>
      <c r="E117" s="134"/>
      <c r="F117" s="134" t="s">
        <v>847</v>
      </c>
      <c r="G117" s="134"/>
      <c r="H117" s="18"/>
    </row>
    <row r="118" spans="1:8" ht="14.5">
      <c r="A118" s="18"/>
      <c r="B118" s="18"/>
      <c r="C118" s="18"/>
      <c r="D118" s="18"/>
      <c r="E118" s="18"/>
      <c r="F118" s="18"/>
      <c r="G118" s="18"/>
      <c r="H118" s="18"/>
    </row>
    <row r="119" spans="1:8" ht="14.5">
      <c r="A119" s="18"/>
      <c r="B119" s="18"/>
      <c r="C119" s="18"/>
      <c r="D119" s="18"/>
      <c r="E119" s="18"/>
      <c r="F119" s="18"/>
      <c r="G119" s="18"/>
      <c r="H119" s="18"/>
    </row>
  </sheetData>
  <mergeCells count="66">
    <mergeCell ref="C78:E78"/>
    <mergeCell ref="F78:G78"/>
    <mergeCell ref="C79:E79"/>
    <mergeCell ref="F79:G79"/>
    <mergeCell ref="A1:G1"/>
    <mergeCell ref="A75:H75"/>
    <mergeCell ref="C76:E76"/>
    <mergeCell ref="F76:G76"/>
    <mergeCell ref="C77:E77"/>
    <mergeCell ref="F77:G77"/>
    <mergeCell ref="C80:E80"/>
    <mergeCell ref="F80:G80"/>
    <mergeCell ref="C81:E81"/>
    <mergeCell ref="F81:G81"/>
    <mergeCell ref="A84:H84"/>
    <mergeCell ref="C85:E85"/>
    <mergeCell ref="F85:G85"/>
    <mergeCell ref="C86:E86"/>
    <mergeCell ref="F86:G86"/>
    <mergeCell ref="C87:E87"/>
    <mergeCell ref="F87:G87"/>
    <mergeCell ref="C88:E88"/>
    <mergeCell ref="F88:G88"/>
    <mergeCell ref="C89:E89"/>
    <mergeCell ref="F89:G89"/>
    <mergeCell ref="C90:E90"/>
    <mergeCell ref="F90:G90"/>
    <mergeCell ref="A93:H93"/>
    <mergeCell ref="C94:E94"/>
    <mergeCell ref="F94:G94"/>
    <mergeCell ref="C95:E95"/>
    <mergeCell ref="F95:G95"/>
    <mergeCell ref="C96:E96"/>
    <mergeCell ref="F96:G96"/>
    <mergeCell ref="C97:E97"/>
    <mergeCell ref="F97:G97"/>
    <mergeCell ref="C98:E98"/>
    <mergeCell ref="F98:G98"/>
    <mergeCell ref="C99:E99"/>
    <mergeCell ref="F99:G99"/>
    <mergeCell ref="A102:H102"/>
    <mergeCell ref="C103:E103"/>
    <mergeCell ref="F103:G103"/>
    <mergeCell ref="C104:E104"/>
    <mergeCell ref="F104:G104"/>
    <mergeCell ref="C105:E105"/>
    <mergeCell ref="F105:G105"/>
    <mergeCell ref="C106:E106"/>
    <mergeCell ref="F106:G106"/>
    <mergeCell ref="C107:E107"/>
    <mergeCell ref="F107:G107"/>
    <mergeCell ref="C108:E108"/>
    <mergeCell ref="F108:G108"/>
    <mergeCell ref="A111:H111"/>
    <mergeCell ref="C112:E112"/>
    <mergeCell ref="F112:G112"/>
    <mergeCell ref="C113:E113"/>
    <mergeCell ref="F113:G113"/>
    <mergeCell ref="C114:E114"/>
    <mergeCell ref="F114:G114"/>
    <mergeCell ref="C115:E115"/>
    <mergeCell ref="F115:G115"/>
    <mergeCell ref="C116:E116"/>
    <mergeCell ref="F116:G116"/>
    <mergeCell ref="C117:E117"/>
    <mergeCell ref="F117:G1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9C16-DC61-46E8-8B48-1CEDCB739CB4}">
  <dimension ref="A1:H88"/>
  <sheetViews>
    <sheetView showGridLines="0" rightToLeft="1" workbookViewId="0">
      <pane ySplit="3" topLeftCell="A61" activePane="bottomLeft" state="frozen"/>
      <selection pane="bottomLeft" activeCell="F81" sqref="C81:G86"/>
    </sheetView>
  </sheetViews>
  <sheetFormatPr defaultRowHeight="14"/>
  <cols>
    <col min="1" max="1" width="15.83203125" customWidth="1"/>
    <col min="2" max="2" width="17.5" customWidth="1"/>
    <col min="3" max="5" width="13" customWidth="1"/>
    <col min="6" max="6" width="17.5" customWidth="1"/>
    <col min="7" max="7" width="13" customWidth="1"/>
  </cols>
  <sheetData>
    <row r="1" spans="1:7" ht="26" customHeight="1">
      <c r="A1" s="119" t="s">
        <v>535</v>
      </c>
      <c r="B1" s="119"/>
      <c r="C1" s="119"/>
      <c r="D1" s="119"/>
      <c r="E1" s="119"/>
      <c r="F1" s="119"/>
      <c r="G1" s="119"/>
    </row>
    <row r="2" spans="1:7" ht="20" customHeight="1">
      <c r="A2" s="49"/>
      <c r="B2" s="49"/>
      <c r="C2" s="137" t="s">
        <v>534</v>
      </c>
      <c r="D2" s="137"/>
      <c r="E2" s="137"/>
      <c r="F2" s="49"/>
      <c r="G2" s="45"/>
    </row>
    <row r="3" spans="1:7" ht="32" customHeight="1" thickBot="1">
      <c r="A3" s="49" t="s">
        <v>426</v>
      </c>
      <c r="B3" s="49" t="s">
        <v>7</v>
      </c>
      <c r="C3" s="49" t="s">
        <v>8</v>
      </c>
      <c r="D3" s="49" t="s">
        <v>9</v>
      </c>
      <c r="E3" s="49" t="s">
        <v>84</v>
      </c>
      <c r="F3" s="49" t="s">
        <v>427</v>
      </c>
      <c r="G3" s="45"/>
    </row>
    <row r="4" spans="1:7"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13</v>
      </c>
      <c r="D4" s="51" t="s">
        <v>14</v>
      </c>
      <c r="E4" s="51" t="s">
        <v>15</v>
      </c>
      <c r="F4" s="51">
        <f>COUNTA(C4:E10)</f>
        <v>12</v>
      </c>
      <c r="G4" s="45"/>
    </row>
    <row r="5" spans="1:7"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c r="D5" s="50"/>
      <c r="E5" s="50"/>
      <c r="F5" s="50"/>
      <c r="G5" s="45"/>
    </row>
    <row r="6" spans="1:7"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10</v>
      </c>
      <c r="D6" s="47" t="s">
        <v>18</v>
      </c>
      <c r="E6" s="47" t="s">
        <v>22</v>
      </c>
      <c r="F6" s="47"/>
      <c r="G6" s="45"/>
    </row>
    <row r="7" spans="1:7"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c r="D7" s="47"/>
      <c r="E7" s="47"/>
      <c r="F7" s="47"/>
      <c r="G7" s="45"/>
    </row>
    <row r="8" spans="1:7"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12</v>
      </c>
      <c r="D8" s="47" t="s">
        <v>20</v>
      </c>
      <c r="E8" s="47" t="s">
        <v>23</v>
      </c>
      <c r="F8" s="47"/>
      <c r="G8" s="45"/>
    </row>
    <row r="9" spans="1:7"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c r="D9" s="47"/>
      <c r="E9" s="47"/>
      <c r="F9" s="47"/>
      <c r="G9" s="45"/>
    </row>
    <row r="10" spans="1:7" ht="14.5" customHeight="1" thickBot="1">
      <c r="A10" s="48"/>
      <c r="B10" s="48"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8" t="s">
        <v>24</v>
      </c>
      <c r="D10" s="48" t="s">
        <v>16</v>
      </c>
      <c r="E10" s="48" t="s">
        <v>21</v>
      </c>
      <c r="F10" s="48"/>
      <c r="G10" s="45"/>
    </row>
    <row r="11" spans="1:7" ht="14.5" customHeight="1">
      <c r="A11" s="51" t="s">
        <v>429</v>
      </c>
      <c r="B1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1" s="51" t="s">
        <v>17</v>
      </c>
      <c r="D11" s="51" t="s">
        <v>11</v>
      </c>
      <c r="E11" s="51" t="s">
        <v>19</v>
      </c>
      <c r="F11" s="51">
        <f>COUNTA(C11:E17)</f>
        <v>12</v>
      </c>
      <c r="G11" s="45"/>
    </row>
    <row r="12" spans="1:7" ht="14.5" customHeight="1">
      <c r="A12" s="50"/>
      <c r="B1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2" s="50"/>
      <c r="D12" s="50"/>
      <c r="E12" s="50"/>
      <c r="F12" s="50"/>
      <c r="G12" s="45"/>
    </row>
    <row r="13" spans="1:7" ht="14.5" customHeight="1">
      <c r="A13" s="47"/>
      <c r="B1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3" s="47" t="s">
        <v>15</v>
      </c>
      <c r="D13" s="47" t="s">
        <v>13</v>
      </c>
      <c r="E13" s="47" t="s">
        <v>14</v>
      </c>
      <c r="F13" s="47"/>
      <c r="G13" s="45"/>
    </row>
    <row r="14" spans="1:7" ht="14.5" customHeight="1">
      <c r="A14" s="47"/>
      <c r="B1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4" s="47"/>
      <c r="D14" s="47"/>
      <c r="E14" s="47"/>
      <c r="F14" s="47"/>
      <c r="G14" s="45"/>
    </row>
    <row r="15" spans="1:7" ht="14.5" customHeight="1">
      <c r="A15" s="47"/>
      <c r="B1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5" s="47" t="s">
        <v>10</v>
      </c>
      <c r="D15" s="47" t="s">
        <v>18</v>
      </c>
      <c r="E15" s="47" t="s">
        <v>22</v>
      </c>
      <c r="F15" s="47"/>
      <c r="G15" s="45"/>
    </row>
    <row r="16" spans="1:7" ht="14.5" customHeight="1">
      <c r="A16" s="47"/>
      <c r="B1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6" s="47"/>
      <c r="D16" s="47"/>
      <c r="E16" s="47"/>
      <c r="F16" s="47"/>
      <c r="G16" s="45"/>
    </row>
    <row r="17" spans="1:7" ht="14.5" customHeight="1" thickBot="1">
      <c r="A17" s="48"/>
      <c r="B17" s="48"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7" s="48" t="s">
        <v>12</v>
      </c>
      <c r="D17" s="48" t="s">
        <v>23</v>
      </c>
      <c r="E17" s="48" t="s">
        <v>20</v>
      </c>
      <c r="F17" s="48"/>
      <c r="G17" s="45"/>
    </row>
    <row r="18" spans="1:7" ht="14.5" customHeight="1">
      <c r="A18" s="51" t="s">
        <v>430</v>
      </c>
      <c r="B18"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8" s="51" t="s">
        <v>16</v>
      </c>
      <c r="D18" s="51" t="s">
        <v>21</v>
      </c>
      <c r="E18" s="51" t="s">
        <v>24</v>
      </c>
      <c r="F18" s="51">
        <f>COUNTA(C18:E24)</f>
        <v>12</v>
      </c>
      <c r="G18" s="45"/>
    </row>
    <row r="19" spans="1:7" ht="14.5" customHeight="1">
      <c r="A19" s="50"/>
      <c r="B19"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9" s="50"/>
      <c r="D19" s="50"/>
      <c r="E19" s="50"/>
      <c r="F19" s="50"/>
      <c r="G19" s="45"/>
    </row>
    <row r="20" spans="1:7" ht="14.5" customHeight="1">
      <c r="A20" s="47"/>
      <c r="B20"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0" s="47" t="s">
        <v>17</v>
      </c>
      <c r="D20" s="47" t="s">
        <v>11</v>
      </c>
      <c r="E20" s="47" t="s">
        <v>19</v>
      </c>
      <c r="F20" s="47"/>
      <c r="G20" s="45"/>
    </row>
    <row r="21" spans="1:7" ht="14.5" customHeight="1">
      <c r="A21" s="47"/>
      <c r="B21"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1" s="47"/>
      <c r="D21" s="47"/>
      <c r="E21" s="47"/>
      <c r="F21" s="47"/>
      <c r="G21" s="45"/>
    </row>
    <row r="22" spans="1:7" ht="14.5" customHeight="1">
      <c r="A22" s="47"/>
      <c r="B22"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2" s="47" t="s">
        <v>13</v>
      </c>
      <c r="D22" s="47" t="s">
        <v>14</v>
      </c>
      <c r="E22" s="47" t="s">
        <v>15</v>
      </c>
      <c r="F22" s="47"/>
      <c r="G22" s="45"/>
    </row>
    <row r="23" spans="1:7" ht="14.5" customHeight="1">
      <c r="A23" s="47"/>
      <c r="B23"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3" s="47"/>
      <c r="D23" s="47"/>
      <c r="E23" s="47"/>
      <c r="F23" s="47"/>
      <c r="G23" s="45"/>
    </row>
    <row r="24" spans="1:7" ht="14.5" customHeight="1" thickBot="1">
      <c r="A24" s="48"/>
      <c r="B24" s="48"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4" s="48" t="s">
        <v>18</v>
      </c>
      <c r="D24" s="48" t="s">
        <v>22</v>
      </c>
      <c r="E24" s="48" t="s">
        <v>10</v>
      </c>
      <c r="F24" s="48"/>
      <c r="G24" s="45"/>
    </row>
    <row r="25" spans="1:7" ht="14.5" customHeight="1">
      <c r="A25" s="51" t="s">
        <v>431</v>
      </c>
      <c r="B25"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5" s="51" t="s">
        <v>23</v>
      </c>
      <c r="D25" s="51" t="s">
        <v>20</v>
      </c>
      <c r="E25" s="51" t="s">
        <v>12</v>
      </c>
      <c r="F25" s="51">
        <f>COUNTA(C25:E31)</f>
        <v>12</v>
      </c>
      <c r="G25" s="45"/>
    </row>
    <row r="26" spans="1:7" ht="14.5" customHeight="1">
      <c r="A26" s="50"/>
      <c r="B26"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6" s="50"/>
      <c r="D26" s="50"/>
      <c r="E26" s="50"/>
      <c r="F26" s="50"/>
      <c r="G26" s="45"/>
    </row>
    <row r="27" spans="1:7" ht="14.5" customHeight="1">
      <c r="A27" s="47"/>
      <c r="B27"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7" s="47" t="s">
        <v>24</v>
      </c>
      <c r="D27" s="47" t="s">
        <v>16</v>
      </c>
      <c r="E27" s="47" t="s">
        <v>21</v>
      </c>
      <c r="F27" s="47"/>
      <c r="G27" s="45"/>
    </row>
    <row r="28" spans="1:7" ht="14.5" customHeight="1">
      <c r="A28" s="47"/>
      <c r="B28"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8" s="47"/>
      <c r="D28" s="47"/>
      <c r="E28" s="47"/>
      <c r="F28" s="47"/>
      <c r="G28" s="45"/>
    </row>
    <row r="29" spans="1:7" ht="14.5" customHeight="1">
      <c r="A29" s="47"/>
      <c r="B29"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9" s="47" t="s">
        <v>19</v>
      </c>
      <c r="D29" s="47" t="s">
        <v>11</v>
      </c>
      <c r="E29" s="47" t="s">
        <v>17</v>
      </c>
      <c r="F29" s="47"/>
      <c r="G29" s="45"/>
    </row>
    <row r="30" spans="1:7" ht="14.5" customHeight="1">
      <c r="A30" s="47"/>
      <c r="B30"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0" s="47"/>
      <c r="D30" s="47"/>
      <c r="E30" s="47"/>
      <c r="F30" s="47"/>
      <c r="G30" s="45"/>
    </row>
    <row r="31" spans="1:7" ht="14.5" customHeight="1" thickBot="1">
      <c r="A31" s="48"/>
      <c r="B31" s="48"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1" s="48" t="s">
        <v>14</v>
      </c>
      <c r="D31" s="48" t="s">
        <v>13</v>
      </c>
      <c r="E31" s="48" t="s">
        <v>15</v>
      </c>
      <c r="F31" s="48"/>
      <c r="G31" s="45"/>
    </row>
    <row r="32" spans="1:7" ht="14.5" customHeight="1">
      <c r="A32" s="51" t="s">
        <v>432</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10</v>
      </c>
      <c r="D32" s="51" t="s">
        <v>22</v>
      </c>
      <c r="E32" s="51" t="s">
        <v>18</v>
      </c>
      <c r="F32" s="51">
        <f>COUNTA(C32:E38)</f>
        <v>12</v>
      </c>
      <c r="G32" s="45"/>
    </row>
    <row r="33" spans="1:7"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c r="D33" s="50"/>
      <c r="E33" s="50"/>
      <c r="F33" s="50"/>
      <c r="G33" s="45"/>
    </row>
    <row r="34" spans="1:7"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20</v>
      </c>
      <c r="D34" s="47" t="s">
        <v>23</v>
      </c>
      <c r="E34" s="47" t="s">
        <v>12</v>
      </c>
      <c r="F34" s="47"/>
      <c r="G34" s="45"/>
    </row>
    <row r="35" spans="1:7"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c r="D35" s="47"/>
      <c r="E35" s="47"/>
      <c r="F35" s="47"/>
      <c r="G35" s="45"/>
    </row>
    <row r="36" spans="1:7"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24</v>
      </c>
      <c r="D36" s="47" t="s">
        <v>21</v>
      </c>
      <c r="E36" s="47" t="s">
        <v>16</v>
      </c>
      <c r="F36" s="47"/>
      <c r="G36" s="45"/>
    </row>
    <row r="37" spans="1:7"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c r="D37" s="47"/>
      <c r="E37" s="47"/>
      <c r="F37" s="47"/>
      <c r="G37" s="45"/>
    </row>
    <row r="38" spans="1:7" ht="14.5" customHeight="1" thickBot="1">
      <c r="A38" s="48"/>
      <c r="B38" s="48"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8" t="s">
        <v>17</v>
      </c>
      <c r="D38" s="48" t="s">
        <v>19</v>
      </c>
      <c r="E38" s="48" t="s">
        <v>11</v>
      </c>
      <c r="F38" s="48"/>
      <c r="G38" s="45"/>
    </row>
    <row r="39" spans="1:7" ht="14.5" customHeight="1">
      <c r="A39" s="51" t="s">
        <v>434</v>
      </c>
      <c r="B39"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9" s="51" t="s">
        <v>14</v>
      </c>
      <c r="D39" s="51" t="s">
        <v>15</v>
      </c>
      <c r="E39" s="51" t="s">
        <v>13</v>
      </c>
      <c r="F39" s="51">
        <f>COUNTA(C39:E47)</f>
        <v>15</v>
      </c>
      <c r="G39" s="45"/>
    </row>
    <row r="40" spans="1:7" ht="14.5" customHeight="1">
      <c r="A40" s="50"/>
      <c r="B40"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0" s="50"/>
      <c r="D40" s="50"/>
      <c r="E40" s="50"/>
      <c r="F40" s="50"/>
      <c r="G40" s="45"/>
    </row>
    <row r="41" spans="1:7" ht="14.5" customHeight="1">
      <c r="A41" s="47"/>
      <c r="B41"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1" s="47" t="s">
        <v>22</v>
      </c>
      <c r="D41" s="47" t="s">
        <v>18</v>
      </c>
      <c r="E41" s="47" t="s">
        <v>10</v>
      </c>
      <c r="F41" s="47"/>
      <c r="G41" s="45"/>
    </row>
    <row r="42" spans="1:7" ht="14.5" customHeight="1">
      <c r="A42" s="47"/>
      <c r="B42"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2" s="47"/>
      <c r="D42" s="47"/>
      <c r="E42" s="47"/>
      <c r="F42" s="47"/>
      <c r="G42" s="45"/>
    </row>
    <row r="43" spans="1:7" ht="14.5" customHeight="1">
      <c r="A43" s="47"/>
      <c r="B43"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3" s="47" t="s">
        <v>23</v>
      </c>
      <c r="D43" s="47" t="s">
        <v>12</v>
      </c>
      <c r="E43" s="47" t="s">
        <v>20</v>
      </c>
      <c r="F43" s="47"/>
      <c r="G43" s="45"/>
    </row>
    <row r="44" spans="1:7" ht="14.5" customHeight="1">
      <c r="A44" s="47"/>
      <c r="B44"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4" s="47"/>
      <c r="D44" s="47"/>
      <c r="E44" s="47"/>
      <c r="F44" s="47"/>
      <c r="G44" s="45"/>
    </row>
    <row r="45" spans="1:7" ht="14.5" customHeight="1">
      <c r="A45" s="47"/>
      <c r="B45"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5" s="47" t="s">
        <v>24</v>
      </c>
      <c r="D45" s="47" t="s">
        <v>21</v>
      </c>
      <c r="E45" s="47" t="s">
        <v>16</v>
      </c>
      <c r="F45" s="47"/>
      <c r="G45" s="45"/>
    </row>
    <row r="46" spans="1:7" ht="14.5" customHeight="1">
      <c r="A46" s="47"/>
      <c r="B46"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6" s="47"/>
      <c r="D46" s="47"/>
      <c r="E46" s="47"/>
      <c r="F46" s="47"/>
      <c r="G46" s="45"/>
    </row>
    <row r="47" spans="1:7" ht="14.5" customHeight="1" thickBot="1">
      <c r="A47" s="52"/>
      <c r="B47" s="52"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7" s="52" t="s">
        <v>19</v>
      </c>
      <c r="D47" s="52" t="s">
        <v>11</v>
      </c>
      <c r="E47" s="52" t="s">
        <v>17</v>
      </c>
      <c r="F47" s="52"/>
      <c r="G47" s="45"/>
    </row>
    <row r="48" spans="1:7" ht="14.5" customHeight="1">
      <c r="A48" s="45"/>
      <c r="B48" s="45"/>
      <c r="C48" s="45"/>
      <c r="D48" s="45"/>
      <c r="E48" s="45"/>
      <c r="F48" s="45"/>
      <c r="G48" s="45"/>
    </row>
    <row r="49" spans="1:8" ht="20" customHeight="1">
      <c r="A49" s="136" t="s">
        <v>789</v>
      </c>
      <c r="B49" s="136"/>
      <c r="C49" s="136"/>
      <c r="D49" s="136"/>
      <c r="E49" s="136"/>
      <c r="F49" s="136"/>
      <c r="G49" s="136"/>
      <c r="H49" s="136"/>
    </row>
    <row r="50" spans="1:8" ht="14.5" customHeight="1">
      <c r="A50" s="18"/>
      <c r="B50" s="19" t="s">
        <v>314</v>
      </c>
      <c r="C50" s="135" t="s">
        <v>754</v>
      </c>
      <c r="D50" s="135"/>
      <c r="E50" s="135"/>
      <c r="F50" s="135" t="s">
        <v>755</v>
      </c>
      <c r="G50" s="135"/>
      <c r="H50" s="18"/>
    </row>
    <row r="51" spans="1:8" ht="14.5" customHeight="1">
      <c r="A51" s="18"/>
      <c r="B51" s="20">
        <v>1</v>
      </c>
      <c r="C51" s="134" t="s">
        <v>858</v>
      </c>
      <c r="D51" s="134"/>
      <c r="E51" s="134"/>
      <c r="F51" s="134" t="s">
        <v>840</v>
      </c>
      <c r="G51" s="134"/>
      <c r="H51" s="18"/>
    </row>
    <row r="52" spans="1:8" ht="14.5" customHeight="1">
      <c r="A52" s="18"/>
      <c r="B52" s="20">
        <v>2</v>
      </c>
      <c r="C52" s="134" t="s">
        <v>859</v>
      </c>
      <c r="D52" s="134"/>
      <c r="E52" s="134"/>
      <c r="F52" s="134" t="s">
        <v>840</v>
      </c>
      <c r="G52" s="134"/>
      <c r="H52" s="18"/>
    </row>
    <row r="53" spans="1:8" ht="14.5" customHeight="1">
      <c r="A53" s="18"/>
      <c r="B53" s="20">
        <v>3</v>
      </c>
      <c r="C53" s="134" t="s">
        <v>860</v>
      </c>
      <c r="D53" s="134"/>
      <c r="E53" s="134"/>
      <c r="F53" s="134" t="s">
        <v>841</v>
      </c>
      <c r="G53" s="134"/>
      <c r="H53" s="18"/>
    </row>
    <row r="54" spans="1:8" ht="14.5" customHeight="1">
      <c r="A54" s="18"/>
      <c r="B54" s="20">
        <v>4</v>
      </c>
      <c r="C54" s="134" t="s">
        <v>861</v>
      </c>
      <c r="D54" s="134"/>
      <c r="E54" s="134"/>
      <c r="F54" s="134" t="s">
        <v>841</v>
      </c>
      <c r="G54" s="134"/>
      <c r="H54" s="18"/>
    </row>
    <row r="55" spans="1:8" ht="14.5" customHeight="1">
      <c r="A55" s="18"/>
      <c r="B55" s="20">
        <v>5</v>
      </c>
      <c r="C55" s="134" t="s">
        <v>862</v>
      </c>
      <c r="D55" s="134"/>
      <c r="E55" s="134"/>
      <c r="F55" s="134" t="s">
        <v>847</v>
      </c>
      <c r="G55" s="134"/>
      <c r="H55" s="18"/>
    </row>
    <row r="56" spans="1:8" ht="14.5" customHeight="1">
      <c r="A56" s="18"/>
      <c r="B56" s="20">
        <v>6</v>
      </c>
      <c r="C56" s="134" t="s">
        <v>863</v>
      </c>
      <c r="D56" s="134"/>
      <c r="E56" s="134"/>
      <c r="F56" s="134" t="s">
        <v>847</v>
      </c>
      <c r="G56" s="134"/>
      <c r="H56" s="18"/>
    </row>
    <row r="57" spans="1:8" ht="14.5" customHeight="1">
      <c r="A57" s="18"/>
      <c r="B57" s="18"/>
      <c r="C57" s="18"/>
      <c r="D57" s="18"/>
      <c r="E57" s="18"/>
      <c r="F57" s="18"/>
      <c r="G57" s="18"/>
      <c r="H57" s="18"/>
    </row>
    <row r="58" spans="1:8" ht="14.5" customHeight="1">
      <c r="A58" s="18"/>
      <c r="B58" s="18"/>
      <c r="C58" s="18"/>
      <c r="D58" s="18"/>
      <c r="E58" s="18"/>
      <c r="F58" s="18"/>
      <c r="G58" s="18"/>
      <c r="H58" s="18"/>
    </row>
    <row r="59" spans="1:8" ht="14.5" customHeight="1">
      <c r="A59" s="136" t="s">
        <v>790</v>
      </c>
      <c r="B59" s="136"/>
      <c r="C59" s="136"/>
      <c r="D59" s="136"/>
      <c r="E59" s="136"/>
      <c r="F59" s="136"/>
      <c r="G59" s="136"/>
      <c r="H59" s="136"/>
    </row>
    <row r="60" spans="1:8" ht="14.5" customHeight="1">
      <c r="A60" s="18"/>
      <c r="B60" s="19" t="s">
        <v>314</v>
      </c>
      <c r="C60" s="135" t="s">
        <v>754</v>
      </c>
      <c r="D60" s="135"/>
      <c r="E60" s="135"/>
      <c r="F60" s="135" t="s">
        <v>755</v>
      </c>
      <c r="G60" s="135"/>
      <c r="H60" s="18"/>
    </row>
    <row r="61" spans="1:8" ht="14.5">
      <c r="A61" s="18"/>
      <c r="B61" s="20">
        <v>1</v>
      </c>
      <c r="C61" s="134" t="s">
        <v>864</v>
      </c>
      <c r="D61" s="134"/>
      <c r="E61" s="134"/>
      <c r="F61" s="134" t="s">
        <v>841</v>
      </c>
      <c r="G61" s="134"/>
      <c r="H61" s="18"/>
    </row>
    <row r="62" spans="1:8" ht="14.5">
      <c r="A62" s="18"/>
      <c r="B62" s="20">
        <v>2</v>
      </c>
      <c r="C62" s="134" t="s">
        <v>865</v>
      </c>
      <c r="D62" s="134"/>
      <c r="E62" s="134"/>
      <c r="F62" s="134" t="s">
        <v>841</v>
      </c>
      <c r="G62" s="134"/>
      <c r="H62" s="18"/>
    </row>
    <row r="63" spans="1:8" ht="14.5">
      <c r="A63" s="18"/>
      <c r="B63" s="20">
        <v>3</v>
      </c>
      <c r="C63" s="134" t="s">
        <v>866</v>
      </c>
      <c r="D63" s="134"/>
      <c r="E63" s="134"/>
      <c r="F63" s="134" t="s">
        <v>841</v>
      </c>
      <c r="G63" s="134"/>
      <c r="H63" s="18"/>
    </row>
    <row r="64" spans="1:8" ht="14.5">
      <c r="A64" s="18"/>
      <c r="B64" s="20">
        <v>4</v>
      </c>
      <c r="C64" s="134" t="s">
        <v>867</v>
      </c>
      <c r="D64" s="134"/>
      <c r="E64" s="134"/>
      <c r="F64" s="134" t="s">
        <v>841</v>
      </c>
      <c r="G64" s="134"/>
      <c r="H64" s="18"/>
    </row>
    <row r="65" spans="1:8" ht="14.5">
      <c r="A65" s="18"/>
      <c r="B65" s="20">
        <v>5</v>
      </c>
      <c r="C65" s="134" t="s">
        <v>868</v>
      </c>
      <c r="D65" s="134"/>
      <c r="E65" s="134"/>
      <c r="F65" s="134" t="s">
        <v>847</v>
      </c>
      <c r="G65" s="134"/>
      <c r="H65" s="18"/>
    </row>
    <row r="66" spans="1:8" ht="14.5">
      <c r="A66" s="18"/>
      <c r="B66" s="20">
        <v>6</v>
      </c>
      <c r="C66" s="134" t="s">
        <v>869</v>
      </c>
      <c r="D66" s="134"/>
      <c r="E66" s="134"/>
      <c r="F66" s="134" t="s">
        <v>847</v>
      </c>
      <c r="G66" s="134"/>
      <c r="H66" s="18"/>
    </row>
    <row r="67" spans="1:8" ht="14.5">
      <c r="A67" s="18"/>
      <c r="B67" s="18"/>
      <c r="C67" s="18"/>
      <c r="D67" s="18"/>
      <c r="E67" s="18"/>
      <c r="F67" s="18"/>
      <c r="G67" s="18"/>
      <c r="H67" s="18"/>
    </row>
    <row r="68" spans="1:8" ht="14.5">
      <c r="A68" s="18"/>
      <c r="B68" s="18"/>
      <c r="C68" s="18"/>
      <c r="D68" s="18"/>
      <c r="E68" s="18"/>
      <c r="F68" s="18"/>
      <c r="G68" s="18"/>
      <c r="H68" s="18"/>
    </row>
    <row r="69" spans="1:8" ht="15.5">
      <c r="A69" s="136" t="s">
        <v>791</v>
      </c>
      <c r="B69" s="136"/>
      <c r="C69" s="136"/>
      <c r="D69" s="136"/>
      <c r="E69" s="136"/>
      <c r="F69" s="136"/>
      <c r="G69" s="136"/>
      <c r="H69" s="136"/>
    </row>
    <row r="70" spans="1:8" ht="14.5">
      <c r="A70" s="18"/>
      <c r="B70" s="19" t="s">
        <v>314</v>
      </c>
      <c r="C70" s="135" t="s">
        <v>754</v>
      </c>
      <c r="D70" s="135"/>
      <c r="E70" s="135"/>
      <c r="F70" s="135" t="s">
        <v>755</v>
      </c>
      <c r="G70" s="135"/>
      <c r="H70" s="18"/>
    </row>
    <row r="71" spans="1:8" ht="14.5">
      <c r="A71" s="18"/>
      <c r="B71" s="20">
        <v>1</v>
      </c>
      <c r="C71" s="134" t="s">
        <v>870</v>
      </c>
      <c r="D71" s="134"/>
      <c r="E71" s="134"/>
      <c r="F71" s="134" t="s">
        <v>840</v>
      </c>
      <c r="G71" s="134"/>
      <c r="H71" s="18"/>
    </row>
    <row r="72" spans="1:8" ht="14.5">
      <c r="A72" s="18"/>
      <c r="B72" s="20">
        <v>2</v>
      </c>
      <c r="C72" s="134" t="s">
        <v>871</v>
      </c>
      <c r="D72" s="134"/>
      <c r="E72" s="134"/>
      <c r="F72" s="134" t="s">
        <v>840</v>
      </c>
      <c r="G72" s="134"/>
      <c r="H72" s="18"/>
    </row>
    <row r="73" spans="1:8" ht="14.5">
      <c r="A73" s="18"/>
      <c r="B73" s="20">
        <v>3</v>
      </c>
      <c r="C73" s="134" t="s">
        <v>872</v>
      </c>
      <c r="D73" s="134"/>
      <c r="E73" s="134"/>
      <c r="F73" s="134" t="s">
        <v>841</v>
      </c>
      <c r="G73" s="134"/>
      <c r="H73" s="18"/>
    </row>
    <row r="74" spans="1:8" ht="14.5">
      <c r="A74" s="18"/>
      <c r="B74" s="20">
        <v>4</v>
      </c>
      <c r="C74" s="134" t="s">
        <v>873</v>
      </c>
      <c r="D74" s="134"/>
      <c r="E74" s="134"/>
      <c r="F74" s="134" t="s">
        <v>841</v>
      </c>
      <c r="G74" s="134"/>
      <c r="H74" s="18"/>
    </row>
    <row r="75" spans="1:8" ht="14.5">
      <c r="A75" s="18"/>
      <c r="B75" s="20">
        <v>5</v>
      </c>
      <c r="C75" s="134" t="s">
        <v>874</v>
      </c>
      <c r="D75" s="134"/>
      <c r="E75" s="134"/>
      <c r="F75" s="134" t="s">
        <v>847</v>
      </c>
      <c r="G75" s="134"/>
      <c r="H75" s="18"/>
    </row>
    <row r="76" spans="1:8" ht="14.5">
      <c r="A76" s="18"/>
      <c r="B76" s="20">
        <v>6</v>
      </c>
      <c r="C76" s="134" t="s">
        <v>875</v>
      </c>
      <c r="D76" s="134"/>
      <c r="E76" s="134"/>
      <c r="F76" s="134" t="s">
        <v>847</v>
      </c>
      <c r="G76" s="134"/>
      <c r="H76" s="18"/>
    </row>
    <row r="77" spans="1:8" ht="14.5">
      <c r="A77" s="18"/>
      <c r="B77" s="18"/>
      <c r="C77" s="18"/>
      <c r="D77" s="18"/>
      <c r="E77" s="18"/>
      <c r="F77" s="18"/>
      <c r="G77" s="18"/>
      <c r="H77" s="18"/>
    </row>
    <row r="78" spans="1:8" ht="14.5">
      <c r="A78" s="18"/>
      <c r="B78" s="18"/>
      <c r="C78" s="18"/>
      <c r="D78" s="18"/>
      <c r="E78" s="18"/>
      <c r="F78" s="18"/>
      <c r="G78" s="18"/>
      <c r="H78" s="18"/>
    </row>
    <row r="79" spans="1:8" ht="15.5">
      <c r="A79" s="136" t="s">
        <v>792</v>
      </c>
      <c r="B79" s="136"/>
      <c r="C79" s="136"/>
      <c r="D79" s="136"/>
      <c r="E79" s="136"/>
      <c r="F79" s="136"/>
      <c r="G79" s="136"/>
      <c r="H79" s="136"/>
    </row>
    <row r="80" spans="1:8" ht="14.5">
      <c r="A80" s="18"/>
      <c r="B80" s="19" t="s">
        <v>314</v>
      </c>
      <c r="C80" s="135" t="s">
        <v>754</v>
      </c>
      <c r="D80" s="135"/>
      <c r="E80" s="135"/>
      <c r="F80" s="135" t="s">
        <v>755</v>
      </c>
      <c r="G80" s="135"/>
      <c r="H80" s="18"/>
    </row>
    <row r="81" spans="1:8" ht="14.5">
      <c r="A81" s="18"/>
      <c r="B81" s="20">
        <v>1</v>
      </c>
      <c r="C81" s="134" t="s">
        <v>563</v>
      </c>
      <c r="D81" s="134"/>
      <c r="E81" s="134"/>
      <c r="F81" s="134" t="s">
        <v>840</v>
      </c>
      <c r="G81" s="134"/>
      <c r="H81" s="18"/>
    </row>
    <row r="82" spans="1:8" ht="14.5">
      <c r="A82" s="18"/>
      <c r="B82" s="20">
        <v>2</v>
      </c>
      <c r="C82" s="134" t="s">
        <v>836</v>
      </c>
      <c r="D82" s="134"/>
      <c r="E82" s="134"/>
      <c r="F82" s="134" t="s">
        <v>841</v>
      </c>
      <c r="G82" s="134"/>
      <c r="H82" s="18"/>
    </row>
    <row r="83" spans="1:8" ht="14.5">
      <c r="A83" s="18"/>
      <c r="B83" s="20">
        <v>3</v>
      </c>
      <c r="C83" s="134" t="s">
        <v>837</v>
      </c>
      <c r="D83" s="134"/>
      <c r="E83" s="134"/>
      <c r="F83" s="134" t="s">
        <v>841</v>
      </c>
      <c r="G83" s="134"/>
      <c r="H83" s="18"/>
    </row>
    <row r="84" spans="1:8" ht="14.5">
      <c r="A84" s="18"/>
      <c r="B84" s="20">
        <v>4</v>
      </c>
      <c r="C84" s="134" t="s">
        <v>838</v>
      </c>
      <c r="D84" s="134"/>
      <c r="E84" s="134"/>
      <c r="F84" s="134" t="s">
        <v>841</v>
      </c>
      <c r="G84" s="134"/>
      <c r="H84" s="18"/>
    </row>
    <row r="85" spans="1:8" ht="14.5">
      <c r="A85" s="18"/>
      <c r="B85" s="20">
        <v>5</v>
      </c>
      <c r="C85" s="134" t="s">
        <v>839</v>
      </c>
      <c r="D85" s="134"/>
      <c r="E85" s="134"/>
      <c r="F85" s="134" t="s">
        <v>841</v>
      </c>
      <c r="G85" s="134"/>
      <c r="H85" s="18"/>
    </row>
    <row r="86" spans="1:8" ht="14.5">
      <c r="A86" s="18"/>
      <c r="B86" s="20">
        <v>6</v>
      </c>
      <c r="C86" s="134" t="s">
        <v>876</v>
      </c>
      <c r="D86" s="134"/>
      <c r="E86" s="134"/>
      <c r="F86" s="134" t="s">
        <v>841</v>
      </c>
      <c r="G86" s="134"/>
      <c r="H86" s="18"/>
    </row>
    <row r="87" spans="1:8" ht="14.5">
      <c r="A87" s="18"/>
      <c r="B87" s="18"/>
      <c r="C87" s="18"/>
      <c r="D87" s="18"/>
      <c r="E87" s="18"/>
      <c r="F87" s="18"/>
      <c r="G87" s="18"/>
      <c r="H87" s="18"/>
    </row>
    <row r="88" spans="1:8" ht="14.5">
      <c r="A88" s="18"/>
      <c r="B88" s="18"/>
      <c r="C88" s="18"/>
      <c r="D88" s="18"/>
      <c r="E88" s="18"/>
      <c r="F88" s="18"/>
      <c r="G88" s="18"/>
      <c r="H88" s="18"/>
    </row>
  </sheetData>
  <mergeCells count="62">
    <mergeCell ref="C51:E51"/>
    <mergeCell ref="F51:G51"/>
    <mergeCell ref="C52:E52"/>
    <mergeCell ref="F52:G52"/>
    <mergeCell ref="C53:E53"/>
    <mergeCell ref="F53:G53"/>
    <mergeCell ref="A1:G1"/>
    <mergeCell ref="C2:E2"/>
    <mergeCell ref="A49:H49"/>
    <mergeCell ref="C50:E50"/>
    <mergeCell ref="F50:G50"/>
    <mergeCell ref="C54:E54"/>
    <mergeCell ref="F54:G54"/>
    <mergeCell ref="C55:E55"/>
    <mergeCell ref="F55:G55"/>
    <mergeCell ref="C56:E56"/>
    <mergeCell ref="F56:G56"/>
    <mergeCell ref="A59:H59"/>
    <mergeCell ref="C60:E60"/>
    <mergeCell ref="F60:G60"/>
    <mergeCell ref="C61:E61"/>
    <mergeCell ref="F61:G61"/>
    <mergeCell ref="C62:E62"/>
    <mergeCell ref="F62:G62"/>
    <mergeCell ref="C63:E63"/>
    <mergeCell ref="F63:G63"/>
    <mergeCell ref="C64:E64"/>
    <mergeCell ref="F64:G64"/>
    <mergeCell ref="C65:E65"/>
    <mergeCell ref="F65:G65"/>
    <mergeCell ref="C66:E66"/>
    <mergeCell ref="F66:G66"/>
    <mergeCell ref="A69:H69"/>
    <mergeCell ref="C70:E70"/>
    <mergeCell ref="F70:G70"/>
    <mergeCell ref="C71:E71"/>
    <mergeCell ref="F71:G71"/>
    <mergeCell ref="C72:E72"/>
    <mergeCell ref="F72:G72"/>
    <mergeCell ref="C73:E73"/>
    <mergeCell ref="F73:G73"/>
    <mergeCell ref="C74:E74"/>
    <mergeCell ref="F74:G74"/>
    <mergeCell ref="C75:E75"/>
    <mergeCell ref="F75:G75"/>
    <mergeCell ref="C76:E76"/>
    <mergeCell ref="F76:G76"/>
    <mergeCell ref="A79:H79"/>
    <mergeCell ref="C80:E80"/>
    <mergeCell ref="F80:G80"/>
    <mergeCell ref="C81:E81"/>
    <mergeCell ref="F81:G81"/>
    <mergeCell ref="C82:E82"/>
    <mergeCell ref="F82:G82"/>
    <mergeCell ref="C83:E83"/>
    <mergeCell ref="F83:G83"/>
    <mergeCell ref="C84:E84"/>
    <mergeCell ref="F84:G84"/>
    <mergeCell ref="C85:E85"/>
    <mergeCell ref="F85:G85"/>
    <mergeCell ref="C86:E86"/>
    <mergeCell ref="F86:G8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3462-2F35-4124-AF4B-3145F374580A}">
  <dimension ref="A1:H117"/>
  <sheetViews>
    <sheetView showGridLines="0" rightToLeft="1" topLeftCell="B1" workbookViewId="0">
      <pane ySplit="3" topLeftCell="A92" activePane="bottomLeft" state="frozen"/>
      <selection pane="bottomLeft" activeCell="F109" sqref="C109:G115"/>
    </sheetView>
  </sheetViews>
  <sheetFormatPr defaultRowHeight="14"/>
  <cols>
    <col min="1" max="1" width="15.83203125" customWidth="1"/>
    <col min="2" max="2" width="17.5" customWidth="1"/>
    <col min="3" max="4" width="13" customWidth="1"/>
    <col min="5" max="5" width="17.5" customWidth="1"/>
    <col min="6" max="8" width="13" customWidth="1"/>
  </cols>
  <sheetData>
    <row r="1" spans="1:8" ht="26" customHeight="1">
      <c r="A1" s="119" t="s">
        <v>536</v>
      </c>
      <c r="B1" s="119"/>
      <c r="C1" s="119"/>
      <c r="D1" s="119"/>
      <c r="E1" s="119"/>
      <c r="F1" s="119"/>
      <c r="G1" s="119"/>
      <c r="H1" s="119"/>
    </row>
    <row r="2" spans="1:8" ht="20" customHeight="1">
      <c r="A2" s="49"/>
      <c r="B2" s="49"/>
      <c r="C2" s="137" t="s">
        <v>475</v>
      </c>
      <c r="D2" s="137"/>
      <c r="E2" s="49"/>
      <c r="F2" s="45"/>
      <c r="G2" s="45"/>
      <c r="H2" s="45"/>
    </row>
    <row r="3" spans="1:8" ht="32" customHeight="1" thickBot="1">
      <c r="A3" s="49" t="s">
        <v>426</v>
      </c>
      <c r="B3" s="49" t="s">
        <v>7</v>
      </c>
      <c r="C3" s="49" t="s">
        <v>8</v>
      </c>
      <c r="D3" s="49" t="s">
        <v>9</v>
      </c>
      <c r="E3" s="49" t="s">
        <v>427</v>
      </c>
      <c r="F3" s="45"/>
      <c r="G3" s="45"/>
      <c r="H3" s="45"/>
    </row>
    <row r="4" spans="1:8"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29</v>
      </c>
      <c r="D4" s="51" t="s">
        <v>10</v>
      </c>
      <c r="E4" s="51">
        <f>COUNTA(C4:D12)</f>
        <v>14</v>
      </c>
      <c r="F4" s="45"/>
      <c r="G4" s="45"/>
      <c r="H4" s="45"/>
    </row>
    <row r="5" spans="1:8"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18</v>
      </c>
      <c r="D5" s="50"/>
      <c r="E5" s="50"/>
      <c r="F5" s="45"/>
      <c r="G5" s="45"/>
      <c r="H5" s="45"/>
    </row>
    <row r="6" spans="1:8"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17</v>
      </c>
      <c r="D6" s="47" t="s">
        <v>30</v>
      </c>
      <c r="E6" s="47"/>
      <c r="F6" s="45"/>
      <c r="G6" s="45"/>
      <c r="H6" s="45"/>
    </row>
    <row r="7" spans="1:8"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23</v>
      </c>
      <c r="D7" s="47"/>
      <c r="E7" s="47"/>
      <c r="F7" s="45"/>
      <c r="G7" s="45"/>
      <c r="H7" s="45"/>
    </row>
    <row r="8" spans="1:8"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20</v>
      </c>
      <c r="D8" s="47" t="s">
        <v>12</v>
      </c>
      <c r="E8" s="47"/>
      <c r="F8" s="45"/>
      <c r="G8" s="45"/>
      <c r="H8" s="45"/>
    </row>
    <row r="9" spans="1:8"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27</v>
      </c>
      <c r="D9" s="47"/>
      <c r="E9" s="47"/>
      <c r="F9" s="45"/>
      <c r="G9" s="45"/>
      <c r="H9" s="45"/>
    </row>
    <row r="10" spans="1:8"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24</v>
      </c>
      <c r="D10" s="47" t="s">
        <v>11</v>
      </c>
      <c r="E10" s="47"/>
      <c r="F10" s="45"/>
      <c r="G10" s="45"/>
      <c r="H10" s="45"/>
    </row>
    <row r="11" spans="1:8"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13</v>
      </c>
      <c r="D11" s="47"/>
      <c r="E11" s="47"/>
      <c r="F11" s="45"/>
      <c r="G11" s="45"/>
      <c r="H11" s="45"/>
    </row>
    <row r="12" spans="1:8"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28</v>
      </c>
      <c r="D12" s="48" t="s">
        <v>15</v>
      </c>
      <c r="E12" s="48"/>
      <c r="F12" s="45"/>
      <c r="G12" s="45"/>
      <c r="H12" s="45"/>
    </row>
    <row r="13" spans="1:8"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14</v>
      </c>
      <c r="D13" s="51" t="s">
        <v>26</v>
      </c>
      <c r="E13" s="51">
        <f>COUNTA(C13:D21)</f>
        <v>14</v>
      </c>
      <c r="F13" s="45"/>
      <c r="G13" s="45"/>
      <c r="H13" s="45"/>
    </row>
    <row r="14" spans="1:8"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16</v>
      </c>
      <c r="D14" s="50"/>
      <c r="E14" s="50"/>
      <c r="F14" s="45"/>
      <c r="G14" s="45"/>
      <c r="H14" s="45"/>
    </row>
    <row r="15" spans="1:8"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21</v>
      </c>
      <c r="D15" s="47" t="s">
        <v>25</v>
      </c>
      <c r="E15" s="47"/>
      <c r="F15" s="45"/>
      <c r="G15" s="45"/>
      <c r="H15" s="45"/>
    </row>
    <row r="16" spans="1:8"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19</v>
      </c>
      <c r="D16" s="47"/>
      <c r="E16" s="47"/>
      <c r="F16" s="45"/>
      <c r="G16" s="45"/>
      <c r="H16" s="45"/>
    </row>
    <row r="17" spans="1:8"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28</v>
      </c>
      <c r="D17" s="47" t="s">
        <v>22</v>
      </c>
      <c r="E17" s="47"/>
      <c r="F17" s="45"/>
      <c r="G17" s="45"/>
      <c r="H17" s="45"/>
    </row>
    <row r="18" spans="1:8"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10</v>
      </c>
      <c r="D18" s="47"/>
      <c r="E18" s="47"/>
      <c r="F18" s="45"/>
      <c r="G18" s="45"/>
      <c r="H18" s="45"/>
    </row>
    <row r="19" spans="1:8"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12</v>
      </c>
      <c r="E19" s="47"/>
      <c r="F19" s="45"/>
      <c r="G19" s="45"/>
      <c r="H19" s="45"/>
    </row>
    <row r="20" spans="1:8"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27</v>
      </c>
      <c r="D20" s="47"/>
      <c r="E20" s="47"/>
      <c r="F20" s="45"/>
      <c r="G20" s="45"/>
      <c r="H20" s="45"/>
    </row>
    <row r="21" spans="1:8"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15</v>
      </c>
      <c r="D21" s="48" t="s">
        <v>17</v>
      </c>
      <c r="E21" s="48"/>
      <c r="F21" s="45"/>
      <c r="G21" s="45"/>
      <c r="H21" s="45"/>
    </row>
    <row r="22" spans="1:8"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16</v>
      </c>
      <c r="D22" s="51"/>
      <c r="E22" s="51">
        <f>COUNTA(C22:D31)</f>
        <v>14</v>
      </c>
      <c r="F22" s="45"/>
      <c r="G22" s="45"/>
      <c r="H22" s="45"/>
    </row>
    <row r="23" spans="1:8"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14</v>
      </c>
      <c r="D23" s="50"/>
      <c r="E23" s="50"/>
      <c r="F23" s="45"/>
      <c r="G23" s="45"/>
      <c r="H23" s="45"/>
    </row>
    <row r="24" spans="1:8"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22</v>
      </c>
      <c r="D24" s="47" t="s">
        <v>26</v>
      </c>
      <c r="E24" s="47"/>
      <c r="F24" s="45"/>
      <c r="G24" s="45"/>
      <c r="H24" s="45"/>
    </row>
    <row r="25" spans="1:8"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23</v>
      </c>
      <c r="D25" s="47"/>
      <c r="E25" s="47"/>
      <c r="F25" s="45"/>
      <c r="G25" s="45"/>
      <c r="H25" s="45"/>
    </row>
    <row r="26" spans="1:8"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24</v>
      </c>
      <c r="D26" s="47"/>
      <c r="E26" s="47"/>
      <c r="F26" s="45"/>
      <c r="G26" s="45"/>
      <c r="H26" s="45"/>
    </row>
    <row r="27" spans="1:8"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13</v>
      </c>
      <c r="D27" s="47" t="s">
        <v>30</v>
      </c>
      <c r="E27" s="47"/>
      <c r="F27" s="45"/>
      <c r="G27" s="45"/>
      <c r="H27" s="45"/>
    </row>
    <row r="28" spans="1:8"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18</v>
      </c>
      <c r="D28" s="47"/>
      <c r="E28" s="47"/>
      <c r="F28" s="45"/>
      <c r="G28" s="45"/>
      <c r="H28" s="45"/>
    </row>
    <row r="29" spans="1:8"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29</v>
      </c>
      <c r="D29" s="47" t="s">
        <v>20</v>
      </c>
      <c r="E29" s="47"/>
      <c r="F29" s="45"/>
      <c r="G29" s="45"/>
      <c r="H29" s="45"/>
    </row>
    <row r="30" spans="1:8" ht="14.5" customHeight="1">
      <c r="A30" s="47"/>
      <c r="B3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7" t="s">
        <v>19</v>
      </c>
      <c r="D30" s="47"/>
      <c r="E30" s="47"/>
      <c r="F30" s="45"/>
      <c r="G30" s="45"/>
      <c r="H30" s="45"/>
    </row>
    <row r="31" spans="1:8" ht="14.5" customHeight="1" thickBot="1">
      <c r="A31" s="48"/>
      <c r="B3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31" s="48" t="s">
        <v>21</v>
      </c>
      <c r="D31" s="48" t="s">
        <v>25</v>
      </c>
      <c r="E31" s="48"/>
      <c r="F31" s="45"/>
      <c r="G31" s="45"/>
      <c r="H31" s="45"/>
    </row>
    <row r="32" spans="1:8"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26</v>
      </c>
      <c r="D32" s="51" t="s">
        <v>14</v>
      </c>
      <c r="E32" s="51">
        <f>COUNTA(C32:D41)</f>
        <v>14</v>
      </c>
      <c r="F32" s="45"/>
      <c r="G32" s="45"/>
      <c r="H32" s="45"/>
    </row>
    <row r="33" spans="1:8"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13</v>
      </c>
      <c r="D33" s="50"/>
      <c r="E33" s="50"/>
      <c r="F33" s="45"/>
      <c r="G33" s="45"/>
      <c r="H33" s="45"/>
    </row>
    <row r="34" spans="1:8"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20</v>
      </c>
      <c r="D34" s="47" t="s">
        <v>18</v>
      </c>
      <c r="E34" s="47"/>
      <c r="F34" s="45"/>
      <c r="G34" s="45"/>
      <c r="H34" s="45"/>
    </row>
    <row r="35" spans="1:8"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29</v>
      </c>
      <c r="D35" s="47"/>
      <c r="E35" s="47"/>
      <c r="F35" s="45"/>
      <c r="G35" s="45"/>
      <c r="H35" s="45"/>
    </row>
    <row r="36" spans="1:8"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15</v>
      </c>
      <c r="D36" s="47" t="s">
        <v>23</v>
      </c>
      <c r="E36" s="47"/>
      <c r="F36" s="45"/>
      <c r="G36" s="45"/>
      <c r="H36" s="45"/>
    </row>
    <row r="37" spans="1:8"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25</v>
      </c>
      <c r="D37" s="47"/>
      <c r="E37" s="47"/>
      <c r="F37" s="45"/>
      <c r="G37" s="45"/>
      <c r="H37" s="45"/>
    </row>
    <row r="38" spans="1:8"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22</v>
      </c>
      <c r="D38" s="47"/>
      <c r="E38" s="47"/>
      <c r="F38" s="45"/>
      <c r="G38" s="45"/>
      <c r="H38" s="45"/>
    </row>
    <row r="39" spans="1:8"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19</v>
      </c>
      <c r="D39" s="47" t="s">
        <v>28</v>
      </c>
      <c r="E39" s="47"/>
      <c r="F39" s="45"/>
      <c r="G39" s="45"/>
      <c r="H39" s="45"/>
    </row>
    <row r="40" spans="1:8" ht="14.5" customHeight="1">
      <c r="A40" s="47"/>
      <c r="B4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7" t="s">
        <v>17</v>
      </c>
      <c r="D40" s="47"/>
      <c r="E40" s="47"/>
      <c r="F40" s="45"/>
      <c r="G40" s="45"/>
      <c r="H40" s="45"/>
    </row>
    <row r="41" spans="1:8" ht="14.5" customHeight="1" thickBot="1">
      <c r="A41" s="48"/>
      <c r="B4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41" s="48" t="s">
        <v>16</v>
      </c>
      <c r="D41" s="48"/>
      <c r="E41" s="48"/>
      <c r="F41" s="45"/>
      <c r="G41" s="45"/>
      <c r="H41" s="45"/>
    </row>
    <row r="42" spans="1:8" ht="14.5" customHeight="1">
      <c r="A42" s="51" t="s">
        <v>432</v>
      </c>
      <c r="B4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2" s="51" t="s">
        <v>21</v>
      </c>
      <c r="D42" s="51"/>
      <c r="E42" s="51">
        <f>COUNTA(C42:D51)</f>
        <v>14</v>
      </c>
      <c r="F42" s="45"/>
      <c r="G42" s="45"/>
      <c r="H42" s="45"/>
    </row>
    <row r="43" spans="1:8" ht="14.5" customHeight="1">
      <c r="A43" s="50"/>
      <c r="B4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3" s="50" t="s">
        <v>30</v>
      </c>
      <c r="D43" s="50"/>
      <c r="E43" s="50"/>
      <c r="F43" s="45"/>
      <c r="G43" s="45"/>
      <c r="H43" s="45"/>
    </row>
    <row r="44" spans="1:8" ht="14.5" customHeight="1">
      <c r="A44" s="47"/>
      <c r="B4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4" s="47" t="s">
        <v>10</v>
      </c>
      <c r="D44" s="47" t="s">
        <v>12</v>
      </c>
      <c r="E44" s="47"/>
      <c r="F44" s="45"/>
      <c r="G44" s="45"/>
      <c r="H44" s="45"/>
    </row>
    <row r="45" spans="1:8" ht="14.5" customHeight="1">
      <c r="A45" s="47"/>
      <c r="B4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5" s="47" t="s">
        <v>11</v>
      </c>
      <c r="D45" s="47"/>
      <c r="E45" s="47"/>
      <c r="F45" s="45"/>
      <c r="G45" s="45"/>
      <c r="H45" s="45"/>
    </row>
    <row r="46" spans="1:8" ht="14.5" customHeight="1">
      <c r="A46" s="47"/>
      <c r="B4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6" s="47" t="s">
        <v>24</v>
      </c>
      <c r="D46" s="47" t="s">
        <v>27</v>
      </c>
      <c r="E46" s="47"/>
      <c r="F46" s="45"/>
      <c r="G46" s="45"/>
      <c r="H46" s="45"/>
    </row>
    <row r="47" spans="1:8" ht="14.5" customHeight="1">
      <c r="A47" s="47"/>
      <c r="B4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7" s="47" t="s">
        <v>22</v>
      </c>
      <c r="D47" s="47"/>
      <c r="E47" s="47"/>
      <c r="F47" s="45"/>
      <c r="G47" s="45"/>
      <c r="H47" s="45"/>
    </row>
    <row r="48" spans="1:8" ht="14.5" customHeight="1">
      <c r="A48" s="47"/>
      <c r="B4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8" s="47" t="s">
        <v>25</v>
      </c>
      <c r="D48" s="47" t="s">
        <v>23</v>
      </c>
      <c r="E48" s="47"/>
      <c r="F48" s="45"/>
      <c r="G48" s="45"/>
      <c r="H48" s="45"/>
    </row>
    <row r="49" spans="1:8" ht="14.5" customHeight="1">
      <c r="A49" s="47"/>
      <c r="B4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9" s="47" t="s">
        <v>15</v>
      </c>
      <c r="D49" s="47"/>
      <c r="E49" s="47"/>
      <c r="F49" s="45"/>
      <c r="G49" s="45"/>
      <c r="H49" s="45"/>
    </row>
    <row r="50" spans="1:8" ht="14.5" customHeight="1">
      <c r="A50" s="47"/>
      <c r="B5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0" s="47" t="s">
        <v>13</v>
      </c>
      <c r="D50" s="47" t="s">
        <v>14</v>
      </c>
      <c r="E50" s="47"/>
      <c r="F50" s="45"/>
      <c r="G50" s="45"/>
      <c r="H50" s="45"/>
    </row>
    <row r="51" spans="1:8" ht="14.5" customHeight="1" thickBot="1">
      <c r="A51" s="48"/>
      <c r="B5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1" s="48" t="s">
        <v>26</v>
      </c>
      <c r="D51" s="48"/>
      <c r="E51" s="48"/>
      <c r="F51" s="45"/>
      <c r="G51" s="45"/>
      <c r="H51" s="45"/>
    </row>
    <row r="52" spans="1:8" ht="14.5" customHeight="1">
      <c r="A52" s="51" t="s">
        <v>434</v>
      </c>
      <c r="B5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2" s="51" t="s">
        <v>16</v>
      </c>
      <c r="D52" s="51"/>
      <c r="E52" s="51">
        <f>COUNTA(C52:D61)</f>
        <v>14</v>
      </c>
      <c r="F52" s="45"/>
      <c r="G52" s="45"/>
      <c r="H52" s="45"/>
    </row>
    <row r="53" spans="1:8" ht="14.5" customHeight="1">
      <c r="A53" s="50"/>
      <c r="B5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3" s="50" t="s">
        <v>24</v>
      </c>
      <c r="D53" s="50"/>
      <c r="E53" s="50"/>
      <c r="F53" s="45"/>
      <c r="G53" s="45"/>
      <c r="H53" s="45"/>
    </row>
    <row r="54" spans="1:8" ht="14.5" customHeight="1">
      <c r="A54" s="47"/>
      <c r="B5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4" s="47" t="s">
        <v>29</v>
      </c>
      <c r="D54" s="47"/>
      <c r="E54" s="47"/>
      <c r="F54" s="45"/>
      <c r="G54" s="45"/>
      <c r="H54" s="45"/>
    </row>
    <row r="55" spans="1:8" ht="14.5" customHeight="1">
      <c r="A55" s="47"/>
      <c r="B5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5" s="47" t="s">
        <v>11</v>
      </c>
      <c r="D55" s="47" t="s">
        <v>19</v>
      </c>
      <c r="E55" s="47"/>
      <c r="F55" s="45"/>
      <c r="G55" s="45"/>
      <c r="H55" s="45"/>
    </row>
    <row r="56" spans="1:8" ht="14.5" customHeight="1">
      <c r="A56" s="47"/>
      <c r="B5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6" s="47" t="s">
        <v>17</v>
      </c>
      <c r="D56" s="47"/>
      <c r="E56" s="47"/>
      <c r="F56" s="45"/>
      <c r="G56" s="45"/>
      <c r="H56" s="45"/>
    </row>
    <row r="57" spans="1:8" ht="14.5" customHeight="1">
      <c r="A57" s="47"/>
      <c r="B5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7" s="47" t="s">
        <v>27</v>
      </c>
      <c r="D57" s="47" t="s">
        <v>18</v>
      </c>
      <c r="E57" s="47"/>
      <c r="F57" s="45"/>
      <c r="G57" s="45"/>
      <c r="H57" s="45"/>
    </row>
    <row r="58" spans="1:8" ht="14.5" customHeight="1">
      <c r="A58" s="47"/>
      <c r="B5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8" s="47" t="s">
        <v>20</v>
      </c>
      <c r="D58" s="47"/>
      <c r="E58" s="47"/>
      <c r="F58" s="45"/>
      <c r="G58" s="45"/>
      <c r="H58" s="45"/>
    </row>
    <row r="59" spans="1:8" ht="14.5" customHeight="1">
      <c r="A59" s="47"/>
      <c r="B5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9" s="47" t="s">
        <v>12</v>
      </c>
      <c r="D59" s="47" t="s">
        <v>28</v>
      </c>
      <c r="E59" s="47"/>
      <c r="F59" s="45"/>
      <c r="G59" s="45"/>
      <c r="H59" s="45"/>
    </row>
    <row r="60" spans="1:8" ht="14.5" customHeight="1">
      <c r="A60" s="47"/>
      <c r="B6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60" s="47" t="s">
        <v>10</v>
      </c>
      <c r="D60" s="47"/>
      <c r="E60" s="47"/>
      <c r="F60" s="45"/>
      <c r="G60" s="45"/>
      <c r="H60" s="45"/>
    </row>
    <row r="61" spans="1:8" ht="14.5" customHeight="1" thickBot="1">
      <c r="A61" s="52"/>
      <c r="B61" s="52"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61" s="52" t="s">
        <v>21</v>
      </c>
      <c r="D61" s="52" t="s">
        <v>30</v>
      </c>
      <c r="E61" s="52"/>
      <c r="F61" s="45"/>
      <c r="G61" s="45"/>
      <c r="H61" s="45"/>
    </row>
    <row r="62" spans="1:8" ht="14.5" customHeight="1">
      <c r="A62" s="45"/>
      <c r="B62" s="45"/>
      <c r="C62" s="45"/>
      <c r="D62" s="45"/>
      <c r="E62" s="45"/>
      <c r="F62" s="45"/>
      <c r="G62" s="45"/>
      <c r="H62" s="45"/>
    </row>
    <row r="63" spans="1:8" ht="20" customHeight="1">
      <c r="A63" s="136" t="s">
        <v>793</v>
      </c>
      <c r="B63" s="136"/>
      <c r="C63" s="136"/>
      <c r="D63" s="136"/>
      <c r="E63" s="136"/>
      <c r="F63" s="136"/>
      <c r="G63" s="136"/>
      <c r="H63" s="136"/>
    </row>
    <row r="64" spans="1:8" ht="14.5" customHeight="1">
      <c r="A64" s="18"/>
      <c r="B64" s="19" t="s">
        <v>314</v>
      </c>
      <c r="C64" s="135" t="s">
        <v>760</v>
      </c>
      <c r="D64" s="135"/>
      <c r="E64" s="135"/>
      <c r="F64" s="135" t="s">
        <v>755</v>
      </c>
      <c r="G64" s="135"/>
      <c r="H64" s="18"/>
    </row>
    <row r="65" spans="1:8" ht="14.5" customHeight="1">
      <c r="A65" s="18"/>
      <c r="B65" s="20">
        <v>1</v>
      </c>
      <c r="C65" s="134" t="s">
        <v>877</v>
      </c>
      <c r="D65" s="134"/>
      <c r="E65" s="134"/>
      <c r="F65" s="134" t="s">
        <v>840</v>
      </c>
      <c r="G65" s="134"/>
      <c r="H65" s="18"/>
    </row>
    <row r="66" spans="1:8" ht="14.5" customHeight="1">
      <c r="A66" s="18"/>
      <c r="B66" s="20">
        <v>2</v>
      </c>
      <c r="C66" s="134" t="s">
        <v>878</v>
      </c>
      <c r="D66" s="134"/>
      <c r="E66" s="134"/>
      <c r="F66" s="134" t="s">
        <v>840</v>
      </c>
      <c r="G66" s="134"/>
      <c r="H66" s="18"/>
    </row>
    <row r="67" spans="1:8" ht="14.5" customHeight="1">
      <c r="A67" s="18"/>
      <c r="B67" s="20">
        <v>3</v>
      </c>
      <c r="C67" s="134" t="s">
        <v>879</v>
      </c>
      <c r="D67" s="134"/>
      <c r="E67" s="134"/>
      <c r="F67" s="134" t="s">
        <v>840</v>
      </c>
      <c r="G67" s="134"/>
      <c r="H67" s="18"/>
    </row>
    <row r="68" spans="1:8" ht="14.5" customHeight="1">
      <c r="A68" s="18"/>
      <c r="B68" s="20">
        <v>4</v>
      </c>
      <c r="C68" s="134" t="s">
        <v>880</v>
      </c>
      <c r="D68" s="134"/>
      <c r="E68" s="134"/>
      <c r="F68" s="134" t="s">
        <v>840</v>
      </c>
      <c r="G68" s="134"/>
      <c r="H68" s="18"/>
    </row>
    <row r="69" spans="1:8" ht="14.5" customHeight="1">
      <c r="A69" s="18"/>
      <c r="B69" s="20">
        <v>5</v>
      </c>
      <c r="C69" s="134" t="s">
        <v>881</v>
      </c>
      <c r="D69" s="134"/>
      <c r="E69" s="134"/>
      <c r="F69" s="134" t="s">
        <v>840</v>
      </c>
      <c r="G69" s="134"/>
      <c r="H69" s="18"/>
    </row>
    <row r="70" spans="1:8" ht="14.5" customHeight="1">
      <c r="A70" s="18"/>
      <c r="B70" s="20">
        <v>6</v>
      </c>
      <c r="C70" s="134" t="s">
        <v>882</v>
      </c>
      <c r="D70" s="134"/>
      <c r="E70" s="134"/>
      <c r="F70" s="134" t="s">
        <v>841</v>
      </c>
      <c r="G70" s="134"/>
      <c r="H70" s="18"/>
    </row>
    <row r="71" spans="1:8" ht="14.5" customHeight="1">
      <c r="A71" s="18"/>
      <c r="B71" s="20">
        <v>7</v>
      </c>
      <c r="C71" s="134" t="s">
        <v>883</v>
      </c>
      <c r="D71" s="134"/>
      <c r="E71" s="134"/>
      <c r="F71" s="134" t="s">
        <v>841</v>
      </c>
      <c r="G71" s="134"/>
      <c r="H71" s="18"/>
    </row>
    <row r="72" spans="1:8" ht="14.5" customHeight="1">
      <c r="A72" s="18"/>
      <c r="B72" s="18"/>
      <c r="C72" s="18"/>
      <c r="D72" s="18"/>
      <c r="E72" s="18"/>
      <c r="F72" s="18"/>
      <c r="G72" s="18"/>
      <c r="H72" s="18"/>
    </row>
    <row r="73" spans="1:8" ht="14.5" customHeight="1">
      <c r="A73" s="18"/>
      <c r="B73" s="18"/>
      <c r="C73" s="18"/>
      <c r="D73" s="18"/>
      <c r="E73" s="18"/>
      <c r="F73" s="18"/>
      <c r="G73" s="18"/>
      <c r="H73" s="18"/>
    </row>
    <row r="74" spans="1:8" ht="14.5" customHeight="1">
      <c r="A74" s="136" t="s">
        <v>794</v>
      </c>
      <c r="B74" s="136"/>
      <c r="C74" s="136"/>
      <c r="D74" s="136"/>
      <c r="E74" s="136"/>
      <c r="F74" s="136"/>
      <c r="G74" s="136"/>
      <c r="H74" s="136"/>
    </row>
    <row r="75" spans="1:8" ht="14.5" customHeight="1">
      <c r="A75" s="18"/>
      <c r="B75" s="19" t="s">
        <v>314</v>
      </c>
      <c r="C75" s="135" t="s">
        <v>760</v>
      </c>
      <c r="D75" s="135"/>
      <c r="E75" s="135"/>
      <c r="F75" s="135" t="s">
        <v>755</v>
      </c>
      <c r="G75" s="135"/>
      <c r="H75" s="18"/>
    </row>
    <row r="76" spans="1:8" ht="14.5">
      <c r="A76" s="18"/>
      <c r="B76" s="20">
        <v>1</v>
      </c>
      <c r="C76" s="134" t="s">
        <v>884</v>
      </c>
      <c r="D76" s="134"/>
      <c r="E76" s="134"/>
      <c r="F76" s="134" t="s">
        <v>841</v>
      </c>
      <c r="G76" s="134"/>
      <c r="H76" s="18"/>
    </row>
    <row r="77" spans="1:8" ht="14.5">
      <c r="A77" s="18"/>
      <c r="B77" s="20">
        <v>2</v>
      </c>
      <c r="C77" s="134" t="s">
        <v>885</v>
      </c>
      <c r="D77" s="134"/>
      <c r="E77" s="134"/>
      <c r="F77" s="134" t="s">
        <v>847</v>
      </c>
      <c r="G77" s="134"/>
      <c r="H77" s="18"/>
    </row>
    <row r="78" spans="1:8" ht="14.5">
      <c r="A78" s="18"/>
      <c r="B78" s="20">
        <v>3</v>
      </c>
      <c r="C78" s="134" t="s">
        <v>886</v>
      </c>
      <c r="D78" s="134"/>
      <c r="E78" s="134"/>
      <c r="F78" s="134" t="s">
        <v>847</v>
      </c>
      <c r="G78" s="134"/>
      <c r="H78" s="18"/>
    </row>
    <row r="79" spans="1:8" ht="14.5">
      <c r="A79" s="18"/>
      <c r="B79" s="20">
        <v>4</v>
      </c>
      <c r="C79" s="134" t="s">
        <v>887</v>
      </c>
      <c r="D79" s="134"/>
      <c r="E79" s="134"/>
      <c r="F79" s="134" t="s">
        <v>847</v>
      </c>
      <c r="G79" s="134"/>
      <c r="H79" s="18"/>
    </row>
    <row r="80" spans="1:8" ht="14.5">
      <c r="A80" s="18"/>
      <c r="B80" s="20">
        <v>5</v>
      </c>
      <c r="C80" s="134" t="s">
        <v>888</v>
      </c>
      <c r="D80" s="134"/>
      <c r="E80" s="134"/>
      <c r="F80" s="134" t="s">
        <v>847</v>
      </c>
      <c r="G80" s="134"/>
      <c r="H80" s="18"/>
    </row>
    <row r="81" spans="1:8" ht="14.5">
      <c r="A81" s="18"/>
      <c r="B81" s="20">
        <v>6</v>
      </c>
      <c r="C81" s="134" t="s">
        <v>889</v>
      </c>
      <c r="D81" s="134"/>
      <c r="E81" s="134"/>
      <c r="F81" s="134" t="s">
        <v>847</v>
      </c>
      <c r="G81" s="134"/>
      <c r="H81" s="18"/>
    </row>
    <row r="82" spans="1:8" ht="14.5">
      <c r="A82" s="18"/>
      <c r="B82" s="20">
        <v>7</v>
      </c>
      <c r="C82" s="134" t="s">
        <v>890</v>
      </c>
      <c r="D82" s="134"/>
      <c r="E82" s="134"/>
      <c r="F82" s="134" t="s">
        <v>847</v>
      </c>
      <c r="G82" s="134"/>
      <c r="H82" s="18"/>
    </row>
    <row r="83" spans="1:8" ht="14.5">
      <c r="A83" s="18"/>
      <c r="B83" s="18"/>
      <c r="C83" s="18"/>
      <c r="D83" s="18"/>
      <c r="E83" s="18"/>
      <c r="F83" s="18"/>
      <c r="G83" s="18"/>
      <c r="H83" s="18"/>
    </row>
    <row r="84" spans="1:8" ht="14.5">
      <c r="A84" s="18"/>
      <c r="B84" s="18"/>
      <c r="C84" s="18"/>
      <c r="D84" s="18"/>
      <c r="E84" s="18"/>
      <c r="F84" s="18"/>
      <c r="G84" s="18"/>
      <c r="H84" s="18"/>
    </row>
    <row r="85" spans="1:8" ht="15.5">
      <c r="A85" s="136" t="s">
        <v>795</v>
      </c>
      <c r="B85" s="136"/>
      <c r="C85" s="136"/>
      <c r="D85" s="136"/>
      <c r="E85" s="136"/>
      <c r="F85" s="136"/>
      <c r="G85" s="136"/>
      <c r="H85" s="136"/>
    </row>
    <row r="86" spans="1:8" ht="14.5">
      <c r="A86" s="18"/>
      <c r="B86" s="19" t="s">
        <v>314</v>
      </c>
      <c r="C86" s="135" t="s">
        <v>760</v>
      </c>
      <c r="D86" s="135"/>
      <c r="E86" s="135"/>
      <c r="F86" s="135" t="s">
        <v>755</v>
      </c>
      <c r="G86" s="135"/>
      <c r="H86" s="18"/>
    </row>
    <row r="87" spans="1:8" ht="14.5">
      <c r="A87" s="18"/>
      <c r="B87" s="20">
        <v>1</v>
      </c>
      <c r="C87" s="134" t="s">
        <v>870</v>
      </c>
      <c r="D87" s="134"/>
      <c r="E87" s="134"/>
      <c r="F87" s="134" t="s">
        <v>840</v>
      </c>
      <c r="G87" s="134"/>
      <c r="H87" s="18"/>
    </row>
    <row r="88" spans="1:8" ht="14.5">
      <c r="A88" s="18"/>
      <c r="B88" s="20">
        <v>2</v>
      </c>
      <c r="C88" s="134" t="s">
        <v>871</v>
      </c>
      <c r="D88" s="134"/>
      <c r="E88" s="134"/>
      <c r="F88" s="134" t="s">
        <v>840</v>
      </c>
      <c r="G88" s="134"/>
      <c r="H88" s="18"/>
    </row>
    <row r="89" spans="1:8" ht="14.5">
      <c r="A89" s="18"/>
      <c r="B89" s="20">
        <v>3</v>
      </c>
      <c r="C89" s="134" t="s">
        <v>872</v>
      </c>
      <c r="D89" s="134"/>
      <c r="E89" s="134"/>
      <c r="F89" s="134" t="s">
        <v>841</v>
      </c>
      <c r="G89" s="134"/>
      <c r="H89" s="18"/>
    </row>
    <row r="90" spans="1:8" ht="14.5">
      <c r="A90" s="18"/>
      <c r="B90" s="20">
        <v>4</v>
      </c>
      <c r="C90" s="134" t="s">
        <v>873</v>
      </c>
      <c r="D90" s="134"/>
      <c r="E90" s="134"/>
      <c r="F90" s="134" t="s">
        <v>841</v>
      </c>
      <c r="G90" s="134"/>
      <c r="H90" s="18"/>
    </row>
    <row r="91" spans="1:8" ht="14.5">
      <c r="A91" s="18"/>
      <c r="B91" s="20">
        <v>5</v>
      </c>
      <c r="C91" s="134" t="s">
        <v>891</v>
      </c>
      <c r="D91" s="134"/>
      <c r="E91" s="134"/>
      <c r="F91" s="134" t="s">
        <v>847</v>
      </c>
      <c r="G91" s="134"/>
      <c r="H91" s="18"/>
    </row>
    <row r="92" spans="1:8" ht="14.5">
      <c r="A92" s="18"/>
      <c r="B92" s="20">
        <v>6</v>
      </c>
      <c r="C92" s="134" t="s">
        <v>874</v>
      </c>
      <c r="D92" s="134"/>
      <c r="E92" s="134"/>
      <c r="F92" s="134" t="s">
        <v>847</v>
      </c>
      <c r="G92" s="134"/>
      <c r="H92" s="18"/>
    </row>
    <row r="93" spans="1:8" ht="14.5">
      <c r="A93" s="18"/>
      <c r="B93" s="20">
        <v>7</v>
      </c>
      <c r="C93" s="134" t="s">
        <v>875</v>
      </c>
      <c r="D93" s="134"/>
      <c r="E93" s="134"/>
      <c r="F93" s="134" t="s">
        <v>847</v>
      </c>
      <c r="G93" s="134"/>
      <c r="H93" s="18"/>
    </row>
    <row r="94" spans="1:8" ht="14.5">
      <c r="A94" s="18"/>
      <c r="B94" s="18"/>
      <c r="C94" s="18"/>
      <c r="D94" s="18"/>
      <c r="E94" s="18"/>
      <c r="F94" s="18"/>
      <c r="G94" s="18"/>
      <c r="H94" s="18"/>
    </row>
    <row r="95" spans="1:8" ht="14.5">
      <c r="A95" s="18"/>
      <c r="B95" s="18"/>
      <c r="C95" s="18"/>
      <c r="D95" s="18"/>
      <c r="E95" s="18"/>
      <c r="F95" s="18"/>
      <c r="G95" s="18"/>
      <c r="H95" s="18"/>
    </row>
    <row r="96" spans="1:8" ht="15.5">
      <c r="A96" s="136" t="s">
        <v>796</v>
      </c>
      <c r="B96" s="136"/>
      <c r="C96" s="136"/>
      <c r="D96" s="136"/>
      <c r="E96" s="136"/>
      <c r="F96" s="136"/>
      <c r="G96" s="136"/>
      <c r="H96" s="136"/>
    </row>
    <row r="97" spans="1:8" ht="14.5">
      <c r="A97" s="18"/>
      <c r="B97" s="19" t="s">
        <v>314</v>
      </c>
      <c r="C97" s="135" t="s">
        <v>760</v>
      </c>
      <c r="D97" s="135"/>
      <c r="E97" s="135"/>
      <c r="F97" s="135" t="s">
        <v>755</v>
      </c>
      <c r="G97" s="135"/>
      <c r="H97" s="18"/>
    </row>
    <row r="98" spans="1:8" ht="14.5">
      <c r="A98" s="18"/>
      <c r="B98" s="20">
        <v>1</v>
      </c>
      <c r="C98" s="134" t="s">
        <v>884</v>
      </c>
      <c r="D98" s="134"/>
      <c r="E98" s="134"/>
      <c r="F98" s="134" t="s">
        <v>841</v>
      </c>
      <c r="G98" s="134"/>
      <c r="H98" s="18"/>
    </row>
    <row r="99" spans="1:8" ht="14.5">
      <c r="A99" s="18"/>
      <c r="B99" s="20">
        <v>2</v>
      </c>
      <c r="C99" s="134" t="s">
        <v>885</v>
      </c>
      <c r="D99" s="134"/>
      <c r="E99" s="134"/>
      <c r="F99" s="134" t="s">
        <v>847</v>
      </c>
      <c r="G99" s="134"/>
      <c r="H99" s="18"/>
    </row>
    <row r="100" spans="1:8" ht="14.5">
      <c r="A100" s="18"/>
      <c r="B100" s="20">
        <v>3</v>
      </c>
      <c r="C100" s="134" t="s">
        <v>886</v>
      </c>
      <c r="D100" s="134"/>
      <c r="E100" s="134"/>
      <c r="F100" s="134" t="s">
        <v>847</v>
      </c>
      <c r="G100" s="134"/>
      <c r="H100" s="18"/>
    </row>
    <row r="101" spans="1:8" ht="14.5">
      <c r="A101" s="18"/>
      <c r="B101" s="20">
        <v>4</v>
      </c>
      <c r="C101" s="134" t="s">
        <v>887</v>
      </c>
      <c r="D101" s="134"/>
      <c r="E101" s="134"/>
      <c r="F101" s="134" t="s">
        <v>847</v>
      </c>
      <c r="G101" s="134"/>
      <c r="H101" s="18"/>
    </row>
    <row r="102" spans="1:8" ht="14.5">
      <c r="A102" s="18"/>
      <c r="B102" s="20">
        <v>5</v>
      </c>
      <c r="C102" s="134" t="s">
        <v>888</v>
      </c>
      <c r="D102" s="134"/>
      <c r="E102" s="134"/>
      <c r="F102" s="134" t="s">
        <v>847</v>
      </c>
      <c r="G102" s="134"/>
      <c r="H102" s="18"/>
    </row>
    <row r="103" spans="1:8" ht="14.5">
      <c r="A103" s="18"/>
      <c r="B103" s="20">
        <v>6</v>
      </c>
      <c r="C103" s="134" t="s">
        <v>889</v>
      </c>
      <c r="D103" s="134"/>
      <c r="E103" s="134"/>
      <c r="F103" s="134" t="s">
        <v>847</v>
      </c>
      <c r="G103" s="134"/>
      <c r="H103" s="18"/>
    </row>
    <row r="104" spans="1:8" ht="14.5">
      <c r="A104" s="18"/>
      <c r="B104" s="20">
        <v>7</v>
      </c>
      <c r="C104" s="134" t="s">
        <v>890</v>
      </c>
      <c r="D104" s="134"/>
      <c r="E104" s="134"/>
      <c r="F104" s="134" t="s">
        <v>847</v>
      </c>
      <c r="G104" s="134"/>
      <c r="H104" s="18"/>
    </row>
    <row r="105" spans="1:8" ht="14.5">
      <c r="A105" s="18"/>
      <c r="B105" s="18"/>
      <c r="C105" s="18"/>
      <c r="D105" s="18"/>
      <c r="E105" s="18"/>
      <c r="F105" s="18"/>
      <c r="G105" s="18"/>
      <c r="H105" s="18"/>
    </row>
    <row r="106" spans="1:8" ht="14.5">
      <c r="A106" s="18"/>
      <c r="B106" s="18"/>
      <c r="C106" s="18"/>
      <c r="D106" s="18"/>
      <c r="E106" s="18"/>
      <c r="F106" s="18"/>
      <c r="G106" s="18"/>
      <c r="H106" s="18"/>
    </row>
    <row r="107" spans="1:8" ht="15.5">
      <c r="A107" s="136" t="s">
        <v>797</v>
      </c>
      <c r="B107" s="136"/>
      <c r="C107" s="136"/>
      <c r="D107" s="136"/>
      <c r="E107" s="136"/>
      <c r="F107" s="136"/>
      <c r="G107" s="136"/>
      <c r="H107" s="136"/>
    </row>
    <row r="108" spans="1:8" ht="14.5">
      <c r="A108" s="18"/>
      <c r="B108" s="19" t="s">
        <v>314</v>
      </c>
      <c r="C108" s="135" t="s">
        <v>760</v>
      </c>
      <c r="D108" s="135"/>
      <c r="E108" s="135"/>
      <c r="F108" s="135" t="s">
        <v>755</v>
      </c>
      <c r="G108" s="135"/>
      <c r="H108" s="18"/>
    </row>
    <row r="109" spans="1:8" ht="14.5">
      <c r="A109" s="18"/>
      <c r="B109" s="20">
        <v>1</v>
      </c>
      <c r="C109" s="134" t="s">
        <v>858</v>
      </c>
      <c r="D109" s="134"/>
      <c r="E109" s="134"/>
      <c r="F109" s="134" t="s">
        <v>840</v>
      </c>
      <c r="G109" s="134"/>
      <c r="H109" s="18"/>
    </row>
    <row r="110" spans="1:8" ht="14.5">
      <c r="A110" s="18"/>
      <c r="B110" s="20">
        <v>2</v>
      </c>
      <c r="C110" s="134" t="s">
        <v>859</v>
      </c>
      <c r="D110" s="134"/>
      <c r="E110" s="134"/>
      <c r="F110" s="134" t="s">
        <v>840</v>
      </c>
      <c r="G110" s="134"/>
      <c r="H110" s="18"/>
    </row>
    <row r="111" spans="1:8" ht="14.5">
      <c r="A111" s="18"/>
      <c r="B111" s="20">
        <v>3</v>
      </c>
      <c r="C111" s="134" t="s">
        <v>860</v>
      </c>
      <c r="D111" s="134"/>
      <c r="E111" s="134"/>
      <c r="F111" s="134" t="s">
        <v>841</v>
      </c>
      <c r="G111" s="134"/>
      <c r="H111" s="18"/>
    </row>
    <row r="112" spans="1:8" ht="14.5">
      <c r="A112" s="18"/>
      <c r="B112" s="20">
        <v>4</v>
      </c>
      <c r="C112" s="134" t="s">
        <v>892</v>
      </c>
      <c r="D112" s="134"/>
      <c r="E112" s="134"/>
      <c r="F112" s="134" t="s">
        <v>841</v>
      </c>
      <c r="G112" s="134"/>
      <c r="H112" s="18"/>
    </row>
    <row r="113" spans="1:8" ht="14.5">
      <c r="A113" s="18"/>
      <c r="B113" s="20">
        <v>5</v>
      </c>
      <c r="C113" s="134" t="s">
        <v>893</v>
      </c>
      <c r="D113" s="134"/>
      <c r="E113" s="134"/>
      <c r="F113" s="134" t="s">
        <v>841</v>
      </c>
      <c r="G113" s="134"/>
      <c r="H113" s="18"/>
    </row>
    <row r="114" spans="1:8" ht="14.5">
      <c r="A114" s="18"/>
      <c r="B114" s="20">
        <v>6</v>
      </c>
      <c r="C114" s="134" t="s">
        <v>862</v>
      </c>
      <c r="D114" s="134"/>
      <c r="E114" s="134"/>
      <c r="F114" s="134" t="s">
        <v>847</v>
      </c>
      <c r="G114" s="134"/>
      <c r="H114" s="18"/>
    </row>
    <row r="115" spans="1:8" ht="14.5">
      <c r="A115" s="18"/>
      <c r="B115" s="20">
        <v>7</v>
      </c>
      <c r="C115" s="134" t="s">
        <v>894</v>
      </c>
      <c r="D115" s="134"/>
      <c r="E115" s="134"/>
      <c r="F115" s="134" t="s">
        <v>847</v>
      </c>
      <c r="G115" s="134"/>
      <c r="H115" s="18"/>
    </row>
    <row r="116" spans="1:8" ht="14.5">
      <c r="A116" s="18"/>
      <c r="B116" s="18"/>
      <c r="C116" s="18"/>
      <c r="D116" s="18"/>
      <c r="E116" s="18"/>
      <c r="F116" s="18"/>
      <c r="G116" s="18"/>
      <c r="H116" s="18"/>
    </row>
    <row r="117" spans="1:8" ht="14.5">
      <c r="A117" s="18"/>
      <c r="B117" s="18"/>
      <c r="C117" s="18"/>
      <c r="D117" s="18"/>
      <c r="E117" s="18"/>
      <c r="F117" s="18"/>
      <c r="G117" s="18"/>
      <c r="H117" s="18"/>
    </row>
  </sheetData>
  <mergeCells count="87">
    <mergeCell ref="C65:E65"/>
    <mergeCell ref="F65:G65"/>
    <mergeCell ref="C66:E66"/>
    <mergeCell ref="F66:G66"/>
    <mergeCell ref="C67:E67"/>
    <mergeCell ref="F67:G67"/>
    <mergeCell ref="A1:H1"/>
    <mergeCell ref="C2:D2"/>
    <mergeCell ref="A63:H63"/>
    <mergeCell ref="C64:E64"/>
    <mergeCell ref="F64:G64"/>
    <mergeCell ref="C68:E68"/>
    <mergeCell ref="F68:G68"/>
    <mergeCell ref="C69:E69"/>
    <mergeCell ref="F69:G69"/>
    <mergeCell ref="C70:E70"/>
    <mergeCell ref="F70:G70"/>
    <mergeCell ref="C71:E71"/>
    <mergeCell ref="F71:G71"/>
    <mergeCell ref="A74:H74"/>
    <mergeCell ref="C75:E75"/>
    <mergeCell ref="F75:G75"/>
    <mergeCell ref="C76:E76"/>
    <mergeCell ref="F76:G76"/>
    <mergeCell ref="C77:E77"/>
    <mergeCell ref="F77:G77"/>
    <mergeCell ref="C78:E78"/>
    <mergeCell ref="F78:G78"/>
    <mergeCell ref="C79:E79"/>
    <mergeCell ref="F79:G79"/>
    <mergeCell ref="C80:E80"/>
    <mergeCell ref="F80:G80"/>
    <mergeCell ref="C81:E81"/>
    <mergeCell ref="F81:G81"/>
    <mergeCell ref="C82:E82"/>
    <mergeCell ref="F82:G82"/>
    <mergeCell ref="A85:H85"/>
    <mergeCell ref="C86:E86"/>
    <mergeCell ref="F86:G86"/>
    <mergeCell ref="C87:E87"/>
    <mergeCell ref="F87:G87"/>
    <mergeCell ref="C88:E88"/>
    <mergeCell ref="F88:G88"/>
    <mergeCell ref="C89:E89"/>
    <mergeCell ref="F89:G89"/>
    <mergeCell ref="C90:E90"/>
    <mergeCell ref="F90:G90"/>
    <mergeCell ref="C91:E91"/>
    <mergeCell ref="F91:G91"/>
    <mergeCell ref="C92:E92"/>
    <mergeCell ref="F92:G92"/>
    <mergeCell ref="C93:E93"/>
    <mergeCell ref="F93:G93"/>
    <mergeCell ref="A96:H96"/>
    <mergeCell ref="C97:E97"/>
    <mergeCell ref="F97:G97"/>
    <mergeCell ref="C98:E98"/>
    <mergeCell ref="F98:G98"/>
    <mergeCell ref="C99:E99"/>
    <mergeCell ref="F99:G99"/>
    <mergeCell ref="C100:E100"/>
    <mergeCell ref="F100:G100"/>
    <mergeCell ref="C101:E101"/>
    <mergeCell ref="F101:G101"/>
    <mergeCell ref="C102:E102"/>
    <mergeCell ref="F102:G102"/>
    <mergeCell ref="C103:E103"/>
    <mergeCell ref="F103:G103"/>
    <mergeCell ref="C104:E104"/>
    <mergeCell ref="F104:G104"/>
    <mergeCell ref="A107:H107"/>
    <mergeCell ref="C108:E108"/>
    <mergeCell ref="F108:G108"/>
    <mergeCell ref="C109:E109"/>
    <mergeCell ref="F109:G109"/>
    <mergeCell ref="C110:E110"/>
    <mergeCell ref="F110:G110"/>
    <mergeCell ref="C111:E111"/>
    <mergeCell ref="F111:G111"/>
    <mergeCell ref="C115:E115"/>
    <mergeCell ref="F115:G115"/>
    <mergeCell ref="C112:E112"/>
    <mergeCell ref="F112:G112"/>
    <mergeCell ref="C113:E113"/>
    <mergeCell ref="F113:G113"/>
    <mergeCell ref="C114:E114"/>
    <mergeCell ref="F114:G1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89EC-6FC5-4304-926F-346D24967C93}">
  <dimension ref="A1:H113"/>
  <sheetViews>
    <sheetView showGridLines="0" rightToLeft="1" tabSelected="1" zoomScale="74" zoomScaleNormal="54" workbookViewId="0">
      <pane ySplit="3" topLeftCell="A37" activePane="bottomLeft" state="frozen"/>
      <selection pane="bottomLeft" activeCell="F92" sqref="C92:G99"/>
    </sheetView>
  </sheetViews>
  <sheetFormatPr defaultRowHeight="14"/>
  <cols>
    <col min="1" max="1" width="15.83203125" customWidth="1"/>
    <col min="2" max="2" width="17.5" customWidth="1"/>
    <col min="3" max="6" width="13" customWidth="1"/>
    <col min="7" max="7" width="17.5" customWidth="1"/>
    <col min="8" max="8" width="15.83203125" customWidth="1"/>
    <col min="9" max="10" width="13" customWidth="1"/>
  </cols>
  <sheetData>
    <row r="1" spans="1:7" ht="26" customHeight="1">
      <c r="A1" s="133" t="s">
        <v>467</v>
      </c>
      <c r="B1" s="133"/>
      <c r="C1" s="133"/>
      <c r="D1" s="133"/>
      <c r="E1" s="133"/>
      <c r="F1" s="133"/>
      <c r="G1" s="133"/>
    </row>
    <row r="2" spans="1:7" ht="20" customHeight="1">
      <c r="A2" s="42"/>
      <c r="B2" s="42"/>
      <c r="C2" s="138" t="s">
        <v>438</v>
      </c>
      <c r="D2" s="138"/>
      <c r="E2" s="138"/>
      <c r="F2" s="138"/>
      <c r="G2" s="42"/>
    </row>
    <row r="3" spans="1:7" ht="32" customHeight="1" thickBot="1">
      <c r="A3" s="21" t="s">
        <v>426</v>
      </c>
      <c r="B3" s="21" t="s">
        <v>7</v>
      </c>
      <c r="C3" s="21" t="s">
        <v>8</v>
      </c>
      <c r="D3" s="21" t="s">
        <v>9</v>
      </c>
      <c r="E3" s="21" t="s">
        <v>84</v>
      </c>
      <c r="F3" s="21" t="s">
        <v>119</v>
      </c>
      <c r="G3" s="21" t="s">
        <v>427</v>
      </c>
    </row>
    <row r="4" spans="1:7" ht="14.5" customHeight="1">
      <c r="A4" s="23" t="s">
        <v>428</v>
      </c>
      <c r="B4"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23" t="s">
        <v>23</v>
      </c>
      <c r="D4" s="23" t="s">
        <v>25</v>
      </c>
      <c r="E4" s="23" t="s">
        <v>22</v>
      </c>
      <c r="F4" s="23" t="s">
        <v>31</v>
      </c>
      <c r="G4" s="23">
        <f>COUNTA(C4:F10)</f>
        <v>16</v>
      </c>
    </row>
    <row r="5" spans="1:7" ht="14.5" customHeight="1">
      <c r="A5" s="22"/>
      <c r="B5"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22"/>
      <c r="D5" s="22"/>
      <c r="E5" s="22"/>
      <c r="F5" s="22"/>
      <c r="G5" s="22"/>
    </row>
    <row r="6" spans="1:7" ht="14.5" customHeight="1">
      <c r="A6" s="20"/>
      <c r="B6"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20" t="s">
        <v>32</v>
      </c>
      <c r="D6" s="20" t="s">
        <v>17</v>
      </c>
      <c r="E6" s="20" t="s">
        <v>16</v>
      </c>
      <c r="F6" s="20" t="s">
        <v>26</v>
      </c>
      <c r="G6" s="20"/>
    </row>
    <row r="7" spans="1:7" ht="14.5" customHeight="1">
      <c r="A7" s="20"/>
      <c r="B7"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20"/>
      <c r="D7" s="20"/>
      <c r="E7" s="20"/>
      <c r="F7" s="20"/>
      <c r="G7" s="20"/>
    </row>
    <row r="8" spans="1:7" ht="14.5" customHeight="1">
      <c r="A8" s="20"/>
      <c r="B8"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20" t="s">
        <v>28</v>
      </c>
      <c r="D8" s="20" t="s">
        <v>20</v>
      </c>
      <c r="E8" s="20" t="s">
        <v>12</v>
      </c>
      <c r="F8" s="20" t="s">
        <v>37</v>
      </c>
      <c r="G8" s="20"/>
    </row>
    <row r="9" spans="1:7" ht="14.5" customHeight="1">
      <c r="A9" s="20"/>
      <c r="B9"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20"/>
      <c r="D9" s="20"/>
      <c r="E9" s="20"/>
      <c r="F9" s="20"/>
      <c r="G9" s="20"/>
    </row>
    <row r="10" spans="1:7" ht="14.5" customHeight="1" thickBot="1">
      <c r="A10" s="24"/>
      <c r="B10"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24" t="s">
        <v>18</v>
      </c>
      <c r="D10" s="24" t="s">
        <v>10</v>
      </c>
      <c r="E10" s="24" t="s">
        <v>30</v>
      </c>
      <c r="F10" s="24" t="s">
        <v>35</v>
      </c>
      <c r="G10" s="24"/>
    </row>
    <row r="11" spans="1:7" ht="14.5" customHeight="1">
      <c r="A11" s="23" t="s">
        <v>429</v>
      </c>
      <c r="B11"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1" s="23" t="s">
        <v>11</v>
      </c>
      <c r="D11" s="23" t="s">
        <v>24</v>
      </c>
      <c r="E11" s="23" t="s">
        <v>13</v>
      </c>
      <c r="F11" s="23" t="s">
        <v>33</v>
      </c>
      <c r="G11" s="23">
        <f>COUNTA(C11:F17)</f>
        <v>16</v>
      </c>
    </row>
    <row r="12" spans="1:7" ht="14.5" customHeight="1">
      <c r="A12" s="22"/>
      <c r="B12"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2" s="22"/>
      <c r="D12" s="22"/>
      <c r="E12" s="22"/>
      <c r="F12" s="22"/>
      <c r="G12" s="22"/>
    </row>
    <row r="13" spans="1:7" ht="14.5" customHeight="1">
      <c r="A13" s="20"/>
      <c r="B13"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3" s="20" t="s">
        <v>21</v>
      </c>
      <c r="D13" s="20" t="s">
        <v>34</v>
      </c>
      <c r="E13" s="20" t="s">
        <v>15</v>
      </c>
      <c r="F13" s="20" t="s">
        <v>27</v>
      </c>
      <c r="G13" s="20"/>
    </row>
    <row r="14" spans="1:7" ht="14.5" customHeight="1">
      <c r="A14" s="20"/>
      <c r="B14"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4" s="20"/>
      <c r="D14" s="20"/>
      <c r="E14" s="20"/>
      <c r="F14" s="20"/>
      <c r="G14" s="20"/>
    </row>
    <row r="15" spans="1:7" ht="14.5" customHeight="1">
      <c r="A15" s="20"/>
      <c r="B15"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5" s="20" t="s">
        <v>14</v>
      </c>
      <c r="D15" s="20" t="s">
        <v>36</v>
      </c>
      <c r="E15" s="20" t="s">
        <v>29</v>
      </c>
      <c r="F15" s="20" t="s">
        <v>19</v>
      </c>
      <c r="G15" s="20"/>
    </row>
    <row r="16" spans="1:7" ht="14.5" customHeight="1">
      <c r="A16" s="20"/>
      <c r="B16"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6" s="20"/>
      <c r="D16" s="20"/>
      <c r="E16" s="20"/>
      <c r="F16" s="20"/>
      <c r="G16" s="20"/>
    </row>
    <row r="17" spans="1:7" ht="14.5" customHeight="1" thickBot="1">
      <c r="A17" s="24"/>
      <c r="B17"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7" s="24" t="s">
        <v>23</v>
      </c>
      <c r="D17" s="24" t="s">
        <v>20</v>
      </c>
      <c r="E17" s="24" t="s">
        <v>35</v>
      </c>
      <c r="F17" s="24" t="s">
        <v>26</v>
      </c>
      <c r="G17" s="24"/>
    </row>
    <row r="18" spans="1:7" ht="14.5" customHeight="1">
      <c r="A18" s="23" t="s">
        <v>430</v>
      </c>
      <c r="B18"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8" s="23" t="s">
        <v>28</v>
      </c>
      <c r="D18" s="23" t="s">
        <v>17</v>
      </c>
      <c r="E18" s="23" t="s">
        <v>15</v>
      </c>
      <c r="F18" s="23" t="s">
        <v>37</v>
      </c>
      <c r="G18" s="23">
        <f>COUNTA(C18:F24)</f>
        <v>16</v>
      </c>
    </row>
    <row r="19" spans="1:7" ht="14.5" customHeight="1">
      <c r="A19" s="22"/>
      <c r="B19"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9" s="22"/>
      <c r="D19" s="22"/>
      <c r="E19" s="22"/>
      <c r="F19" s="22"/>
      <c r="G19" s="22"/>
    </row>
    <row r="20" spans="1:7" ht="14.5" customHeight="1">
      <c r="A20" s="20"/>
      <c r="B20"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0" s="20" t="s">
        <v>21</v>
      </c>
      <c r="D20" s="20" t="s">
        <v>24</v>
      </c>
      <c r="E20" s="20" t="s">
        <v>36</v>
      </c>
      <c r="F20" s="20" t="s">
        <v>27</v>
      </c>
      <c r="G20" s="20"/>
    </row>
    <row r="21" spans="1:7" ht="14.5" customHeight="1">
      <c r="A21" s="20"/>
      <c r="B21"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1" s="20"/>
      <c r="D21" s="20"/>
      <c r="E21" s="20"/>
      <c r="F21" s="20"/>
      <c r="G21" s="20"/>
    </row>
    <row r="22" spans="1:7" ht="14.5" customHeight="1">
      <c r="A22" s="20"/>
      <c r="B22"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2" s="20" t="s">
        <v>14</v>
      </c>
      <c r="D22" s="20" t="s">
        <v>22</v>
      </c>
      <c r="E22" s="20" t="s">
        <v>19</v>
      </c>
      <c r="F22" s="20" t="s">
        <v>33</v>
      </c>
      <c r="G22" s="20"/>
    </row>
    <row r="23" spans="1:7" ht="14.5" customHeight="1">
      <c r="A23" s="20"/>
      <c r="B23"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3" s="20"/>
      <c r="D23" s="20"/>
      <c r="E23" s="20"/>
      <c r="F23" s="20"/>
      <c r="G23" s="20"/>
    </row>
    <row r="24" spans="1:7" ht="14.5" customHeight="1" thickBot="1">
      <c r="A24" s="24"/>
      <c r="B24"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4" s="24" t="s">
        <v>32</v>
      </c>
      <c r="D24" s="24" t="s">
        <v>10</v>
      </c>
      <c r="E24" s="24" t="s">
        <v>30</v>
      </c>
      <c r="F24" s="24" t="s">
        <v>12</v>
      </c>
      <c r="G24" s="24"/>
    </row>
    <row r="25" spans="1:7" ht="14.5" customHeight="1">
      <c r="A25" s="23" t="s">
        <v>431</v>
      </c>
      <c r="B25"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5" s="23" t="s">
        <v>11</v>
      </c>
      <c r="D25" s="23" t="s">
        <v>25</v>
      </c>
      <c r="E25" s="23" t="s">
        <v>13</v>
      </c>
      <c r="F25" s="23" t="s">
        <v>31</v>
      </c>
      <c r="G25" s="23">
        <f>COUNTA(C25:F31)</f>
        <v>16</v>
      </c>
    </row>
    <row r="26" spans="1:7" ht="14.5" customHeight="1">
      <c r="A26" s="22"/>
      <c r="B26"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6" s="22"/>
      <c r="D26" s="22"/>
      <c r="E26" s="22"/>
      <c r="F26" s="22"/>
      <c r="G26" s="22"/>
    </row>
    <row r="27" spans="1:7" ht="14.5" customHeight="1">
      <c r="A27" s="20"/>
      <c r="B27"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7" s="20" t="s">
        <v>18</v>
      </c>
      <c r="D27" s="20" t="s">
        <v>34</v>
      </c>
      <c r="E27" s="20" t="s">
        <v>16</v>
      </c>
      <c r="F27" s="20" t="s">
        <v>29</v>
      </c>
      <c r="G27" s="20"/>
    </row>
    <row r="28" spans="1:7" ht="14.5" customHeight="1">
      <c r="A28" s="20"/>
      <c r="B28"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8" s="20"/>
      <c r="D28" s="20"/>
      <c r="E28" s="20"/>
      <c r="F28" s="20"/>
      <c r="G28" s="20"/>
    </row>
    <row r="29" spans="1:7" ht="14.5" customHeight="1">
      <c r="A29" s="20"/>
      <c r="B29"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9" s="20" t="s">
        <v>32</v>
      </c>
      <c r="D29" s="20" t="s">
        <v>17</v>
      </c>
      <c r="E29" s="20" t="s">
        <v>30</v>
      </c>
      <c r="F29" s="20" t="s">
        <v>19</v>
      </c>
      <c r="G29" s="20"/>
    </row>
    <row r="30" spans="1:7" ht="14.5" customHeight="1">
      <c r="A30" s="20"/>
      <c r="B30"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0" s="20"/>
      <c r="D30" s="20"/>
      <c r="E30" s="20"/>
      <c r="F30" s="20"/>
      <c r="G30" s="20"/>
    </row>
    <row r="31" spans="1:7" ht="14.5" customHeight="1" thickBot="1">
      <c r="A31" s="24"/>
      <c r="B31"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1" s="24" t="s">
        <v>23</v>
      </c>
      <c r="D31" s="24" t="s">
        <v>24</v>
      </c>
      <c r="E31" s="24" t="s">
        <v>22</v>
      </c>
      <c r="F31" s="24" t="s">
        <v>33</v>
      </c>
      <c r="G31" s="24"/>
    </row>
    <row r="32" spans="1:7" ht="14.5" customHeight="1">
      <c r="A32" s="23" t="s">
        <v>432</v>
      </c>
      <c r="B32"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23" t="s">
        <v>14</v>
      </c>
      <c r="D32" s="23" t="s">
        <v>16</v>
      </c>
      <c r="E32" s="23" t="s">
        <v>29</v>
      </c>
      <c r="F32" s="23" t="s">
        <v>31</v>
      </c>
      <c r="G32" s="23">
        <f>COUNTA(C32:F38)</f>
        <v>16</v>
      </c>
    </row>
    <row r="33" spans="1:7" ht="14.5" customHeight="1">
      <c r="A33" s="22"/>
      <c r="B33"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22"/>
      <c r="D33" s="22"/>
      <c r="E33" s="22"/>
      <c r="F33" s="22"/>
      <c r="G33" s="22"/>
    </row>
    <row r="34" spans="1:7" ht="14.5" customHeight="1">
      <c r="A34" s="20"/>
      <c r="B34"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20" t="s">
        <v>28</v>
      </c>
      <c r="D34" s="20" t="s">
        <v>20</v>
      </c>
      <c r="E34" s="20" t="s">
        <v>12</v>
      </c>
      <c r="F34" s="20" t="s">
        <v>37</v>
      </c>
      <c r="G34" s="20"/>
    </row>
    <row r="35" spans="1:7" ht="14.5" customHeight="1">
      <c r="A35" s="20"/>
      <c r="B35"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20"/>
      <c r="D35" s="20"/>
      <c r="E35" s="20"/>
      <c r="F35" s="20"/>
      <c r="G35" s="20"/>
    </row>
    <row r="36" spans="1:7" ht="14.5" customHeight="1">
      <c r="A36" s="20"/>
      <c r="B36"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20" t="s">
        <v>18</v>
      </c>
      <c r="D36" s="20" t="s">
        <v>25</v>
      </c>
      <c r="E36" s="20" t="s">
        <v>36</v>
      </c>
      <c r="F36" s="20" t="s">
        <v>13</v>
      </c>
      <c r="G36" s="20"/>
    </row>
    <row r="37" spans="1:7" ht="14.5" customHeight="1">
      <c r="A37" s="20"/>
      <c r="B37"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20"/>
      <c r="D37" s="20"/>
      <c r="E37" s="20"/>
      <c r="F37" s="20"/>
      <c r="G37" s="20"/>
    </row>
    <row r="38" spans="1:7" ht="14.5" customHeight="1" thickBot="1">
      <c r="A38" s="24"/>
      <c r="B38"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24" t="s">
        <v>21</v>
      </c>
      <c r="D38" s="24" t="s">
        <v>34</v>
      </c>
      <c r="E38" s="24" t="s">
        <v>15</v>
      </c>
      <c r="F38" s="24" t="s">
        <v>27</v>
      </c>
      <c r="G38" s="24"/>
    </row>
    <row r="39" spans="1:7" ht="14.5" customHeight="1">
      <c r="A39" s="23" t="s">
        <v>434</v>
      </c>
      <c r="B39"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9" s="23" t="s">
        <v>11</v>
      </c>
      <c r="D39" s="23" t="s">
        <v>10</v>
      </c>
      <c r="E39" s="23" t="s">
        <v>35</v>
      </c>
      <c r="F39" s="23" t="s">
        <v>26</v>
      </c>
      <c r="G39" s="23">
        <f>COUNTA(C39:F45)</f>
        <v>16</v>
      </c>
    </row>
    <row r="40" spans="1:7" ht="14.5" customHeight="1">
      <c r="A40" s="22"/>
      <c r="B40"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0" s="22"/>
      <c r="D40" s="22"/>
      <c r="E40" s="22"/>
      <c r="F40" s="22"/>
      <c r="G40" s="22"/>
    </row>
    <row r="41" spans="1:7" ht="14.5" customHeight="1">
      <c r="A41" s="20"/>
      <c r="B41"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1" s="20" t="s">
        <v>21</v>
      </c>
      <c r="D41" s="20" t="s">
        <v>24</v>
      </c>
      <c r="E41" s="20" t="s">
        <v>16</v>
      </c>
      <c r="F41" s="20" t="s">
        <v>33</v>
      </c>
      <c r="G41" s="20"/>
    </row>
    <row r="42" spans="1:7" ht="14.5" customHeight="1">
      <c r="A42" s="20"/>
      <c r="B42"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2" s="20"/>
      <c r="D42" s="20"/>
      <c r="E42" s="20"/>
      <c r="F42" s="20"/>
      <c r="G42" s="20"/>
    </row>
    <row r="43" spans="1:7" ht="14.5" customHeight="1">
      <c r="A43" s="20"/>
      <c r="B43"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3" s="20" t="s">
        <v>28</v>
      </c>
      <c r="D43" s="20" t="s">
        <v>17</v>
      </c>
      <c r="E43" s="20" t="s">
        <v>15</v>
      </c>
      <c r="F43" s="20" t="s">
        <v>37</v>
      </c>
      <c r="G43" s="20"/>
    </row>
    <row r="44" spans="1:7" ht="14.5" customHeight="1">
      <c r="A44" s="20"/>
      <c r="B44"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4" s="20"/>
      <c r="D44" s="20"/>
      <c r="E44" s="20"/>
      <c r="F44" s="20"/>
      <c r="G44" s="20"/>
    </row>
    <row r="45" spans="1:7" ht="14.5" customHeight="1" thickBot="1">
      <c r="A45" s="24"/>
      <c r="B45"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5" s="24" t="s">
        <v>23</v>
      </c>
      <c r="D45" s="24" t="s">
        <v>20</v>
      </c>
      <c r="E45" s="24" t="s">
        <v>29</v>
      </c>
      <c r="F45" s="24" t="s">
        <v>31</v>
      </c>
      <c r="G45" s="24"/>
    </row>
    <row r="46" spans="1:7" ht="14.5" customHeight="1">
      <c r="A46" s="23" t="s">
        <v>435</v>
      </c>
      <c r="B46"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6" s="23" t="s">
        <v>11</v>
      </c>
      <c r="D46" s="23" t="s">
        <v>25</v>
      </c>
      <c r="E46" s="23" t="s">
        <v>35</v>
      </c>
      <c r="F46" s="23" t="s">
        <v>19</v>
      </c>
      <c r="G46" s="23">
        <f>COUNTA(C46:F52)</f>
        <v>16</v>
      </c>
    </row>
    <row r="47" spans="1:7" ht="14.5" customHeight="1">
      <c r="A47" s="22"/>
      <c r="B47"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7" s="22"/>
      <c r="D47" s="22"/>
      <c r="E47" s="22"/>
      <c r="F47" s="22"/>
      <c r="G47" s="22"/>
    </row>
    <row r="48" spans="1:7" ht="14.5" customHeight="1">
      <c r="A48" s="20"/>
      <c r="B48"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8" s="20" t="s">
        <v>18</v>
      </c>
      <c r="D48" s="20" t="s">
        <v>34</v>
      </c>
      <c r="E48" s="20" t="s">
        <v>22</v>
      </c>
      <c r="F48" s="20" t="s">
        <v>27</v>
      </c>
      <c r="G48" s="20"/>
    </row>
    <row r="49" spans="1:8" ht="14.5" customHeight="1">
      <c r="A49" s="20"/>
      <c r="B49"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9" s="20"/>
      <c r="D49" s="20"/>
      <c r="E49" s="20"/>
      <c r="F49" s="20"/>
      <c r="G49" s="20"/>
    </row>
    <row r="50" spans="1:8" ht="14.5" customHeight="1">
      <c r="A50" s="20"/>
      <c r="B50"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0" s="20" t="s">
        <v>14</v>
      </c>
      <c r="D50" s="20" t="s">
        <v>36</v>
      </c>
      <c r="E50" s="20" t="s">
        <v>13</v>
      </c>
      <c r="F50" s="20" t="s">
        <v>26</v>
      </c>
      <c r="G50" s="20"/>
    </row>
    <row r="51" spans="1:8" ht="14.5" customHeight="1">
      <c r="A51" s="24"/>
      <c r="B51" s="24"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1" s="24"/>
      <c r="D51" s="24"/>
      <c r="E51" s="24"/>
      <c r="F51" s="24"/>
      <c r="G51" s="24"/>
    </row>
    <row r="52" spans="1:8" ht="14.5" customHeight="1" thickBot="1">
      <c r="A52" s="43"/>
      <c r="B52" s="43"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2" s="43" t="s">
        <v>32</v>
      </c>
      <c r="D52" s="43" t="s">
        <v>10</v>
      </c>
      <c r="E52" s="43" t="s">
        <v>30</v>
      </c>
      <c r="F52" s="43" t="s">
        <v>12</v>
      </c>
      <c r="G52" s="43"/>
    </row>
    <row r="53" spans="1:8" ht="14.5" customHeight="1">
      <c r="A53" s="18"/>
      <c r="B53" s="18"/>
      <c r="C53" s="18"/>
      <c r="D53" s="18"/>
      <c r="E53" s="18"/>
      <c r="F53" s="18"/>
      <c r="G53" s="18"/>
    </row>
    <row r="54" spans="1:8" ht="14.5" customHeight="1">
      <c r="A54" s="136" t="s">
        <v>798</v>
      </c>
      <c r="B54" s="136"/>
      <c r="C54" s="136"/>
      <c r="D54" s="136"/>
      <c r="E54" s="136"/>
      <c r="F54" s="136"/>
      <c r="G54" s="136"/>
      <c r="H54" s="136"/>
    </row>
    <row r="55" spans="1:8" ht="14.5" customHeight="1">
      <c r="A55" s="18"/>
      <c r="B55" s="19" t="s">
        <v>314</v>
      </c>
      <c r="C55" s="135" t="s">
        <v>761</v>
      </c>
      <c r="D55" s="135"/>
      <c r="E55" s="135"/>
      <c r="F55" s="135" t="s">
        <v>755</v>
      </c>
      <c r="G55" s="135"/>
      <c r="H55" s="18"/>
    </row>
    <row r="56" spans="1:8" ht="14.5" customHeight="1">
      <c r="A56" s="18"/>
      <c r="B56" s="20">
        <v>1</v>
      </c>
      <c r="C56" s="134" t="s">
        <v>895</v>
      </c>
      <c r="D56" s="134"/>
      <c r="E56" s="134"/>
      <c r="F56" s="134" t="s">
        <v>841</v>
      </c>
      <c r="G56" s="134"/>
      <c r="H56" s="18"/>
    </row>
    <row r="57" spans="1:8" ht="14.5" customHeight="1">
      <c r="A57" s="18"/>
      <c r="B57" s="20">
        <v>2</v>
      </c>
      <c r="C57" s="134" t="s">
        <v>896</v>
      </c>
      <c r="D57" s="134"/>
      <c r="E57" s="134"/>
      <c r="F57" s="134" t="s">
        <v>847</v>
      </c>
      <c r="G57" s="134"/>
      <c r="H57" s="18"/>
    </row>
    <row r="58" spans="1:8" ht="14.5" customHeight="1">
      <c r="A58" s="18"/>
      <c r="B58" s="20">
        <v>3</v>
      </c>
      <c r="C58" s="134" t="s">
        <v>897</v>
      </c>
      <c r="D58" s="134"/>
      <c r="E58" s="134"/>
      <c r="F58" s="134" t="s">
        <v>847</v>
      </c>
      <c r="G58" s="134"/>
      <c r="H58" s="18"/>
    </row>
    <row r="59" spans="1:8" ht="14.5" customHeight="1">
      <c r="A59" s="18"/>
      <c r="B59" s="20">
        <v>4</v>
      </c>
      <c r="C59" s="134" t="s">
        <v>898</v>
      </c>
      <c r="D59" s="134"/>
      <c r="E59" s="134"/>
      <c r="F59" s="134" t="s">
        <v>847</v>
      </c>
      <c r="G59" s="134"/>
      <c r="H59" s="18"/>
    </row>
    <row r="60" spans="1:8" ht="14.5" customHeight="1">
      <c r="A60" s="18"/>
      <c r="B60" s="20">
        <v>5</v>
      </c>
      <c r="C60" s="134" t="s">
        <v>899</v>
      </c>
      <c r="D60" s="134"/>
      <c r="E60" s="134"/>
      <c r="F60" s="134" t="s">
        <v>847</v>
      </c>
      <c r="G60" s="134"/>
      <c r="H60" s="18"/>
    </row>
    <row r="61" spans="1:8" ht="14.5" customHeight="1">
      <c r="A61" s="18"/>
      <c r="B61" s="20">
        <v>6</v>
      </c>
      <c r="C61" s="134" t="s">
        <v>900</v>
      </c>
      <c r="D61" s="134"/>
      <c r="E61" s="134"/>
      <c r="F61" s="134" t="s">
        <v>847</v>
      </c>
      <c r="G61" s="134"/>
      <c r="H61" s="18"/>
    </row>
    <row r="62" spans="1:8" ht="14.5" customHeight="1">
      <c r="A62" s="18"/>
      <c r="B62" s="20">
        <v>7</v>
      </c>
      <c r="C62" s="134" t="s">
        <v>901</v>
      </c>
      <c r="D62" s="134"/>
      <c r="E62" s="134"/>
      <c r="F62" s="134" t="s">
        <v>847</v>
      </c>
      <c r="G62" s="134"/>
      <c r="H62" s="18"/>
    </row>
    <row r="63" spans="1:8" ht="14.5" customHeight="1">
      <c r="A63" s="18"/>
      <c r="B63" s="20">
        <v>8</v>
      </c>
      <c r="C63" s="134" t="s">
        <v>902</v>
      </c>
      <c r="D63" s="134"/>
      <c r="E63" s="134"/>
      <c r="F63" s="134" t="s">
        <v>847</v>
      </c>
      <c r="G63" s="134"/>
      <c r="H63" s="18"/>
    </row>
    <row r="64" spans="1:8" ht="14.5" customHeight="1">
      <c r="A64" s="18"/>
      <c r="B64" s="18"/>
      <c r="C64" s="18"/>
      <c r="D64" s="18"/>
      <c r="E64" s="18"/>
      <c r="F64" s="18"/>
      <c r="G64" s="18"/>
      <c r="H64" s="18"/>
    </row>
    <row r="65" spans="1:8" ht="14.5" customHeight="1">
      <c r="A65" s="18"/>
      <c r="B65" s="18"/>
      <c r="C65" s="18"/>
      <c r="D65" s="18"/>
      <c r="E65" s="18"/>
      <c r="F65" s="18"/>
      <c r="G65" s="18"/>
      <c r="H65" s="18"/>
    </row>
    <row r="66" spans="1:8" ht="14.5" customHeight="1">
      <c r="A66" s="136" t="s">
        <v>799</v>
      </c>
      <c r="B66" s="136"/>
      <c r="C66" s="136"/>
      <c r="D66" s="136"/>
      <c r="E66" s="136"/>
      <c r="F66" s="136"/>
      <c r="G66" s="136"/>
      <c r="H66" s="136"/>
    </row>
    <row r="67" spans="1:8" ht="14.5" customHeight="1">
      <c r="A67" s="18"/>
      <c r="B67" s="19" t="s">
        <v>314</v>
      </c>
      <c r="C67" s="135" t="s">
        <v>761</v>
      </c>
      <c r="D67" s="135"/>
      <c r="E67" s="135"/>
      <c r="F67" s="135" t="s">
        <v>755</v>
      </c>
      <c r="G67" s="135"/>
      <c r="H67" s="18"/>
    </row>
    <row r="68" spans="1:8" ht="14.5" customHeight="1">
      <c r="A68" s="18"/>
      <c r="B68" s="20">
        <v>1</v>
      </c>
      <c r="C68" s="134" t="s">
        <v>903</v>
      </c>
      <c r="D68" s="134"/>
      <c r="E68" s="134"/>
      <c r="F68" s="134" t="s">
        <v>847</v>
      </c>
      <c r="G68" s="134"/>
      <c r="H68" s="18"/>
    </row>
    <row r="69" spans="1:8" ht="14.5" customHeight="1">
      <c r="A69" s="18"/>
      <c r="B69" s="20">
        <v>2</v>
      </c>
      <c r="C69" s="134" t="s">
        <v>904</v>
      </c>
      <c r="D69" s="134"/>
      <c r="E69" s="134"/>
      <c r="F69" s="134" t="s">
        <v>847</v>
      </c>
      <c r="G69" s="134"/>
      <c r="H69" s="18"/>
    </row>
    <row r="70" spans="1:8" ht="14.5" customHeight="1">
      <c r="A70" s="18"/>
      <c r="B70" s="20">
        <v>3</v>
      </c>
      <c r="C70" s="134" t="s">
        <v>905</v>
      </c>
      <c r="D70" s="134"/>
      <c r="E70" s="134"/>
      <c r="F70" s="134" t="s">
        <v>847</v>
      </c>
      <c r="G70" s="134"/>
      <c r="H70" s="18"/>
    </row>
    <row r="71" spans="1:8" ht="14.5" customHeight="1">
      <c r="A71" s="18"/>
      <c r="B71" s="20">
        <v>4</v>
      </c>
      <c r="C71" s="134" t="s">
        <v>906</v>
      </c>
      <c r="D71" s="134"/>
      <c r="E71" s="134"/>
      <c r="F71" s="134" t="s">
        <v>847</v>
      </c>
      <c r="G71" s="134"/>
      <c r="H71" s="18"/>
    </row>
    <row r="72" spans="1:8" ht="14.5" customHeight="1">
      <c r="A72" s="18"/>
      <c r="B72" s="20">
        <v>5</v>
      </c>
      <c r="C72" s="134" t="s">
        <v>907</v>
      </c>
      <c r="D72" s="134"/>
      <c r="E72" s="134"/>
      <c r="F72" s="134" t="s">
        <v>847</v>
      </c>
      <c r="G72" s="134"/>
      <c r="H72" s="18"/>
    </row>
    <row r="73" spans="1:8" ht="14.5" customHeight="1">
      <c r="A73" s="18"/>
      <c r="B73" s="20">
        <v>6</v>
      </c>
      <c r="C73" s="134" t="s">
        <v>908</v>
      </c>
      <c r="D73" s="134"/>
      <c r="E73" s="134"/>
      <c r="F73" s="134" t="s">
        <v>847</v>
      </c>
      <c r="G73" s="134"/>
      <c r="H73" s="18"/>
    </row>
    <row r="74" spans="1:8" ht="14.5">
      <c r="A74" s="18"/>
      <c r="B74" s="20">
        <v>7</v>
      </c>
      <c r="C74" s="134" t="s">
        <v>909</v>
      </c>
      <c r="D74" s="134"/>
      <c r="E74" s="134"/>
      <c r="F74" s="134" t="s">
        <v>847</v>
      </c>
      <c r="G74" s="134"/>
      <c r="H74" s="18"/>
    </row>
    <row r="75" spans="1:8" ht="22" customHeight="1">
      <c r="A75" s="18"/>
      <c r="B75" s="20">
        <v>8</v>
      </c>
      <c r="C75" s="134" t="s">
        <v>910</v>
      </c>
      <c r="D75" s="134"/>
      <c r="E75" s="134"/>
      <c r="F75" s="134" t="s">
        <v>847</v>
      </c>
      <c r="G75" s="134"/>
      <c r="H75" s="18"/>
    </row>
    <row r="76" spans="1:8" ht="14.5">
      <c r="A76" s="18"/>
      <c r="B76" s="18"/>
      <c r="C76" s="18"/>
      <c r="D76" s="18"/>
      <c r="E76" s="18"/>
      <c r="F76" s="18"/>
      <c r="G76" s="18"/>
      <c r="H76" s="18"/>
    </row>
    <row r="77" spans="1:8" ht="14.5">
      <c r="A77" s="18"/>
      <c r="B77" s="18"/>
      <c r="C77" s="18"/>
      <c r="D77" s="18"/>
      <c r="E77" s="18"/>
      <c r="F77" s="18"/>
      <c r="G77" s="18"/>
      <c r="H77" s="18"/>
    </row>
    <row r="78" spans="1:8" ht="15.5">
      <c r="A78" s="136" t="s">
        <v>800</v>
      </c>
      <c r="B78" s="136"/>
      <c r="C78" s="136"/>
      <c r="D78" s="136"/>
      <c r="E78" s="136"/>
      <c r="F78" s="136"/>
      <c r="G78" s="136"/>
      <c r="H78" s="136"/>
    </row>
    <row r="79" spans="1:8" ht="14.5">
      <c r="A79" s="18"/>
      <c r="B79" s="19" t="s">
        <v>314</v>
      </c>
      <c r="C79" s="135" t="s">
        <v>761</v>
      </c>
      <c r="D79" s="135"/>
      <c r="E79" s="135"/>
      <c r="F79" s="135" t="s">
        <v>755</v>
      </c>
      <c r="G79" s="135"/>
      <c r="H79" s="18"/>
    </row>
    <row r="80" spans="1:8" ht="14.5">
      <c r="A80" s="18"/>
      <c r="B80" s="20">
        <v>1</v>
      </c>
      <c r="C80" s="134" t="s">
        <v>911</v>
      </c>
      <c r="D80" s="134"/>
      <c r="E80" s="134"/>
      <c r="F80" s="134" t="s">
        <v>840</v>
      </c>
      <c r="G80" s="134"/>
      <c r="H80" s="18"/>
    </row>
    <row r="81" spans="1:8" ht="14.5">
      <c r="A81" s="18"/>
      <c r="B81" s="20">
        <v>2</v>
      </c>
      <c r="C81" s="134" t="s">
        <v>912</v>
      </c>
      <c r="D81" s="134"/>
      <c r="E81" s="134"/>
      <c r="F81" s="134" t="s">
        <v>840</v>
      </c>
      <c r="G81" s="134"/>
      <c r="H81" s="18"/>
    </row>
    <row r="82" spans="1:8" ht="14.5">
      <c r="A82" s="18"/>
      <c r="B82" s="20">
        <v>3</v>
      </c>
      <c r="C82" s="134" t="s">
        <v>913</v>
      </c>
      <c r="D82" s="134"/>
      <c r="E82" s="134"/>
      <c r="F82" s="134" t="s">
        <v>840</v>
      </c>
      <c r="G82" s="134"/>
      <c r="H82" s="18"/>
    </row>
    <row r="83" spans="1:8" ht="14.5">
      <c r="A83" s="18"/>
      <c r="B83" s="20">
        <v>4</v>
      </c>
      <c r="C83" s="134" t="s">
        <v>914</v>
      </c>
      <c r="D83" s="134"/>
      <c r="E83" s="134"/>
      <c r="F83" s="134" t="s">
        <v>840</v>
      </c>
      <c r="G83" s="134"/>
      <c r="H83" s="18"/>
    </row>
    <row r="84" spans="1:8" ht="14.5">
      <c r="A84" s="18"/>
      <c r="B84" s="20">
        <v>5</v>
      </c>
      <c r="C84" s="134" t="s">
        <v>915</v>
      </c>
      <c r="D84" s="134"/>
      <c r="E84" s="134"/>
      <c r="F84" s="134" t="s">
        <v>841</v>
      </c>
      <c r="G84" s="134"/>
      <c r="H84" s="18"/>
    </row>
    <row r="85" spans="1:8" ht="14.5">
      <c r="A85" s="18"/>
      <c r="B85" s="20">
        <v>6</v>
      </c>
      <c r="C85" s="134" t="s">
        <v>916</v>
      </c>
      <c r="D85" s="134"/>
      <c r="E85" s="134"/>
      <c r="F85" s="134" t="s">
        <v>847</v>
      </c>
      <c r="G85" s="134"/>
      <c r="H85" s="18"/>
    </row>
    <row r="86" spans="1:8" ht="14.5">
      <c r="A86" s="18"/>
      <c r="B86" s="20">
        <v>7</v>
      </c>
      <c r="C86" s="134" t="s">
        <v>917</v>
      </c>
      <c r="D86" s="134"/>
      <c r="E86" s="134"/>
      <c r="F86" s="134" t="s">
        <v>847</v>
      </c>
      <c r="G86" s="134"/>
      <c r="H86" s="18"/>
    </row>
    <row r="87" spans="1:8" ht="14.5">
      <c r="A87" s="18"/>
      <c r="B87" s="20">
        <v>8</v>
      </c>
      <c r="C87" s="134" t="s">
        <v>918</v>
      </c>
      <c r="D87" s="134"/>
      <c r="E87" s="134"/>
      <c r="F87" s="134" t="s">
        <v>847</v>
      </c>
      <c r="G87" s="134"/>
      <c r="H87" s="18"/>
    </row>
    <row r="88" spans="1:8" ht="14.5">
      <c r="A88" s="18"/>
      <c r="B88" s="18"/>
      <c r="C88" s="18"/>
      <c r="D88" s="18"/>
      <c r="E88" s="18"/>
      <c r="F88" s="18"/>
      <c r="G88" s="18"/>
      <c r="H88" s="18"/>
    </row>
    <row r="89" spans="1:8" ht="14.5">
      <c r="A89" s="18"/>
      <c r="B89" s="18"/>
      <c r="C89" s="18"/>
      <c r="D89" s="18"/>
      <c r="E89" s="18"/>
      <c r="F89" s="18"/>
      <c r="G89" s="18"/>
      <c r="H89" s="18"/>
    </row>
    <row r="90" spans="1:8" ht="15.5">
      <c r="A90" s="136" t="s">
        <v>801</v>
      </c>
      <c r="B90" s="136"/>
      <c r="C90" s="136"/>
      <c r="D90" s="136"/>
      <c r="E90" s="136"/>
      <c r="F90" s="136"/>
      <c r="G90" s="136"/>
      <c r="H90" s="136"/>
    </row>
    <row r="91" spans="1:8" ht="14.5">
      <c r="A91" s="18"/>
      <c r="B91" s="19" t="s">
        <v>314</v>
      </c>
      <c r="C91" s="135" t="s">
        <v>761</v>
      </c>
      <c r="D91" s="135"/>
      <c r="E91" s="135"/>
      <c r="F91" s="135" t="s">
        <v>755</v>
      </c>
      <c r="G91" s="135"/>
      <c r="H91" s="18"/>
    </row>
    <row r="92" spans="1:8" ht="14.5">
      <c r="A92" s="18"/>
      <c r="B92" s="20">
        <v>1</v>
      </c>
      <c r="C92" s="134" t="s">
        <v>609</v>
      </c>
      <c r="D92" s="134"/>
      <c r="E92" s="134"/>
      <c r="F92" s="134" t="s">
        <v>840</v>
      </c>
      <c r="G92" s="134"/>
      <c r="H92" s="18"/>
    </row>
    <row r="93" spans="1:8" ht="14.5">
      <c r="A93" s="18"/>
      <c r="B93" s="20">
        <v>2</v>
      </c>
      <c r="C93" s="134" t="s">
        <v>919</v>
      </c>
      <c r="D93" s="134"/>
      <c r="E93" s="134"/>
      <c r="F93" s="134" t="s">
        <v>841</v>
      </c>
      <c r="G93" s="134"/>
      <c r="H93" s="18"/>
    </row>
    <row r="94" spans="1:8" ht="14.5">
      <c r="A94" s="18"/>
      <c r="B94" s="20">
        <v>3</v>
      </c>
      <c r="C94" s="134" t="s">
        <v>920</v>
      </c>
      <c r="D94" s="134"/>
      <c r="E94" s="134"/>
      <c r="F94" s="134" t="s">
        <v>847</v>
      </c>
      <c r="G94" s="134"/>
      <c r="H94" s="18"/>
    </row>
    <row r="95" spans="1:8" ht="14.5">
      <c r="A95" s="18"/>
      <c r="B95" s="20">
        <v>4</v>
      </c>
      <c r="C95" s="134" t="s">
        <v>921</v>
      </c>
      <c r="D95" s="134"/>
      <c r="E95" s="134"/>
      <c r="F95" s="134" t="s">
        <v>847</v>
      </c>
      <c r="G95" s="134"/>
      <c r="H95" s="18"/>
    </row>
    <row r="96" spans="1:8" ht="14.5">
      <c r="A96" s="18"/>
      <c r="B96" s="20">
        <v>5</v>
      </c>
      <c r="C96" s="134" t="s">
        <v>922</v>
      </c>
      <c r="D96" s="134"/>
      <c r="E96" s="134"/>
      <c r="F96" s="134" t="s">
        <v>847</v>
      </c>
      <c r="G96" s="134"/>
      <c r="H96" s="18"/>
    </row>
    <row r="97" spans="1:8" ht="14.5">
      <c r="A97" s="18"/>
      <c r="B97" s="20">
        <v>6</v>
      </c>
      <c r="C97" s="134" t="s">
        <v>923</v>
      </c>
      <c r="D97" s="134"/>
      <c r="E97" s="134"/>
      <c r="F97" s="134" t="s">
        <v>847</v>
      </c>
      <c r="G97" s="134"/>
      <c r="H97" s="18"/>
    </row>
    <row r="98" spans="1:8" ht="14.5">
      <c r="A98" s="18"/>
      <c r="B98" s="20">
        <v>7</v>
      </c>
      <c r="C98" s="134" t="s">
        <v>924</v>
      </c>
      <c r="D98" s="134"/>
      <c r="E98" s="134"/>
      <c r="F98" s="134" t="s">
        <v>847</v>
      </c>
      <c r="G98" s="134"/>
      <c r="H98" s="18"/>
    </row>
    <row r="99" spans="1:8" ht="14.5">
      <c r="A99" s="18"/>
      <c r="B99" s="20">
        <v>8</v>
      </c>
      <c r="C99" s="134" t="s">
        <v>925</v>
      </c>
      <c r="D99" s="134"/>
      <c r="E99" s="134"/>
      <c r="F99" s="134" t="s">
        <v>847</v>
      </c>
      <c r="G99" s="134"/>
      <c r="H99" s="18"/>
    </row>
    <row r="100" spans="1:8" ht="14.5">
      <c r="A100" s="18"/>
      <c r="B100" s="18"/>
      <c r="C100" s="18"/>
      <c r="D100" s="18"/>
      <c r="E100" s="18"/>
      <c r="F100" s="18"/>
      <c r="G100" s="18"/>
      <c r="H100" s="18"/>
    </row>
    <row r="101" spans="1:8" ht="14.5">
      <c r="A101" s="18"/>
      <c r="B101" s="18"/>
      <c r="C101" s="18"/>
      <c r="D101" s="18"/>
      <c r="E101" s="18"/>
      <c r="F101" s="18"/>
      <c r="G101" s="18"/>
      <c r="H101" s="18"/>
    </row>
    <row r="102" spans="1:8" ht="15.5">
      <c r="A102" s="136" t="s">
        <v>802</v>
      </c>
      <c r="B102" s="136"/>
      <c r="C102" s="136"/>
      <c r="D102" s="136"/>
      <c r="E102" s="136"/>
      <c r="F102" s="136"/>
      <c r="G102" s="136"/>
      <c r="H102" s="136"/>
    </row>
    <row r="103" spans="1:8" ht="14.5">
      <c r="A103" s="18"/>
      <c r="B103" s="19" t="s">
        <v>314</v>
      </c>
      <c r="C103" s="135" t="s">
        <v>761</v>
      </c>
      <c r="D103" s="135"/>
      <c r="E103" s="135"/>
      <c r="F103" s="135" t="s">
        <v>755</v>
      </c>
      <c r="G103" s="135"/>
      <c r="H103" s="18"/>
    </row>
    <row r="104" spans="1:8" ht="14.5">
      <c r="A104" s="18"/>
      <c r="B104" s="20">
        <v>1</v>
      </c>
      <c r="C104" s="134" t="s">
        <v>903</v>
      </c>
      <c r="D104" s="134"/>
      <c r="E104" s="134"/>
      <c r="F104" s="134" t="s">
        <v>847</v>
      </c>
      <c r="G104" s="134"/>
      <c r="H104" s="18"/>
    </row>
    <row r="105" spans="1:8" ht="14.5">
      <c r="A105" s="18"/>
      <c r="B105" s="20">
        <v>2</v>
      </c>
      <c r="C105" s="134" t="s">
        <v>904</v>
      </c>
      <c r="D105" s="134"/>
      <c r="E105" s="134"/>
      <c r="F105" s="134" t="s">
        <v>847</v>
      </c>
      <c r="G105" s="134"/>
      <c r="H105" s="18"/>
    </row>
    <row r="106" spans="1:8" ht="14.5">
      <c r="A106" s="18"/>
      <c r="B106" s="20">
        <v>3</v>
      </c>
      <c r="C106" s="134" t="s">
        <v>905</v>
      </c>
      <c r="D106" s="134"/>
      <c r="E106" s="134"/>
      <c r="F106" s="134" t="s">
        <v>847</v>
      </c>
      <c r="G106" s="134"/>
      <c r="H106" s="18"/>
    </row>
    <row r="107" spans="1:8" ht="14.5">
      <c r="A107" s="18"/>
      <c r="B107" s="20">
        <v>4</v>
      </c>
      <c r="C107" s="134" t="s">
        <v>906</v>
      </c>
      <c r="D107" s="134"/>
      <c r="E107" s="134"/>
      <c r="F107" s="134" t="s">
        <v>847</v>
      </c>
      <c r="G107" s="134"/>
      <c r="H107" s="18"/>
    </row>
    <row r="108" spans="1:8" ht="14.5">
      <c r="A108" s="18"/>
      <c r="B108" s="20">
        <v>5</v>
      </c>
      <c r="C108" s="134" t="s">
        <v>907</v>
      </c>
      <c r="D108" s="134"/>
      <c r="E108" s="134"/>
      <c r="F108" s="134" t="s">
        <v>847</v>
      </c>
      <c r="G108" s="134"/>
      <c r="H108" s="18"/>
    </row>
    <row r="109" spans="1:8" ht="14.5">
      <c r="A109" s="18"/>
      <c r="B109" s="20">
        <v>6</v>
      </c>
      <c r="C109" s="134" t="s">
        <v>908</v>
      </c>
      <c r="D109" s="134"/>
      <c r="E109" s="134"/>
      <c r="F109" s="134" t="s">
        <v>847</v>
      </c>
      <c r="G109" s="134"/>
      <c r="H109" s="18"/>
    </row>
    <row r="110" spans="1:8" ht="14.5">
      <c r="A110" s="18"/>
      <c r="B110" s="20">
        <v>7</v>
      </c>
      <c r="C110" s="134" t="s">
        <v>909</v>
      </c>
      <c r="D110" s="134"/>
      <c r="E110" s="134"/>
      <c r="F110" s="134" t="s">
        <v>847</v>
      </c>
      <c r="G110" s="134"/>
      <c r="H110" s="18"/>
    </row>
    <row r="111" spans="1:8" ht="14.5">
      <c r="A111" s="18"/>
      <c r="B111" s="20">
        <v>8</v>
      </c>
      <c r="C111" s="134" t="s">
        <v>910</v>
      </c>
      <c r="D111" s="134"/>
      <c r="E111" s="134"/>
      <c r="F111" s="134" t="s">
        <v>847</v>
      </c>
      <c r="G111" s="134"/>
      <c r="H111" s="18"/>
    </row>
    <row r="112" spans="1:8" ht="14.5">
      <c r="A112" s="18"/>
      <c r="B112" s="18"/>
      <c r="C112" s="18"/>
      <c r="D112" s="18"/>
      <c r="E112" s="18"/>
      <c r="F112" s="18"/>
      <c r="G112" s="18"/>
      <c r="H112" s="18"/>
    </row>
    <row r="113" spans="1:8" ht="14.5">
      <c r="A113" s="18"/>
      <c r="B113" s="18"/>
      <c r="C113" s="18"/>
      <c r="D113" s="18"/>
      <c r="E113" s="18"/>
      <c r="F113" s="18"/>
      <c r="G113" s="18"/>
      <c r="H113" s="18"/>
    </row>
  </sheetData>
  <mergeCells count="97">
    <mergeCell ref="C56:E56"/>
    <mergeCell ref="F56:G56"/>
    <mergeCell ref="C57:E57"/>
    <mergeCell ref="F57:G57"/>
    <mergeCell ref="C58:E58"/>
    <mergeCell ref="F58:G58"/>
    <mergeCell ref="A1:G1"/>
    <mergeCell ref="C2:F2"/>
    <mergeCell ref="A54:H54"/>
    <mergeCell ref="C55:E55"/>
    <mergeCell ref="F55:G55"/>
    <mergeCell ref="C59:E59"/>
    <mergeCell ref="F59:G59"/>
    <mergeCell ref="C60:E60"/>
    <mergeCell ref="F60:G60"/>
    <mergeCell ref="C61:E61"/>
    <mergeCell ref="F61:G61"/>
    <mergeCell ref="C62:E62"/>
    <mergeCell ref="F62:G62"/>
    <mergeCell ref="C63:E63"/>
    <mergeCell ref="F63:G63"/>
    <mergeCell ref="A66:H66"/>
    <mergeCell ref="C67:E67"/>
    <mergeCell ref="F67:G67"/>
    <mergeCell ref="C68:E68"/>
    <mergeCell ref="F68:G68"/>
    <mergeCell ref="C69:E69"/>
    <mergeCell ref="F69:G69"/>
    <mergeCell ref="C70:E70"/>
    <mergeCell ref="F70:G70"/>
    <mergeCell ref="C71:E71"/>
    <mergeCell ref="F71:G71"/>
    <mergeCell ref="C72:E72"/>
    <mergeCell ref="F72:G72"/>
    <mergeCell ref="C73:E73"/>
    <mergeCell ref="F73:G73"/>
    <mergeCell ref="C74:E74"/>
    <mergeCell ref="F74:G74"/>
    <mergeCell ref="C75:E75"/>
    <mergeCell ref="F75:G75"/>
    <mergeCell ref="A78:H78"/>
    <mergeCell ref="C79:E79"/>
    <mergeCell ref="F79:G79"/>
    <mergeCell ref="C80:E80"/>
    <mergeCell ref="F80:G80"/>
    <mergeCell ref="C81:E81"/>
    <mergeCell ref="F81:G81"/>
    <mergeCell ref="C82:E82"/>
    <mergeCell ref="F82:G82"/>
    <mergeCell ref="C83:E83"/>
    <mergeCell ref="F83:G83"/>
    <mergeCell ref="C84:E84"/>
    <mergeCell ref="F84:G84"/>
    <mergeCell ref="C85:E85"/>
    <mergeCell ref="F85:G85"/>
    <mergeCell ref="C86:E86"/>
    <mergeCell ref="F86:G86"/>
    <mergeCell ref="C87:E87"/>
    <mergeCell ref="F87:G87"/>
    <mergeCell ref="A90:H90"/>
    <mergeCell ref="C91:E91"/>
    <mergeCell ref="F91:G91"/>
    <mergeCell ref="C92:E92"/>
    <mergeCell ref="F92:G92"/>
    <mergeCell ref="C93:E93"/>
    <mergeCell ref="F93:G93"/>
    <mergeCell ref="C94:E94"/>
    <mergeCell ref="F94:G94"/>
    <mergeCell ref="C95:E95"/>
    <mergeCell ref="F95:G95"/>
    <mergeCell ref="C96:E96"/>
    <mergeCell ref="F96:G96"/>
    <mergeCell ref="C97:E97"/>
    <mergeCell ref="F97:G97"/>
    <mergeCell ref="C98:E98"/>
    <mergeCell ref="F98:G98"/>
    <mergeCell ref="C99:E99"/>
    <mergeCell ref="F99:G99"/>
    <mergeCell ref="A102:H102"/>
    <mergeCell ref="C103:E103"/>
    <mergeCell ref="F103:G103"/>
    <mergeCell ref="C104:E104"/>
    <mergeCell ref="F104:G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C111:E111"/>
    <mergeCell ref="F111:G1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276C-3A78-49D0-AC6A-4F57CADA991E}">
  <dimension ref="A1:J99"/>
  <sheetViews>
    <sheetView showGridLines="0" rightToLeft="1" workbookViewId="0">
      <pane ySplit="3" topLeftCell="A42" activePane="bottomLeft" state="frozen"/>
      <selection pane="bottomLeft" activeCell="F63" sqref="C63:G71"/>
    </sheetView>
  </sheetViews>
  <sheetFormatPr defaultRowHeight="14"/>
  <cols>
    <col min="1" max="1" width="15.83203125" customWidth="1"/>
    <col min="2" max="2" width="17.5" customWidth="1"/>
    <col min="3" max="5" width="13" customWidth="1"/>
    <col min="6" max="6" width="17.5" customWidth="1"/>
    <col min="7" max="10" width="13" customWidth="1"/>
  </cols>
  <sheetData>
    <row r="1" spans="1:10" ht="26" customHeight="1">
      <c r="A1" s="119" t="s">
        <v>468</v>
      </c>
      <c r="B1" s="119"/>
      <c r="C1" s="119"/>
      <c r="D1" s="119"/>
      <c r="E1" s="119"/>
      <c r="F1" s="119"/>
      <c r="G1" s="119"/>
      <c r="H1" s="119"/>
      <c r="I1" s="119"/>
      <c r="J1" s="119"/>
    </row>
    <row r="2" spans="1:10" ht="20" customHeight="1">
      <c r="A2" s="49"/>
      <c r="B2" s="49"/>
      <c r="C2" s="137" t="s">
        <v>445</v>
      </c>
      <c r="D2" s="137"/>
      <c r="E2" s="137"/>
      <c r="F2" s="49"/>
      <c r="G2" s="45"/>
      <c r="H2" s="45"/>
      <c r="I2" s="45"/>
      <c r="J2" s="45"/>
    </row>
    <row r="3" spans="1:10" ht="32" customHeight="1" thickBot="1">
      <c r="A3" s="49" t="s">
        <v>426</v>
      </c>
      <c r="B3" s="49" t="s">
        <v>7</v>
      </c>
      <c r="C3" s="49" t="s">
        <v>8</v>
      </c>
      <c r="D3" s="49" t="s">
        <v>9</v>
      </c>
      <c r="E3" s="49" t="s">
        <v>84</v>
      </c>
      <c r="F3" s="49" t="s">
        <v>427</v>
      </c>
      <c r="G3" s="45"/>
      <c r="H3" s="45"/>
      <c r="I3" s="45"/>
      <c r="J3" s="45"/>
    </row>
    <row r="4" spans="1:10"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15</v>
      </c>
      <c r="D4" s="51" t="s">
        <v>33</v>
      </c>
      <c r="E4" s="51"/>
      <c r="F4" s="51">
        <f>COUNTA(C4:E12)</f>
        <v>18</v>
      </c>
      <c r="G4" s="45"/>
      <c r="H4" s="45"/>
      <c r="I4" s="45"/>
      <c r="J4" s="45"/>
    </row>
    <row r="5" spans="1:10"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39</v>
      </c>
      <c r="D5" s="50" t="s">
        <v>10</v>
      </c>
      <c r="E5" s="50"/>
      <c r="F5" s="50"/>
      <c r="G5" s="45"/>
      <c r="H5" s="45"/>
      <c r="I5" s="45"/>
      <c r="J5" s="45"/>
    </row>
    <row r="6" spans="1:10"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26</v>
      </c>
      <c r="D6" s="47" t="s">
        <v>35</v>
      </c>
      <c r="E6" s="47"/>
      <c r="F6" s="47"/>
      <c r="G6" s="45"/>
      <c r="H6" s="45"/>
      <c r="I6" s="45"/>
      <c r="J6" s="45"/>
    </row>
    <row r="7" spans="1:10"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20</v>
      </c>
      <c r="D7" s="47" t="s">
        <v>41</v>
      </c>
      <c r="E7" s="47"/>
      <c r="F7" s="47"/>
      <c r="G7" s="45"/>
      <c r="H7" s="45"/>
      <c r="I7" s="45"/>
      <c r="J7" s="45"/>
    </row>
    <row r="8" spans="1:10"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32</v>
      </c>
      <c r="D8" s="47" t="s">
        <v>12</v>
      </c>
      <c r="E8" s="47"/>
      <c r="F8" s="47"/>
      <c r="G8" s="45"/>
      <c r="H8" s="45"/>
      <c r="I8" s="45"/>
      <c r="J8" s="45"/>
    </row>
    <row r="9" spans="1:10"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43</v>
      </c>
      <c r="D9" s="47" t="s">
        <v>30</v>
      </c>
      <c r="E9" s="47"/>
      <c r="F9" s="47"/>
      <c r="G9" s="45"/>
      <c r="H9" s="45"/>
      <c r="I9" s="45"/>
      <c r="J9" s="45"/>
    </row>
    <row r="10" spans="1:10"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18</v>
      </c>
      <c r="D10" s="47" t="s">
        <v>13</v>
      </c>
      <c r="E10" s="47"/>
      <c r="F10" s="47"/>
      <c r="G10" s="45"/>
      <c r="H10" s="45"/>
      <c r="I10" s="45"/>
      <c r="J10" s="45"/>
    </row>
    <row r="11" spans="1:10"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34</v>
      </c>
      <c r="D11" s="47"/>
      <c r="E11" s="47"/>
      <c r="F11" s="47"/>
      <c r="G11" s="45"/>
      <c r="H11" s="45"/>
      <c r="I11" s="45"/>
      <c r="J11" s="45"/>
    </row>
    <row r="12" spans="1:10"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16</v>
      </c>
      <c r="D12" s="48" t="s">
        <v>21</v>
      </c>
      <c r="E12" s="48" t="s">
        <v>45</v>
      </c>
      <c r="F12" s="48"/>
      <c r="G12" s="45"/>
      <c r="H12" s="45"/>
      <c r="I12" s="45"/>
      <c r="J12" s="45"/>
    </row>
    <row r="13" spans="1:10"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28</v>
      </c>
      <c r="D13" s="51"/>
      <c r="E13" s="51"/>
      <c r="F13" s="51">
        <f>COUNTA(C13:E22)</f>
        <v>18</v>
      </c>
      <c r="G13" s="45"/>
      <c r="H13" s="45"/>
      <c r="I13" s="45"/>
      <c r="J13" s="45"/>
    </row>
    <row r="14" spans="1:10"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37</v>
      </c>
      <c r="D14" s="50"/>
      <c r="E14" s="50"/>
      <c r="F14" s="50"/>
      <c r="G14" s="45"/>
      <c r="H14" s="45"/>
      <c r="I14" s="45"/>
      <c r="J14" s="45"/>
    </row>
    <row r="15" spans="1:10"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22</v>
      </c>
      <c r="D15" s="47" t="s">
        <v>40</v>
      </c>
      <c r="E15" s="47"/>
      <c r="F15" s="47"/>
      <c r="G15" s="45"/>
      <c r="H15" s="45"/>
      <c r="I15" s="45"/>
      <c r="J15" s="45"/>
    </row>
    <row r="16" spans="1:10"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14</v>
      </c>
      <c r="D16" s="47" t="s">
        <v>27</v>
      </c>
      <c r="E16" s="47"/>
      <c r="F16" s="47"/>
      <c r="G16" s="45"/>
      <c r="H16" s="45"/>
      <c r="I16" s="45"/>
      <c r="J16" s="45"/>
    </row>
    <row r="17" spans="1:10"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38</v>
      </c>
      <c r="D17" s="47" t="s">
        <v>36</v>
      </c>
      <c r="E17" s="47"/>
      <c r="F17" s="47"/>
      <c r="G17" s="45"/>
      <c r="H17" s="45"/>
      <c r="I17" s="45"/>
      <c r="J17" s="45"/>
    </row>
    <row r="18" spans="1:10"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19</v>
      </c>
      <c r="D18" s="47" t="s">
        <v>25</v>
      </c>
      <c r="E18" s="47"/>
      <c r="F18" s="47"/>
      <c r="G18" s="45"/>
      <c r="H18" s="45"/>
      <c r="I18" s="45"/>
      <c r="J18" s="45"/>
    </row>
    <row r="19" spans="1:10"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44</v>
      </c>
      <c r="D19" s="47" t="s">
        <v>11</v>
      </c>
      <c r="E19" s="47"/>
      <c r="F19" s="47"/>
      <c r="G19" s="45"/>
      <c r="H19" s="45"/>
      <c r="I19" s="45"/>
      <c r="J19" s="45"/>
    </row>
    <row r="20" spans="1:10"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24</v>
      </c>
      <c r="D20" s="47" t="s">
        <v>29</v>
      </c>
      <c r="E20" s="47"/>
      <c r="F20" s="47"/>
      <c r="G20" s="45"/>
      <c r="H20" s="45"/>
      <c r="I20" s="45"/>
      <c r="J20" s="45"/>
    </row>
    <row r="21" spans="1:10" ht="14.5" customHeight="1">
      <c r="A21" s="47"/>
      <c r="B21"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7" t="s">
        <v>23</v>
      </c>
      <c r="D21" s="47"/>
      <c r="E21" s="47"/>
      <c r="F21" s="47"/>
      <c r="G21" s="45"/>
      <c r="H21" s="45"/>
      <c r="I21" s="45"/>
      <c r="J21" s="45"/>
    </row>
    <row r="22" spans="1:10" ht="14.5" customHeight="1" thickBot="1">
      <c r="A22" s="48"/>
      <c r="B22"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22" s="48" t="s">
        <v>31</v>
      </c>
      <c r="D22" s="48" t="s">
        <v>42</v>
      </c>
      <c r="E22" s="48" t="s">
        <v>17</v>
      </c>
      <c r="F22" s="48"/>
      <c r="G22" s="45"/>
      <c r="H22" s="45"/>
      <c r="I22" s="45"/>
      <c r="J22" s="45"/>
    </row>
    <row r="23" spans="1:10" ht="14.5" customHeight="1">
      <c r="A23" s="51" t="s">
        <v>430</v>
      </c>
      <c r="B2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3" s="51" t="s">
        <v>37</v>
      </c>
      <c r="D23" s="51" t="s">
        <v>38</v>
      </c>
      <c r="E23" s="51"/>
      <c r="F23" s="51">
        <f>COUNTA(C23:E31)</f>
        <v>18</v>
      </c>
      <c r="G23" s="45"/>
      <c r="H23" s="45"/>
      <c r="I23" s="45"/>
      <c r="J23" s="45"/>
    </row>
    <row r="24" spans="1:10" ht="14.5" customHeight="1">
      <c r="A24" s="50"/>
      <c r="B2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4" s="50" t="s">
        <v>20</v>
      </c>
      <c r="D24" s="50"/>
      <c r="E24" s="50"/>
      <c r="F24" s="50"/>
      <c r="G24" s="45"/>
      <c r="H24" s="45"/>
      <c r="I24" s="45"/>
      <c r="J24" s="45"/>
    </row>
    <row r="25" spans="1:10" ht="14.5" customHeight="1">
      <c r="A25" s="47"/>
      <c r="B2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5" s="47" t="s">
        <v>26</v>
      </c>
      <c r="D25" s="47" t="s">
        <v>32</v>
      </c>
      <c r="E25" s="47" t="s">
        <v>41</v>
      </c>
      <c r="F25" s="47"/>
      <c r="G25" s="45"/>
      <c r="H25" s="45"/>
      <c r="I25" s="45"/>
      <c r="J25" s="45"/>
    </row>
    <row r="26" spans="1:10" ht="14.5" customHeight="1">
      <c r="A26" s="47"/>
      <c r="B2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6" s="47" t="s">
        <v>22</v>
      </c>
      <c r="D26" s="47"/>
      <c r="E26" s="47"/>
      <c r="F26" s="47"/>
      <c r="G26" s="45"/>
      <c r="H26" s="45"/>
      <c r="I26" s="45"/>
      <c r="J26" s="45"/>
    </row>
    <row r="27" spans="1:10" ht="14.5" customHeight="1">
      <c r="A27" s="47"/>
      <c r="B2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7" s="47" t="s">
        <v>25</v>
      </c>
      <c r="D27" s="47" t="s">
        <v>19</v>
      </c>
      <c r="E27" s="47" t="s">
        <v>39</v>
      </c>
      <c r="F27" s="47"/>
      <c r="G27" s="45"/>
      <c r="H27" s="45"/>
      <c r="I27" s="45"/>
      <c r="J27" s="45"/>
    </row>
    <row r="28" spans="1:10" ht="14.5" customHeight="1">
      <c r="A28" s="47"/>
      <c r="B2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8" s="47" t="s">
        <v>36</v>
      </c>
      <c r="D28" s="47"/>
      <c r="E28" s="47"/>
      <c r="F28" s="47"/>
      <c r="G28" s="45"/>
      <c r="H28" s="45"/>
      <c r="I28" s="45"/>
      <c r="J28" s="45"/>
    </row>
    <row r="29" spans="1:10" ht="14.5" customHeight="1">
      <c r="A29" s="47"/>
      <c r="B2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9" s="47" t="s">
        <v>21</v>
      </c>
      <c r="D29" s="47" t="s">
        <v>45</v>
      </c>
      <c r="E29" s="47" t="s">
        <v>24</v>
      </c>
      <c r="F29" s="47"/>
      <c r="G29" s="45"/>
      <c r="H29" s="45"/>
      <c r="I29" s="45"/>
      <c r="J29" s="45"/>
    </row>
    <row r="30" spans="1:10" ht="14.5" customHeight="1">
      <c r="A30" s="47"/>
      <c r="B3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0" s="47" t="s">
        <v>16</v>
      </c>
      <c r="D30" s="47"/>
      <c r="E30" s="47"/>
      <c r="F30" s="47"/>
      <c r="G30" s="45"/>
      <c r="H30" s="45"/>
      <c r="I30" s="45"/>
      <c r="J30" s="45"/>
    </row>
    <row r="31" spans="1:10" ht="14.5" customHeight="1" thickBot="1">
      <c r="A31" s="48"/>
      <c r="B3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1" s="48" t="s">
        <v>12</v>
      </c>
      <c r="D31" s="48" t="s">
        <v>34</v>
      </c>
      <c r="E31" s="48" t="s">
        <v>28</v>
      </c>
      <c r="F31" s="48"/>
      <c r="G31" s="45"/>
      <c r="H31" s="45"/>
      <c r="I31" s="45"/>
      <c r="J31" s="45"/>
    </row>
    <row r="32" spans="1:10"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42</v>
      </c>
      <c r="D32" s="51" t="s">
        <v>10</v>
      </c>
      <c r="E32" s="51"/>
      <c r="F32" s="51">
        <f>COUNTA(C32:E40)</f>
        <v>18</v>
      </c>
      <c r="G32" s="45"/>
      <c r="H32" s="45"/>
      <c r="I32" s="45"/>
      <c r="J32" s="45"/>
    </row>
    <row r="33" spans="1:10"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18</v>
      </c>
      <c r="D33" s="50"/>
      <c r="E33" s="50"/>
      <c r="F33" s="50"/>
      <c r="G33" s="45"/>
      <c r="H33" s="45"/>
      <c r="I33" s="45"/>
      <c r="J33" s="45"/>
    </row>
    <row r="34" spans="1:10"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27</v>
      </c>
      <c r="D34" s="47" t="s">
        <v>17</v>
      </c>
      <c r="E34" s="47" t="s">
        <v>44</v>
      </c>
      <c r="F34" s="47"/>
      <c r="G34" s="45"/>
      <c r="H34" s="45"/>
      <c r="I34" s="45"/>
      <c r="J34" s="45"/>
    </row>
    <row r="35" spans="1:10"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11</v>
      </c>
      <c r="D35" s="47"/>
      <c r="E35" s="47"/>
      <c r="F35" s="47"/>
      <c r="G35" s="45"/>
      <c r="H35" s="45"/>
      <c r="I35" s="45"/>
      <c r="J35" s="45"/>
    </row>
    <row r="36" spans="1:10"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31</v>
      </c>
      <c r="D36" s="47" t="s">
        <v>43</v>
      </c>
      <c r="E36" s="47" t="s">
        <v>29</v>
      </c>
      <c r="F36" s="47"/>
      <c r="G36" s="45"/>
      <c r="H36" s="45"/>
      <c r="I36" s="45"/>
      <c r="J36" s="45"/>
    </row>
    <row r="37" spans="1:10"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23</v>
      </c>
      <c r="D37" s="47"/>
      <c r="E37" s="47"/>
      <c r="F37" s="47"/>
      <c r="G37" s="45"/>
      <c r="H37" s="45"/>
      <c r="I37" s="45"/>
      <c r="J37" s="45"/>
    </row>
    <row r="38" spans="1:10"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35</v>
      </c>
      <c r="D38" s="47" t="s">
        <v>30</v>
      </c>
      <c r="E38" s="47" t="s">
        <v>40</v>
      </c>
      <c r="F38" s="47"/>
      <c r="G38" s="45"/>
      <c r="H38" s="45"/>
      <c r="I38" s="45"/>
      <c r="J38" s="45"/>
    </row>
    <row r="39" spans="1:10"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14</v>
      </c>
      <c r="D39" s="47"/>
      <c r="E39" s="47"/>
      <c r="F39" s="47"/>
      <c r="G39" s="45"/>
      <c r="H39" s="45"/>
      <c r="I39" s="45"/>
      <c r="J39" s="45"/>
    </row>
    <row r="40" spans="1:10" ht="14.5" customHeight="1" thickBot="1">
      <c r="A40" s="48"/>
      <c r="B4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8" t="s">
        <v>15</v>
      </c>
      <c r="D40" s="48" t="s">
        <v>33</v>
      </c>
      <c r="E40" s="48" t="s">
        <v>13</v>
      </c>
      <c r="F40" s="48"/>
      <c r="G40" s="45"/>
      <c r="H40" s="45"/>
      <c r="I40" s="45"/>
      <c r="J40" s="45"/>
    </row>
    <row r="41" spans="1:10" ht="14.5" customHeight="1">
      <c r="A41" s="51" t="s">
        <v>432</v>
      </c>
      <c r="B4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1" s="51" t="s">
        <v>19</v>
      </c>
      <c r="D41" s="51"/>
      <c r="E41" s="51"/>
      <c r="F41" s="51">
        <f>COUNTA(C41:E50)</f>
        <v>18</v>
      </c>
      <c r="G41" s="45"/>
      <c r="H41" s="45"/>
      <c r="I41" s="45"/>
      <c r="J41" s="45"/>
    </row>
    <row r="42" spans="1:10" ht="14.5" customHeight="1">
      <c r="A42" s="50"/>
      <c r="B4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2" s="50" t="s">
        <v>11</v>
      </c>
      <c r="D42" s="50" t="s">
        <v>17</v>
      </c>
      <c r="E42" s="50"/>
      <c r="F42" s="50"/>
      <c r="G42" s="45"/>
      <c r="H42" s="45"/>
      <c r="I42" s="45"/>
      <c r="J42" s="45"/>
    </row>
    <row r="43" spans="1:10" ht="14.5" customHeight="1">
      <c r="A43" s="47"/>
      <c r="B4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3" s="47" t="s">
        <v>27</v>
      </c>
      <c r="D43" s="47" t="s">
        <v>44</v>
      </c>
      <c r="E43" s="47"/>
      <c r="F43" s="47"/>
      <c r="G43" s="45"/>
      <c r="H43" s="45"/>
      <c r="I43" s="45"/>
      <c r="J43" s="45"/>
    </row>
    <row r="44" spans="1:10" ht="14.5" customHeight="1">
      <c r="A44" s="47"/>
      <c r="B4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4" s="47" t="s">
        <v>15</v>
      </c>
      <c r="D44" s="47"/>
      <c r="E44" s="47"/>
      <c r="F44" s="47"/>
      <c r="G44" s="45"/>
      <c r="H44" s="45"/>
      <c r="I44" s="45"/>
      <c r="J44" s="45"/>
    </row>
    <row r="45" spans="1:10" ht="14.5" customHeight="1">
      <c r="A45" s="47"/>
      <c r="B4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5" s="47" t="s">
        <v>13</v>
      </c>
      <c r="D45" s="47" t="s">
        <v>14</v>
      </c>
      <c r="E45" s="47" t="s">
        <v>33</v>
      </c>
      <c r="F45" s="47"/>
      <c r="G45" s="45"/>
      <c r="H45" s="45"/>
      <c r="I45" s="45"/>
      <c r="J45" s="45"/>
    </row>
    <row r="46" spans="1:10" ht="14.5" customHeight="1">
      <c r="A46" s="47"/>
      <c r="B4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6" s="47" t="s">
        <v>40</v>
      </c>
      <c r="D46" s="47"/>
      <c r="E46" s="47"/>
      <c r="F46" s="47"/>
      <c r="G46" s="45"/>
      <c r="H46" s="45"/>
      <c r="I46" s="45"/>
      <c r="J46" s="45"/>
    </row>
    <row r="47" spans="1:10" ht="14.5" customHeight="1">
      <c r="A47" s="47"/>
      <c r="B4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7" s="47" t="s">
        <v>20</v>
      </c>
      <c r="D47" s="47" t="s">
        <v>35</v>
      </c>
      <c r="E47" s="47"/>
      <c r="F47" s="47"/>
      <c r="G47" s="45"/>
      <c r="H47" s="45"/>
      <c r="I47" s="45"/>
      <c r="J47" s="45"/>
    </row>
    <row r="48" spans="1:10" ht="14.5" customHeight="1">
      <c r="A48" s="47"/>
      <c r="B4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8" s="47" t="s">
        <v>45</v>
      </c>
      <c r="D48" s="47" t="s">
        <v>23</v>
      </c>
      <c r="E48" s="47"/>
      <c r="F48" s="47"/>
      <c r="G48" s="45"/>
      <c r="H48" s="45"/>
      <c r="I48" s="45"/>
      <c r="J48" s="45"/>
    </row>
    <row r="49" spans="1:10" ht="14.5" customHeight="1">
      <c r="A49" s="47"/>
      <c r="B49"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9" s="47" t="s">
        <v>36</v>
      </c>
      <c r="D49" s="47" t="s">
        <v>24</v>
      </c>
      <c r="E49" s="47"/>
      <c r="F49" s="47"/>
      <c r="G49" s="45"/>
      <c r="H49" s="45"/>
      <c r="I49" s="45"/>
      <c r="J49" s="45"/>
    </row>
    <row r="50" spans="1:10" ht="14.5" customHeight="1" thickBot="1">
      <c r="A50" s="48"/>
      <c r="B50"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0" s="48" t="s">
        <v>28</v>
      </c>
      <c r="D50" s="48" t="s">
        <v>38</v>
      </c>
      <c r="E50" s="48"/>
      <c r="F50" s="48"/>
      <c r="G50" s="45"/>
      <c r="H50" s="45"/>
      <c r="I50" s="45"/>
      <c r="J50" s="45"/>
    </row>
    <row r="51" spans="1:10" ht="14.5" customHeight="1">
      <c r="A51" s="51" t="s">
        <v>434</v>
      </c>
      <c r="B5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1" s="51" t="s">
        <v>39</v>
      </c>
      <c r="D51" s="51" t="s">
        <v>25</v>
      </c>
      <c r="E51" s="51" t="s">
        <v>12</v>
      </c>
      <c r="F51" s="51">
        <f>COUNTA(C51:E59)</f>
        <v>18</v>
      </c>
      <c r="G51" s="45"/>
      <c r="H51" s="45"/>
      <c r="I51" s="45"/>
      <c r="J51" s="45"/>
    </row>
    <row r="52" spans="1:10" ht="14.5" customHeight="1">
      <c r="A52" s="50"/>
      <c r="B5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2" s="50" t="s">
        <v>16</v>
      </c>
      <c r="D52" s="50"/>
      <c r="E52" s="50"/>
      <c r="F52" s="50"/>
      <c r="G52" s="45"/>
      <c r="H52" s="45"/>
      <c r="I52" s="45"/>
      <c r="J52" s="45"/>
    </row>
    <row r="53" spans="1:10" ht="14.5" customHeight="1">
      <c r="A53" s="47"/>
      <c r="B5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3" s="47" t="s">
        <v>32</v>
      </c>
      <c r="D53" s="47" t="s">
        <v>43</v>
      </c>
      <c r="E53" s="47"/>
      <c r="F53" s="47"/>
      <c r="G53" s="45"/>
      <c r="H53" s="45"/>
      <c r="I53" s="45"/>
      <c r="J53" s="45"/>
    </row>
    <row r="54" spans="1:10" ht="14.5" customHeight="1">
      <c r="A54" s="47"/>
      <c r="B5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4" s="47" t="s">
        <v>26</v>
      </c>
      <c r="D54" s="47" t="s">
        <v>22</v>
      </c>
      <c r="E54" s="47"/>
      <c r="F54" s="47"/>
      <c r="G54" s="45"/>
      <c r="H54" s="45"/>
      <c r="I54" s="45"/>
      <c r="J54" s="45"/>
    </row>
    <row r="55" spans="1:10" ht="14.5" customHeight="1">
      <c r="A55" s="47"/>
      <c r="B5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5" s="47" t="s">
        <v>34</v>
      </c>
      <c r="D55" s="47" t="s">
        <v>41</v>
      </c>
      <c r="E55" s="47"/>
      <c r="F55" s="47"/>
      <c r="G55" s="45"/>
      <c r="H55" s="45"/>
      <c r="I55" s="45"/>
      <c r="J55" s="45"/>
    </row>
    <row r="56" spans="1:10" ht="14.5" customHeight="1">
      <c r="A56" s="47"/>
      <c r="B5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6" s="47" t="s">
        <v>30</v>
      </c>
      <c r="D56" s="47" t="s">
        <v>21</v>
      </c>
      <c r="E56" s="47"/>
      <c r="F56" s="47"/>
      <c r="G56" s="45"/>
      <c r="H56" s="45"/>
      <c r="I56" s="45"/>
      <c r="J56" s="45"/>
    </row>
    <row r="57" spans="1:10" ht="14.5" customHeight="1">
      <c r="A57" s="47"/>
      <c r="B5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7" s="47" t="s">
        <v>10</v>
      </c>
      <c r="D57" s="47" t="s">
        <v>31</v>
      </c>
      <c r="E57" s="47"/>
      <c r="F57" s="47"/>
      <c r="G57" s="45"/>
      <c r="H57" s="45"/>
      <c r="I57" s="45"/>
      <c r="J57" s="45"/>
    </row>
    <row r="58" spans="1:10" ht="14.5" customHeight="1">
      <c r="A58" s="47"/>
      <c r="B5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8" s="47" t="s">
        <v>29</v>
      </c>
      <c r="D58" s="47" t="s">
        <v>42</v>
      </c>
      <c r="E58" s="47"/>
      <c r="F58" s="47"/>
      <c r="G58" s="45"/>
      <c r="H58" s="45"/>
      <c r="I58" s="45"/>
      <c r="J58" s="45"/>
    </row>
    <row r="59" spans="1:10" ht="14.5" customHeight="1" thickBot="1">
      <c r="A59" s="52"/>
      <c r="B59" s="52"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9" s="52" t="s">
        <v>37</v>
      </c>
      <c r="D59" s="52" t="s">
        <v>18</v>
      </c>
      <c r="E59" s="52"/>
      <c r="F59" s="52"/>
      <c r="G59" s="45"/>
      <c r="H59" s="45"/>
      <c r="I59" s="45"/>
      <c r="J59" s="45"/>
    </row>
    <row r="60" spans="1:10" ht="14.5" customHeight="1">
      <c r="A60" s="45"/>
      <c r="B60" s="45"/>
      <c r="C60" s="45"/>
      <c r="D60" s="45"/>
      <c r="E60" s="45"/>
      <c r="F60" s="45"/>
      <c r="G60" s="45"/>
      <c r="H60" s="45"/>
      <c r="I60" s="45"/>
      <c r="J60" s="45"/>
    </row>
    <row r="61" spans="1:10" ht="20" customHeight="1">
      <c r="A61" s="136" t="s">
        <v>803</v>
      </c>
      <c r="B61" s="136"/>
      <c r="C61" s="136"/>
      <c r="D61" s="136"/>
      <c r="E61" s="136"/>
      <c r="F61" s="136"/>
      <c r="G61" s="136"/>
      <c r="H61" s="136"/>
    </row>
    <row r="62" spans="1:10" ht="14.5" customHeight="1">
      <c r="A62" s="18"/>
      <c r="B62" s="19" t="s">
        <v>314</v>
      </c>
      <c r="C62" s="135" t="s">
        <v>762</v>
      </c>
      <c r="D62" s="135"/>
      <c r="E62" s="135"/>
      <c r="F62" s="135" t="s">
        <v>755</v>
      </c>
      <c r="G62" s="135"/>
      <c r="H62" s="18"/>
    </row>
    <row r="63" spans="1:10" ht="14.5" customHeight="1">
      <c r="A63" s="18"/>
      <c r="B63" s="20">
        <v>1</v>
      </c>
      <c r="C63" s="134" t="s">
        <v>926</v>
      </c>
      <c r="D63" s="134"/>
      <c r="E63" s="134"/>
      <c r="F63" s="134" t="s">
        <v>840</v>
      </c>
      <c r="G63" s="134"/>
      <c r="H63" s="18"/>
    </row>
    <row r="64" spans="1:10" ht="14.5" customHeight="1">
      <c r="A64" s="18"/>
      <c r="B64" s="20">
        <v>2</v>
      </c>
      <c r="C64" s="134" t="s">
        <v>927</v>
      </c>
      <c r="D64" s="134"/>
      <c r="E64" s="134"/>
      <c r="F64" s="134" t="s">
        <v>840</v>
      </c>
      <c r="G64" s="134"/>
      <c r="H64" s="18"/>
    </row>
    <row r="65" spans="1:8" ht="14.5" customHeight="1">
      <c r="A65" s="18"/>
      <c r="B65" s="20">
        <v>3</v>
      </c>
      <c r="C65" s="134" t="s">
        <v>928</v>
      </c>
      <c r="D65" s="134"/>
      <c r="E65" s="134"/>
      <c r="F65" s="134" t="s">
        <v>840</v>
      </c>
      <c r="G65" s="134"/>
      <c r="H65" s="18"/>
    </row>
    <row r="66" spans="1:8" ht="14.5" customHeight="1">
      <c r="A66" s="18"/>
      <c r="B66" s="20">
        <v>4</v>
      </c>
      <c r="C66" s="134" t="s">
        <v>929</v>
      </c>
      <c r="D66" s="134"/>
      <c r="E66" s="134"/>
      <c r="F66" s="134" t="s">
        <v>841</v>
      </c>
      <c r="G66" s="134"/>
      <c r="H66" s="18"/>
    </row>
    <row r="67" spans="1:8" ht="14.5" customHeight="1">
      <c r="A67" s="18"/>
      <c r="B67" s="20">
        <v>5</v>
      </c>
      <c r="C67" s="134" t="s">
        <v>930</v>
      </c>
      <c r="D67" s="134"/>
      <c r="E67" s="134"/>
      <c r="F67" s="134" t="s">
        <v>841</v>
      </c>
      <c r="G67" s="134"/>
      <c r="H67" s="18"/>
    </row>
    <row r="68" spans="1:8" ht="14.5" customHeight="1">
      <c r="A68" s="18"/>
      <c r="B68" s="20">
        <v>6</v>
      </c>
      <c r="C68" s="134" t="s">
        <v>915</v>
      </c>
      <c r="D68" s="134"/>
      <c r="E68" s="134"/>
      <c r="F68" s="134" t="s">
        <v>841</v>
      </c>
      <c r="G68" s="134"/>
      <c r="H68" s="18"/>
    </row>
    <row r="69" spans="1:8" ht="14.5" customHeight="1">
      <c r="A69" s="18"/>
      <c r="B69" s="20">
        <v>7</v>
      </c>
      <c r="C69" s="134" t="s">
        <v>931</v>
      </c>
      <c r="D69" s="134"/>
      <c r="E69" s="134"/>
      <c r="F69" s="134" t="s">
        <v>841</v>
      </c>
      <c r="G69" s="134"/>
      <c r="H69" s="18"/>
    </row>
    <row r="70" spans="1:8" ht="14.5" customHeight="1">
      <c r="A70" s="18"/>
      <c r="B70" s="20">
        <v>8</v>
      </c>
      <c r="C70" s="134" t="s">
        <v>932</v>
      </c>
      <c r="D70" s="134"/>
      <c r="E70" s="134"/>
      <c r="F70" s="134" t="s">
        <v>847</v>
      </c>
      <c r="G70" s="134"/>
      <c r="H70" s="18"/>
    </row>
    <row r="71" spans="1:8" ht="14.5" customHeight="1">
      <c r="A71" s="18"/>
      <c r="B71" s="20">
        <v>9</v>
      </c>
      <c r="C71" s="134" t="s">
        <v>933</v>
      </c>
      <c r="D71" s="134"/>
      <c r="E71" s="134"/>
      <c r="F71" s="134" t="s">
        <v>847</v>
      </c>
      <c r="G71" s="134"/>
      <c r="H71" s="18"/>
    </row>
    <row r="72" spans="1:8" ht="14.5" customHeight="1">
      <c r="A72" s="18"/>
      <c r="B72" s="18"/>
      <c r="C72" s="18"/>
      <c r="D72" s="18"/>
      <c r="E72" s="18"/>
      <c r="F72" s="18"/>
      <c r="G72" s="18"/>
      <c r="H72" s="18"/>
    </row>
    <row r="73" spans="1:8" ht="14.5" customHeight="1">
      <c r="A73" s="18"/>
      <c r="B73" s="18"/>
      <c r="C73" s="18"/>
      <c r="D73" s="18"/>
      <c r="E73" s="18"/>
      <c r="F73" s="18"/>
      <c r="G73" s="18"/>
      <c r="H73" s="18"/>
    </row>
    <row r="74" spans="1:8" ht="14.5" customHeight="1">
      <c r="A74" s="136" t="s">
        <v>804</v>
      </c>
      <c r="B74" s="136"/>
      <c r="C74" s="136"/>
      <c r="D74" s="136"/>
      <c r="E74" s="136"/>
      <c r="F74" s="136"/>
      <c r="G74" s="136"/>
      <c r="H74" s="136"/>
    </row>
    <row r="75" spans="1:8" ht="14.5" customHeight="1">
      <c r="A75" s="18"/>
      <c r="B75" s="19" t="s">
        <v>314</v>
      </c>
      <c r="C75" s="135" t="s">
        <v>762</v>
      </c>
      <c r="D75" s="135"/>
      <c r="E75" s="135"/>
      <c r="F75" s="135" t="s">
        <v>755</v>
      </c>
      <c r="G75" s="135"/>
      <c r="H75" s="18"/>
    </row>
    <row r="76" spans="1:8" ht="14.5">
      <c r="A76" s="18"/>
      <c r="B76" s="20">
        <v>1</v>
      </c>
      <c r="C76" s="134" t="s">
        <v>934</v>
      </c>
      <c r="D76" s="134"/>
      <c r="E76" s="134"/>
      <c r="F76" s="134" t="s">
        <v>841</v>
      </c>
      <c r="G76" s="134"/>
      <c r="H76" s="18"/>
    </row>
    <row r="77" spans="1:8" ht="14.5">
      <c r="A77" s="18"/>
      <c r="B77" s="20">
        <v>2</v>
      </c>
      <c r="C77" s="134" t="s">
        <v>935</v>
      </c>
      <c r="D77" s="134"/>
      <c r="E77" s="134"/>
      <c r="F77" s="134" t="s">
        <v>847</v>
      </c>
      <c r="G77" s="134"/>
      <c r="H77" s="18"/>
    </row>
    <row r="78" spans="1:8" ht="14.5">
      <c r="A78" s="18"/>
      <c r="B78" s="20">
        <v>3</v>
      </c>
      <c r="C78" s="134" t="s">
        <v>936</v>
      </c>
      <c r="D78" s="134"/>
      <c r="E78" s="134"/>
      <c r="F78" s="134" t="s">
        <v>847</v>
      </c>
      <c r="G78" s="134"/>
      <c r="H78" s="18"/>
    </row>
    <row r="79" spans="1:8" ht="14.5">
      <c r="A79" s="18"/>
      <c r="B79" s="20">
        <v>4</v>
      </c>
      <c r="C79" s="134" t="s">
        <v>937</v>
      </c>
      <c r="D79" s="134"/>
      <c r="E79" s="134"/>
      <c r="F79" s="134" t="s">
        <v>847</v>
      </c>
      <c r="G79" s="134"/>
      <c r="H79" s="18"/>
    </row>
    <row r="80" spans="1:8" ht="14.5">
      <c r="A80" s="18"/>
      <c r="B80" s="20">
        <v>5</v>
      </c>
      <c r="C80" s="134" t="s">
        <v>938</v>
      </c>
      <c r="D80" s="134"/>
      <c r="E80" s="134"/>
      <c r="F80" s="134" t="s">
        <v>847</v>
      </c>
      <c r="G80" s="134"/>
      <c r="H80" s="18"/>
    </row>
    <row r="81" spans="1:8" ht="14.5">
      <c r="A81" s="18"/>
      <c r="B81" s="20">
        <v>6</v>
      </c>
      <c r="C81" s="134" t="s">
        <v>939</v>
      </c>
      <c r="D81" s="134"/>
      <c r="E81" s="134"/>
      <c r="F81" s="134" t="s">
        <v>847</v>
      </c>
      <c r="G81" s="134"/>
      <c r="H81" s="18"/>
    </row>
    <row r="82" spans="1:8" ht="14.5">
      <c r="A82" s="18"/>
      <c r="B82" s="20">
        <v>7</v>
      </c>
      <c r="C82" s="134" t="s">
        <v>940</v>
      </c>
      <c r="D82" s="134"/>
      <c r="E82" s="134"/>
      <c r="F82" s="134" t="s">
        <v>847</v>
      </c>
      <c r="G82" s="134"/>
      <c r="H82" s="18"/>
    </row>
    <row r="83" spans="1:8" ht="14.5">
      <c r="A83" s="18"/>
      <c r="B83" s="20">
        <v>8</v>
      </c>
      <c r="C83" s="134" t="s">
        <v>941</v>
      </c>
      <c r="D83" s="134"/>
      <c r="E83" s="134"/>
      <c r="F83" s="134" t="s">
        <v>847</v>
      </c>
      <c r="G83" s="134"/>
      <c r="H83" s="18"/>
    </row>
    <row r="84" spans="1:8" ht="14.5">
      <c r="A84" s="18"/>
      <c r="B84" s="20">
        <v>9</v>
      </c>
      <c r="C84" s="134" t="s">
        <v>942</v>
      </c>
      <c r="D84" s="134"/>
      <c r="E84" s="134"/>
      <c r="F84" s="134" t="s">
        <v>847</v>
      </c>
      <c r="G84" s="134"/>
      <c r="H84" s="18"/>
    </row>
    <row r="85" spans="1:8" ht="14.5">
      <c r="A85" s="18"/>
      <c r="B85" s="18"/>
      <c r="C85" s="18"/>
      <c r="D85" s="18"/>
      <c r="E85" s="18"/>
      <c r="F85" s="18"/>
      <c r="G85" s="18"/>
      <c r="H85" s="18"/>
    </row>
    <row r="86" spans="1:8" ht="14.5">
      <c r="A86" s="18"/>
      <c r="B86" s="18"/>
      <c r="C86" s="18"/>
      <c r="D86" s="18"/>
      <c r="E86" s="18"/>
      <c r="F86" s="18"/>
      <c r="G86" s="18"/>
      <c r="H86" s="18"/>
    </row>
    <row r="87" spans="1:8" ht="15.5">
      <c r="A87" s="136" t="s">
        <v>805</v>
      </c>
      <c r="B87" s="136"/>
      <c r="C87" s="136"/>
      <c r="D87" s="136"/>
      <c r="E87" s="136"/>
      <c r="F87" s="136"/>
      <c r="G87" s="136"/>
      <c r="H87" s="136"/>
    </row>
    <row r="88" spans="1:8" ht="14.5">
      <c r="A88" s="18"/>
      <c r="B88" s="19" t="s">
        <v>314</v>
      </c>
      <c r="C88" s="135" t="s">
        <v>762</v>
      </c>
      <c r="D88" s="135"/>
      <c r="E88" s="135"/>
      <c r="F88" s="135" t="s">
        <v>755</v>
      </c>
      <c r="G88" s="135"/>
      <c r="H88" s="18"/>
    </row>
    <row r="89" spans="1:8" ht="14.5">
      <c r="A89" s="18"/>
      <c r="B89" s="20">
        <v>1</v>
      </c>
      <c r="C89" s="134" t="s">
        <v>934</v>
      </c>
      <c r="D89" s="134"/>
      <c r="E89" s="134"/>
      <c r="F89" s="134" t="s">
        <v>841</v>
      </c>
      <c r="G89" s="134"/>
      <c r="H89" s="18"/>
    </row>
    <row r="90" spans="1:8" ht="14.5">
      <c r="A90" s="18"/>
      <c r="B90" s="20">
        <v>2</v>
      </c>
      <c r="C90" s="134" t="s">
        <v>935</v>
      </c>
      <c r="D90" s="134"/>
      <c r="E90" s="134"/>
      <c r="F90" s="134" t="s">
        <v>847</v>
      </c>
      <c r="G90" s="134"/>
      <c r="H90" s="18"/>
    </row>
    <row r="91" spans="1:8" ht="14.5">
      <c r="A91" s="18"/>
      <c r="B91" s="20">
        <v>3</v>
      </c>
      <c r="C91" s="134" t="s">
        <v>936</v>
      </c>
      <c r="D91" s="134"/>
      <c r="E91" s="134"/>
      <c r="F91" s="134" t="s">
        <v>847</v>
      </c>
      <c r="G91" s="134"/>
      <c r="H91" s="18"/>
    </row>
    <row r="92" spans="1:8" ht="14.5">
      <c r="A92" s="18"/>
      <c r="B92" s="20">
        <v>4</v>
      </c>
      <c r="C92" s="134" t="s">
        <v>937</v>
      </c>
      <c r="D92" s="134"/>
      <c r="E92" s="134"/>
      <c r="F92" s="134" t="s">
        <v>847</v>
      </c>
      <c r="G92" s="134"/>
      <c r="H92" s="18"/>
    </row>
    <row r="93" spans="1:8" ht="14.5">
      <c r="A93" s="18"/>
      <c r="B93" s="20">
        <v>5</v>
      </c>
      <c r="C93" s="134" t="s">
        <v>938</v>
      </c>
      <c r="D93" s="134"/>
      <c r="E93" s="134"/>
      <c r="F93" s="134" t="s">
        <v>847</v>
      </c>
      <c r="G93" s="134"/>
      <c r="H93" s="18"/>
    </row>
    <row r="94" spans="1:8" ht="14.5">
      <c r="A94" s="18"/>
      <c r="B94" s="20">
        <v>6</v>
      </c>
      <c r="C94" s="134" t="s">
        <v>939</v>
      </c>
      <c r="D94" s="134"/>
      <c r="E94" s="134"/>
      <c r="F94" s="134" t="s">
        <v>847</v>
      </c>
      <c r="G94" s="134"/>
      <c r="H94" s="18"/>
    </row>
    <row r="95" spans="1:8" ht="14.5">
      <c r="A95" s="18"/>
      <c r="B95" s="20">
        <v>7</v>
      </c>
      <c r="C95" s="134" t="s">
        <v>940</v>
      </c>
      <c r="D95" s="134"/>
      <c r="E95" s="134"/>
      <c r="F95" s="134" t="s">
        <v>847</v>
      </c>
      <c r="G95" s="134"/>
      <c r="H95" s="18"/>
    </row>
    <row r="96" spans="1:8" ht="14.5">
      <c r="A96" s="18"/>
      <c r="B96" s="20">
        <v>8</v>
      </c>
      <c r="C96" s="134" t="s">
        <v>941</v>
      </c>
      <c r="D96" s="134"/>
      <c r="E96" s="134"/>
      <c r="F96" s="134" t="s">
        <v>847</v>
      </c>
      <c r="G96" s="134"/>
      <c r="H96" s="18"/>
    </row>
    <row r="97" spans="1:8" ht="14.5">
      <c r="A97" s="18"/>
      <c r="B97" s="20">
        <v>9</v>
      </c>
      <c r="C97" s="134" t="s">
        <v>942</v>
      </c>
      <c r="D97" s="134"/>
      <c r="E97" s="134"/>
      <c r="F97" s="134" t="s">
        <v>847</v>
      </c>
      <c r="G97" s="134"/>
      <c r="H97" s="18"/>
    </row>
    <row r="98" spans="1:8" ht="14.5">
      <c r="A98" s="18"/>
      <c r="B98" s="18"/>
      <c r="C98" s="18"/>
      <c r="D98" s="18"/>
      <c r="E98" s="18"/>
      <c r="F98" s="18"/>
      <c r="G98" s="18"/>
      <c r="H98" s="18"/>
    </row>
    <row r="99" spans="1:8" ht="14.5">
      <c r="A99" s="18"/>
      <c r="B99" s="18"/>
      <c r="C99" s="18"/>
      <c r="D99" s="18"/>
      <c r="E99" s="18"/>
      <c r="F99" s="18"/>
      <c r="G99" s="18"/>
      <c r="H99" s="18"/>
    </row>
  </sheetData>
  <mergeCells count="65">
    <mergeCell ref="C63:E63"/>
    <mergeCell ref="F63:G63"/>
    <mergeCell ref="C64:E64"/>
    <mergeCell ref="F64:G64"/>
    <mergeCell ref="C65:E65"/>
    <mergeCell ref="F65:G65"/>
    <mergeCell ref="A1:J1"/>
    <mergeCell ref="C2:E2"/>
    <mergeCell ref="A61:H61"/>
    <mergeCell ref="C62:E62"/>
    <mergeCell ref="F62:G62"/>
    <mergeCell ref="C66:E66"/>
    <mergeCell ref="F66:G66"/>
    <mergeCell ref="C67:E67"/>
    <mergeCell ref="F67:G67"/>
    <mergeCell ref="C68:E68"/>
    <mergeCell ref="F68:G68"/>
    <mergeCell ref="C69:E69"/>
    <mergeCell ref="F69:G69"/>
    <mergeCell ref="C70:E70"/>
    <mergeCell ref="F70:G70"/>
    <mergeCell ref="C71:E71"/>
    <mergeCell ref="F71:G71"/>
    <mergeCell ref="A74:H74"/>
    <mergeCell ref="C75:E75"/>
    <mergeCell ref="F75:G75"/>
    <mergeCell ref="C76:E76"/>
    <mergeCell ref="F76:G76"/>
    <mergeCell ref="C77:E77"/>
    <mergeCell ref="F77:G77"/>
    <mergeCell ref="C78:E78"/>
    <mergeCell ref="F78:G78"/>
    <mergeCell ref="C79:E79"/>
    <mergeCell ref="F79:G79"/>
    <mergeCell ref="C80:E80"/>
    <mergeCell ref="F80:G80"/>
    <mergeCell ref="C81:E81"/>
    <mergeCell ref="F81:G81"/>
    <mergeCell ref="C82:E82"/>
    <mergeCell ref="F82:G82"/>
    <mergeCell ref="C83:E83"/>
    <mergeCell ref="F83:G83"/>
    <mergeCell ref="C84:E84"/>
    <mergeCell ref="F84:G84"/>
    <mergeCell ref="A87:H87"/>
    <mergeCell ref="C88:E88"/>
    <mergeCell ref="F88:G88"/>
    <mergeCell ref="C89:E89"/>
    <mergeCell ref="F89:G89"/>
    <mergeCell ref="C90:E90"/>
    <mergeCell ref="F90:G90"/>
    <mergeCell ref="C91:E91"/>
    <mergeCell ref="F91:G91"/>
    <mergeCell ref="C92:E92"/>
    <mergeCell ref="F92:G92"/>
    <mergeCell ref="C93:E93"/>
    <mergeCell ref="F93:G93"/>
    <mergeCell ref="C97:E97"/>
    <mergeCell ref="F97:G97"/>
    <mergeCell ref="C94:E94"/>
    <mergeCell ref="F94:G94"/>
    <mergeCell ref="C95:E95"/>
    <mergeCell ref="F95:G95"/>
    <mergeCell ref="C96:E96"/>
    <mergeCell ref="F96:G9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58E5B-96BF-451F-9EA3-8B3C5614FD3F}">
  <dimension ref="A1:K103"/>
  <sheetViews>
    <sheetView showGridLines="0" rightToLeft="1" workbookViewId="0">
      <pane ySplit="3" topLeftCell="A87" activePane="bottomLeft" state="frozen"/>
      <selection pane="bottomLeft" activeCell="F64" sqref="C64:G73"/>
    </sheetView>
  </sheetViews>
  <sheetFormatPr defaultRowHeight="14"/>
  <cols>
    <col min="1" max="1" width="15.83203125" customWidth="1"/>
    <col min="2" max="2" width="17.5" customWidth="1"/>
    <col min="3" max="6" width="13" customWidth="1"/>
    <col min="7" max="7" width="17.5" customWidth="1"/>
    <col min="8" max="11" width="13" customWidth="1"/>
  </cols>
  <sheetData>
    <row r="1" spans="1:11" ht="26" customHeight="1">
      <c r="A1" s="119" t="s">
        <v>456</v>
      </c>
      <c r="B1" s="119"/>
      <c r="C1" s="119"/>
      <c r="D1" s="119"/>
      <c r="E1" s="119"/>
      <c r="F1" s="119"/>
      <c r="G1" s="119"/>
      <c r="H1" s="119"/>
      <c r="I1" s="119"/>
      <c r="J1" s="119"/>
      <c r="K1" s="119"/>
    </row>
    <row r="2" spans="1:11" ht="20" customHeight="1">
      <c r="A2" s="49"/>
      <c r="B2" s="49"/>
      <c r="C2" s="137" t="s">
        <v>447</v>
      </c>
      <c r="D2" s="137"/>
      <c r="E2" s="137"/>
      <c r="F2" s="137"/>
      <c r="G2" s="49"/>
      <c r="H2" s="45"/>
      <c r="I2" s="45"/>
      <c r="J2" s="45"/>
      <c r="K2" s="45"/>
    </row>
    <row r="3" spans="1:11" ht="32" customHeight="1" thickBot="1">
      <c r="A3" s="49" t="s">
        <v>426</v>
      </c>
      <c r="B3" s="49" t="s">
        <v>7</v>
      </c>
      <c r="C3" s="49" t="s">
        <v>8</v>
      </c>
      <c r="D3" s="49" t="s">
        <v>9</v>
      </c>
      <c r="E3" s="49" t="s">
        <v>84</v>
      </c>
      <c r="F3" s="49" t="s">
        <v>119</v>
      </c>
      <c r="G3" s="49" t="s">
        <v>427</v>
      </c>
      <c r="H3" s="45"/>
      <c r="I3" s="45"/>
      <c r="J3" s="45"/>
      <c r="K3" s="45"/>
    </row>
    <row r="4" spans="1:11"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28</v>
      </c>
      <c r="D4" s="51" t="s">
        <v>36</v>
      </c>
      <c r="E4" s="51"/>
      <c r="F4" s="51"/>
      <c r="G4" s="51">
        <f>COUNTA(C4:F12)</f>
        <v>20</v>
      </c>
      <c r="H4" s="45"/>
      <c r="I4" s="45"/>
      <c r="J4" s="45"/>
      <c r="K4" s="45"/>
    </row>
    <row r="5" spans="1:11"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49</v>
      </c>
      <c r="D5" s="50" t="s">
        <v>10</v>
      </c>
      <c r="E5" s="50" t="s">
        <v>12</v>
      </c>
      <c r="F5" s="50"/>
      <c r="G5" s="50"/>
      <c r="H5" s="45"/>
      <c r="I5" s="45"/>
      <c r="J5" s="45"/>
      <c r="K5" s="45"/>
    </row>
    <row r="6" spans="1:11"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c r="D6" s="47"/>
      <c r="E6" s="47"/>
      <c r="F6" s="47"/>
      <c r="G6" s="47"/>
      <c r="H6" s="45"/>
      <c r="I6" s="45"/>
      <c r="J6" s="45"/>
      <c r="K6" s="45"/>
    </row>
    <row r="7" spans="1:11"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48</v>
      </c>
      <c r="D7" s="47" t="s">
        <v>27</v>
      </c>
      <c r="E7" s="47" t="s">
        <v>14</v>
      </c>
      <c r="F7" s="47" t="s">
        <v>15</v>
      </c>
      <c r="G7" s="47"/>
      <c r="H7" s="45"/>
      <c r="I7" s="45"/>
      <c r="J7" s="45"/>
      <c r="K7" s="45"/>
    </row>
    <row r="8" spans="1:11"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38</v>
      </c>
      <c r="D8" s="47"/>
      <c r="E8" s="47"/>
      <c r="F8" s="47"/>
      <c r="G8" s="47"/>
      <c r="H8" s="45"/>
      <c r="I8" s="45"/>
      <c r="J8" s="45"/>
      <c r="K8" s="45"/>
    </row>
    <row r="9" spans="1:11"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24</v>
      </c>
      <c r="D9" s="47" t="s">
        <v>33</v>
      </c>
      <c r="E9" s="47"/>
      <c r="F9" s="47"/>
      <c r="G9" s="47"/>
      <c r="H9" s="45"/>
      <c r="I9" s="45"/>
      <c r="J9" s="45"/>
      <c r="K9" s="45"/>
    </row>
    <row r="10" spans="1:11"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51</v>
      </c>
      <c r="D10" s="47" t="s">
        <v>42</v>
      </c>
      <c r="E10" s="47" t="s">
        <v>23</v>
      </c>
      <c r="F10" s="47"/>
      <c r="G10" s="47"/>
      <c r="H10" s="45"/>
      <c r="I10" s="45"/>
      <c r="J10" s="45"/>
      <c r="K10" s="45"/>
    </row>
    <row r="11" spans="1:11"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26</v>
      </c>
      <c r="D11" s="47"/>
      <c r="E11" s="47"/>
      <c r="F11" s="47"/>
      <c r="G11" s="47"/>
      <c r="H11" s="45"/>
      <c r="I11" s="45"/>
      <c r="J11" s="45"/>
      <c r="K11" s="45"/>
    </row>
    <row r="12" spans="1:11"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13</v>
      </c>
      <c r="D12" s="48" t="s">
        <v>32</v>
      </c>
      <c r="E12" s="48" t="s">
        <v>43</v>
      </c>
      <c r="F12" s="48" t="s">
        <v>53</v>
      </c>
      <c r="G12" s="48"/>
      <c r="H12" s="45"/>
      <c r="I12" s="45"/>
      <c r="J12" s="45"/>
      <c r="K12" s="45"/>
    </row>
    <row r="13" spans="1:11"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19</v>
      </c>
      <c r="D13" s="51" t="s">
        <v>29</v>
      </c>
      <c r="E13" s="51"/>
      <c r="F13" s="51"/>
      <c r="G13" s="51">
        <f>COUNTA(C13:F21)</f>
        <v>20</v>
      </c>
      <c r="H13" s="45"/>
      <c r="I13" s="45"/>
      <c r="J13" s="45"/>
      <c r="K13" s="45"/>
    </row>
    <row r="14" spans="1:11"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44</v>
      </c>
      <c r="D14" s="50" t="s">
        <v>20</v>
      </c>
      <c r="E14" s="50" t="s">
        <v>46</v>
      </c>
      <c r="F14" s="50"/>
      <c r="G14" s="50"/>
      <c r="H14" s="45"/>
      <c r="I14" s="45"/>
      <c r="J14" s="45"/>
      <c r="K14" s="45"/>
    </row>
    <row r="15" spans="1:11"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c r="D15" s="47"/>
      <c r="E15" s="47"/>
      <c r="F15" s="47"/>
      <c r="G15" s="47"/>
      <c r="H15" s="45"/>
      <c r="I15" s="45"/>
      <c r="J15" s="45"/>
      <c r="K15" s="45"/>
    </row>
    <row r="16" spans="1:11"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31</v>
      </c>
      <c r="D16" s="47" t="s">
        <v>17</v>
      </c>
      <c r="E16" s="47" t="s">
        <v>30</v>
      </c>
      <c r="F16" s="47" t="s">
        <v>50</v>
      </c>
      <c r="G16" s="47"/>
      <c r="H16" s="45"/>
      <c r="I16" s="45"/>
      <c r="J16" s="45"/>
      <c r="K16" s="45"/>
    </row>
    <row r="17" spans="1:11"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39</v>
      </c>
      <c r="D17" s="47"/>
      <c r="E17" s="47"/>
      <c r="F17" s="47"/>
      <c r="G17" s="47"/>
      <c r="H17" s="45"/>
      <c r="I17" s="45"/>
      <c r="J17" s="45"/>
      <c r="K17" s="45"/>
    </row>
    <row r="18" spans="1:11"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25</v>
      </c>
      <c r="D18" s="47" t="s">
        <v>35</v>
      </c>
      <c r="E18" s="47" t="s">
        <v>54</v>
      </c>
      <c r="F18" s="47"/>
      <c r="G18" s="47"/>
      <c r="H18" s="45"/>
      <c r="I18" s="45"/>
      <c r="J18" s="45"/>
      <c r="K18" s="45"/>
    </row>
    <row r="19" spans="1:11"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41</v>
      </c>
      <c r="E19" s="47"/>
      <c r="F19" s="47"/>
      <c r="G19" s="47"/>
      <c r="H19" s="45"/>
      <c r="I19" s="45"/>
      <c r="J19" s="45"/>
      <c r="K19" s="45"/>
    </row>
    <row r="20" spans="1:11"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52</v>
      </c>
      <c r="D20" s="47"/>
      <c r="E20" s="47"/>
      <c r="F20" s="47"/>
      <c r="G20" s="47"/>
      <c r="H20" s="45"/>
      <c r="I20" s="45"/>
      <c r="J20" s="45"/>
      <c r="K20" s="45"/>
    </row>
    <row r="21" spans="1:11"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34</v>
      </c>
      <c r="D21" s="48" t="s">
        <v>40</v>
      </c>
      <c r="E21" s="48" t="s">
        <v>21</v>
      </c>
      <c r="F21" s="48" t="s">
        <v>16</v>
      </c>
      <c r="G21" s="48"/>
      <c r="H21" s="45"/>
      <c r="I21" s="45"/>
      <c r="J21" s="45"/>
      <c r="K21" s="45"/>
    </row>
    <row r="22" spans="1:11"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18</v>
      </c>
      <c r="D22" s="51" t="s">
        <v>37</v>
      </c>
      <c r="E22" s="51" t="s">
        <v>47</v>
      </c>
      <c r="F22" s="51" t="s">
        <v>22</v>
      </c>
      <c r="G22" s="51">
        <f>COUNTA(C22:F29)</f>
        <v>20</v>
      </c>
      <c r="H22" s="45"/>
      <c r="I22" s="45"/>
      <c r="J22" s="45"/>
      <c r="K22" s="45"/>
    </row>
    <row r="23" spans="1:11"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45</v>
      </c>
      <c r="D23" s="50"/>
      <c r="E23" s="50"/>
      <c r="F23" s="50"/>
      <c r="G23" s="50"/>
      <c r="H23" s="45"/>
      <c r="I23" s="45"/>
      <c r="J23" s="45"/>
      <c r="K23" s="45"/>
    </row>
    <row r="24" spans="1:11"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46</v>
      </c>
      <c r="D24" s="47" t="s">
        <v>36</v>
      </c>
      <c r="E24" s="47" t="s">
        <v>10</v>
      </c>
      <c r="F24" s="47"/>
      <c r="G24" s="47"/>
      <c r="H24" s="45"/>
      <c r="I24" s="45"/>
      <c r="J24" s="45"/>
      <c r="K24" s="45"/>
    </row>
    <row r="25" spans="1:11"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38</v>
      </c>
      <c r="D25" s="47" t="s">
        <v>26</v>
      </c>
      <c r="E25" s="47"/>
      <c r="F25" s="47"/>
      <c r="G25" s="47"/>
      <c r="H25" s="45"/>
      <c r="I25" s="45"/>
      <c r="J25" s="45"/>
      <c r="K25" s="45"/>
    </row>
    <row r="26" spans="1:11"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20</v>
      </c>
      <c r="D26" s="47" t="s">
        <v>32</v>
      </c>
      <c r="E26" s="47"/>
      <c r="F26" s="47"/>
      <c r="G26" s="47"/>
      <c r="H26" s="45"/>
      <c r="I26" s="45"/>
      <c r="J26" s="45"/>
      <c r="K26" s="45"/>
    </row>
    <row r="27" spans="1:11"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52</v>
      </c>
      <c r="D27" s="47" t="s">
        <v>13</v>
      </c>
      <c r="E27" s="47" t="s">
        <v>40</v>
      </c>
      <c r="F27" s="47"/>
      <c r="G27" s="47"/>
      <c r="H27" s="45"/>
      <c r="I27" s="45"/>
      <c r="J27" s="45"/>
      <c r="K27" s="45"/>
    </row>
    <row r="28" spans="1:11"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11</v>
      </c>
      <c r="D28" s="47"/>
      <c r="E28" s="47"/>
      <c r="F28" s="47"/>
      <c r="G28" s="47"/>
      <c r="H28" s="45"/>
      <c r="I28" s="45"/>
      <c r="J28" s="45"/>
      <c r="K28" s="45"/>
    </row>
    <row r="29" spans="1:11" ht="14.5" customHeight="1" thickBot="1">
      <c r="A29" s="48"/>
      <c r="B29"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8" t="s">
        <v>51</v>
      </c>
      <c r="D29" s="48" t="s">
        <v>24</v>
      </c>
      <c r="E29" s="48" t="s">
        <v>41</v>
      </c>
      <c r="F29" s="48" t="s">
        <v>33</v>
      </c>
      <c r="G29" s="48"/>
      <c r="H29" s="45"/>
      <c r="I29" s="45"/>
      <c r="J29" s="45"/>
      <c r="K29" s="45"/>
    </row>
    <row r="30" spans="1:11" ht="14.5" customHeight="1">
      <c r="A30" s="51" t="s">
        <v>431</v>
      </c>
      <c r="B3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0" s="51" t="s">
        <v>16</v>
      </c>
      <c r="D30" s="51" t="s">
        <v>47</v>
      </c>
      <c r="E30" s="51" t="s">
        <v>29</v>
      </c>
      <c r="F30" s="51" t="s">
        <v>39</v>
      </c>
      <c r="G30" s="51">
        <f>COUNTA(C30:F37)</f>
        <v>20</v>
      </c>
      <c r="H30" s="45"/>
      <c r="I30" s="45"/>
      <c r="J30" s="45"/>
      <c r="K30" s="45"/>
    </row>
    <row r="31" spans="1:11" ht="14.5" customHeight="1">
      <c r="A31" s="50"/>
      <c r="B3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1" s="50" t="s">
        <v>31</v>
      </c>
      <c r="D31" s="50"/>
      <c r="E31" s="50"/>
      <c r="F31" s="50"/>
      <c r="G31" s="50"/>
      <c r="H31" s="45"/>
      <c r="I31" s="45"/>
      <c r="J31" s="45"/>
      <c r="K31" s="45"/>
    </row>
    <row r="32" spans="1:11" ht="14.5" customHeight="1">
      <c r="A32" s="47"/>
      <c r="B3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2" s="47" t="s">
        <v>14</v>
      </c>
      <c r="D32" s="47" t="s">
        <v>45</v>
      </c>
      <c r="E32" s="47" t="s">
        <v>53</v>
      </c>
      <c r="F32" s="47"/>
      <c r="G32" s="47"/>
      <c r="H32" s="45"/>
      <c r="I32" s="45"/>
      <c r="J32" s="45"/>
      <c r="K32" s="45"/>
    </row>
    <row r="33" spans="1:11" ht="14.5" customHeight="1">
      <c r="A33" s="47"/>
      <c r="B3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3" s="47" t="s">
        <v>37</v>
      </c>
      <c r="D33" s="47" t="s">
        <v>12</v>
      </c>
      <c r="E33" s="47"/>
      <c r="F33" s="47"/>
      <c r="G33" s="47"/>
      <c r="H33" s="45"/>
      <c r="I33" s="45"/>
      <c r="J33" s="45"/>
      <c r="K33" s="45"/>
    </row>
    <row r="34" spans="1:11" ht="14.5" customHeight="1">
      <c r="A34" s="47"/>
      <c r="B3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4" s="47" t="s">
        <v>25</v>
      </c>
      <c r="D34" s="47" t="s">
        <v>42</v>
      </c>
      <c r="E34" s="47"/>
      <c r="F34" s="47"/>
      <c r="G34" s="47"/>
      <c r="H34" s="45"/>
      <c r="I34" s="45"/>
      <c r="J34" s="45"/>
      <c r="K34" s="45"/>
    </row>
    <row r="35" spans="1:11" ht="14.5" customHeight="1">
      <c r="A35" s="47"/>
      <c r="B3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5" s="47" t="s">
        <v>23</v>
      </c>
      <c r="D35" s="47" t="s">
        <v>54</v>
      </c>
      <c r="E35" s="47" t="s">
        <v>35</v>
      </c>
      <c r="F35" s="47"/>
      <c r="G35" s="47"/>
      <c r="H35" s="45"/>
      <c r="I35" s="45"/>
      <c r="J35" s="45"/>
      <c r="K35" s="45"/>
    </row>
    <row r="36" spans="1:11" ht="14.5" customHeight="1">
      <c r="A36" s="47"/>
      <c r="B36"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6" s="47" t="s">
        <v>43</v>
      </c>
      <c r="D36" s="47"/>
      <c r="E36" s="47"/>
      <c r="F36" s="47"/>
      <c r="G36" s="47"/>
      <c r="H36" s="45"/>
      <c r="I36" s="45"/>
      <c r="J36" s="45"/>
      <c r="K36" s="45"/>
    </row>
    <row r="37" spans="1:11" ht="14.5" customHeight="1" thickBot="1">
      <c r="A37" s="48"/>
      <c r="B37"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7" s="48" t="s">
        <v>18</v>
      </c>
      <c r="D37" s="48" t="s">
        <v>27</v>
      </c>
      <c r="E37" s="48" t="s">
        <v>48</v>
      </c>
      <c r="F37" s="48" t="s">
        <v>22</v>
      </c>
      <c r="G37" s="48"/>
      <c r="H37" s="45"/>
      <c r="I37" s="45"/>
      <c r="J37" s="45"/>
      <c r="K37" s="45"/>
    </row>
    <row r="38" spans="1:11" ht="14.5" customHeight="1">
      <c r="A38" s="51" t="s">
        <v>432</v>
      </c>
      <c r="B38"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8" s="51" t="s">
        <v>49</v>
      </c>
      <c r="D38" s="51" t="s">
        <v>19</v>
      </c>
      <c r="E38" s="51"/>
      <c r="F38" s="51"/>
      <c r="G38" s="51">
        <f>COUNTA(C38:F46)</f>
        <v>20</v>
      </c>
      <c r="H38" s="45"/>
      <c r="I38" s="45"/>
      <c r="J38" s="45"/>
      <c r="K38" s="45"/>
    </row>
    <row r="39" spans="1:11" ht="14.5" customHeight="1">
      <c r="A39" s="50"/>
      <c r="B39"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9" s="50" t="s">
        <v>30</v>
      </c>
      <c r="D39" s="50" t="s">
        <v>21</v>
      </c>
      <c r="E39" s="50" t="s">
        <v>34</v>
      </c>
      <c r="F39" s="50"/>
      <c r="G39" s="50"/>
      <c r="H39" s="45"/>
      <c r="I39" s="45"/>
      <c r="J39" s="45"/>
      <c r="K39" s="45"/>
    </row>
    <row r="40" spans="1:11" ht="14.5" customHeight="1">
      <c r="A40" s="47"/>
      <c r="B40"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0" s="47" t="s">
        <v>50</v>
      </c>
      <c r="D40" s="47"/>
      <c r="E40" s="47"/>
      <c r="F40" s="47"/>
      <c r="G40" s="47"/>
      <c r="H40" s="45"/>
      <c r="I40" s="45"/>
      <c r="J40" s="45"/>
      <c r="K40" s="45"/>
    </row>
    <row r="41" spans="1:11" ht="14.5" customHeight="1">
      <c r="A41" s="47"/>
      <c r="B41"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1" s="47" t="s">
        <v>44</v>
      </c>
      <c r="D41" s="47" t="s">
        <v>28</v>
      </c>
      <c r="E41" s="47" t="s">
        <v>15</v>
      </c>
      <c r="F41" s="47" t="s">
        <v>17</v>
      </c>
      <c r="G41" s="47"/>
      <c r="H41" s="45"/>
      <c r="I41" s="45"/>
      <c r="J41" s="45"/>
      <c r="K41" s="45"/>
    </row>
    <row r="42" spans="1:11" ht="14.5" customHeight="1">
      <c r="A42" s="47"/>
      <c r="B42"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2" s="47"/>
      <c r="D42" s="47"/>
      <c r="E42" s="47"/>
      <c r="F42" s="47"/>
      <c r="G42" s="47"/>
      <c r="H42" s="45"/>
      <c r="I42" s="45"/>
      <c r="J42" s="45"/>
      <c r="K42" s="45"/>
    </row>
    <row r="43" spans="1:11" ht="14.5" customHeight="1">
      <c r="A43" s="47"/>
      <c r="B43"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3" s="47" t="s">
        <v>52</v>
      </c>
      <c r="D43" s="47" t="s">
        <v>38</v>
      </c>
      <c r="E43" s="47" t="s">
        <v>37</v>
      </c>
      <c r="F43" s="47" t="s">
        <v>20</v>
      </c>
      <c r="G43" s="47"/>
      <c r="H43" s="45"/>
      <c r="I43" s="45"/>
      <c r="J43" s="45"/>
      <c r="K43" s="45"/>
    </row>
    <row r="44" spans="1:11" ht="14.5" customHeight="1">
      <c r="A44" s="47"/>
      <c r="B44"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4" s="47" t="s">
        <v>18</v>
      </c>
      <c r="D44" s="47"/>
      <c r="E44" s="47"/>
      <c r="F44" s="47"/>
      <c r="G44" s="47"/>
      <c r="H44" s="45"/>
      <c r="I44" s="45"/>
      <c r="J44" s="45"/>
      <c r="K44" s="45"/>
    </row>
    <row r="45" spans="1:11" ht="14.5" customHeight="1">
      <c r="A45" s="47"/>
      <c r="B45"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5" s="47" t="s">
        <v>13</v>
      </c>
      <c r="D45" s="47" t="s">
        <v>36</v>
      </c>
      <c r="E45" s="47"/>
      <c r="F45" s="47"/>
      <c r="G45" s="47"/>
      <c r="H45" s="45"/>
      <c r="I45" s="45"/>
      <c r="J45" s="45"/>
      <c r="K45" s="45"/>
    </row>
    <row r="46" spans="1:11" ht="14.5" customHeight="1" thickBot="1">
      <c r="A46" s="48"/>
      <c r="B46"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6" s="48" t="s">
        <v>39</v>
      </c>
      <c r="D46" s="48" t="s">
        <v>26</v>
      </c>
      <c r="E46" s="48" t="s">
        <v>47</v>
      </c>
      <c r="F46" s="48"/>
      <c r="G46" s="48"/>
      <c r="H46" s="45"/>
      <c r="I46" s="45"/>
      <c r="J46" s="45"/>
      <c r="K46" s="45"/>
    </row>
    <row r="47" spans="1:11" ht="14.5" customHeight="1">
      <c r="A47" s="51" t="s">
        <v>434</v>
      </c>
      <c r="B47"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7" s="51" t="s">
        <v>12</v>
      </c>
      <c r="D47" s="51" t="s">
        <v>34</v>
      </c>
      <c r="E47" s="51" t="s">
        <v>45</v>
      </c>
      <c r="F47" s="51"/>
      <c r="G47" s="51">
        <f>COUNTA(C47:F54)</f>
        <v>20</v>
      </c>
      <c r="H47" s="45"/>
      <c r="I47" s="45"/>
      <c r="J47" s="45"/>
      <c r="K47" s="45"/>
    </row>
    <row r="48" spans="1:11" ht="14.5" customHeight="1">
      <c r="A48" s="50"/>
      <c r="B48"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8" s="50" t="s">
        <v>50</v>
      </c>
      <c r="D48" s="50" t="s">
        <v>11</v>
      </c>
      <c r="E48" s="50"/>
      <c r="F48" s="50"/>
      <c r="G48" s="50"/>
      <c r="H48" s="45"/>
      <c r="I48" s="45"/>
      <c r="J48" s="45"/>
      <c r="K48" s="45"/>
    </row>
    <row r="49" spans="1:11" ht="14.5" customHeight="1">
      <c r="A49" s="47"/>
      <c r="B49"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9" s="47" t="s">
        <v>33</v>
      </c>
      <c r="D49" s="47" t="s">
        <v>17</v>
      </c>
      <c r="E49" s="47" t="s">
        <v>40</v>
      </c>
      <c r="F49" s="47"/>
      <c r="G49" s="47"/>
      <c r="H49" s="45"/>
      <c r="I49" s="45"/>
      <c r="J49" s="45"/>
      <c r="K49" s="45"/>
    </row>
    <row r="50" spans="1:11" ht="14.5" customHeight="1">
      <c r="A50" s="47"/>
      <c r="B50"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0" s="47" t="s">
        <v>23</v>
      </c>
      <c r="D50" s="47" t="s">
        <v>53</v>
      </c>
      <c r="E50" s="47"/>
      <c r="F50" s="47"/>
      <c r="G50" s="47"/>
      <c r="H50" s="45"/>
      <c r="I50" s="45"/>
      <c r="J50" s="45"/>
      <c r="K50" s="45"/>
    </row>
    <row r="51" spans="1:11" ht="14.5" customHeight="1">
      <c r="A51" s="47"/>
      <c r="B51"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1" s="47" t="s">
        <v>31</v>
      </c>
      <c r="D51" s="47" t="s">
        <v>43</v>
      </c>
      <c r="E51" s="47"/>
      <c r="F51" s="47"/>
      <c r="G51" s="47"/>
      <c r="H51" s="45"/>
      <c r="I51" s="45"/>
      <c r="J51" s="45"/>
      <c r="K51" s="45"/>
    </row>
    <row r="52" spans="1:11" ht="14.5" customHeight="1">
      <c r="A52" s="47"/>
      <c r="B52"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2" s="47" t="s">
        <v>51</v>
      </c>
      <c r="D52" s="47" t="s">
        <v>28</v>
      </c>
      <c r="E52" s="47" t="s">
        <v>16</v>
      </c>
      <c r="F52" s="47"/>
      <c r="G52" s="47"/>
      <c r="H52" s="45"/>
      <c r="I52" s="45"/>
      <c r="J52" s="45"/>
      <c r="K52" s="45"/>
    </row>
    <row r="53" spans="1:11" ht="14.5" customHeight="1">
      <c r="A53" s="47"/>
      <c r="B53"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3" s="47" t="s">
        <v>44</v>
      </c>
      <c r="D53" s="47"/>
      <c r="E53" s="47"/>
      <c r="F53" s="47"/>
      <c r="G53" s="47"/>
      <c r="H53" s="45"/>
      <c r="I53" s="45"/>
      <c r="J53" s="45"/>
      <c r="K53" s="45"/>
    </row>
    <row r="54" spans="1:11" ht="14.5" customHeight="1" thickBot="1">
      <c r="A54" s="48"/>
      <c r="B54"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4" s="48" t="s">
        <v>30</v>
      </c>
      <c r="D54" s="48" t="s">
        <v>10</v>
      </c>
      <c r="E54" s="48" t="s">
        <v>54</v>
      </c>
      <c r="F54" s="48" t="s">
        <v>21</v>
      </c>
      <c r="G54" s="48"/>
      <c r="H54" s="45"/>
      <c r="I54" s="45"/>
      <c r="J54" s="45"/>
      <c r="K54" s="45"/>
    </row>
    <row r="55" spans="1:11" ht="14.5" customHeight="1">
      <c r="A55" s="51" t="s">
        <v>435</v>
      </c>
      <c r="B55"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5" s="51" t="s">
        <v>48</v>
      </c>
      <c r="D55" s="51" t="s">
        <v>42</v>
      </c>
      <c r="E55" s="51" t="s">
        <v>14</v>
      </c>
      <c r="F55" s="51"/>
      <c r="G55" s="51">
        <f>COUNTA(C55:F60)</f>
        <v>15</v>
      </c>
      <c r="H55" s="45"/>
      <c r="I55" s="45"/>
      <c r="J55" s="45"/>
      <c r="K55" s="45"/>
    </row>
    <row r="56" spans="1:11" ht="14.5" customHeight="1">
      <c r="A56" s="50"/>
      <c r="B56"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6" s="50" t="s">
        <v>19</v>
      </c>
      <c r="D56" s="50" t="s">
        <v>29</v>
      </c>
      <c r="E56" s="50"/>
      <c r="F56" s="50"/>
      <c r="G56" s="50"/>
      <c r="H56" s="45"/>
      <c r="I56" s="45"/>
      <c r="J56" s="45"/>
      <c r="K56" s="45"/>
    </row>
    <row r="57" spans="1:11" ht="14.5" customHeight="1">
      <c r="A57" s="47"/>
      <c r="B57"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7" s="47" t="s">
        <v>49</v>
      </c>
      <c r="D57" s="47" t="s">
        <v>32</v>
      </c>
      <c r="E57" s="47"/>
      <c r="F57" s="47"/>
      <c r="G57" s="47"/>
      <c r="H57" s="45"/>
      <c r="I57" s="45"/>
      <c r="J57" s="45"/>
      <c r="K57" s="45"/>
    </row>
    <row r="58" spans="1:11" ht="14.5" customHeight="1">
      <c r="A58" s="47"/>
      <c r="B58"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8" s="47" t="s">
        <v>27</v>
      </c>
      <c r="D58" s="47" t="s">
        <v>22</v>
      </c>
      <c r="E58" s="47" t="s">
        <v>24</v>
      </c>
      <c r="F58" s="47"/>
      <c r="G58" s="47"/>
      <c r="H58" s="45"/>
      <c r="I58" s="45"/>
      <c r="J58" s="45"/>
      <c r="K58" s="45"/>
    </row>
    <row r="59" spans="1:11" ht="14.5" customHeight="1">
      <c r="A59" s="47"/>
      <c r="B59"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9" s="47" t="s">
        <v>46</v>
      </c>
      <c r="D59" s="47"/>
      <c r="E59" s="47"/>
      <c r="F59" s="47"/>
      <c r="G59" s="47"/>
      <c r="H59" s="45"/>
      <c r="I59" s="45"/>
      <c r="J59" s="45"/>
      <c r="K59" s="45"/>
    </row>
    <row r="60" spans="1:11" ht="14.5" customHeight="1" thickBot="1">
      <c r="A60" s="52"/>
      <c r="B60" s="52"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0" s="52" t="s">
        <v>41</v>
      </c>
      <c r="D60" s="52" t="s">
        <v>25</v>
      </c>
      <c r="E60" s="52" t="s">
        <v>15</v>
      </c>
      <c r="F60" s="52" t="s">
        <v>35</v>
      </c>
      <c r="G60" s="52"/>
      <c r="H60" s="45"/>
      <c r="I60" s="45"/>
      <c r="J60" s="45"/>
      <c r="K60" s="45"/>
    </row>
    <row r="61" spans="1:11" ht="14.5" customHeight="1">
      <c r="A61" s="45"/>
      <c r="B61" s="45"/>
      <c r="C61" s="45"/>
      <c r="D61" s="45"/>
      <c r="E61" s="45"/>
      <c r="F61" s="45"/>
      <c r="G61" s="45"/>
      <c r="H61" s="45"/>
      <c r="I61" s="45"/>
      <c r="J61" s="45"/>
      <c r="K61" s="45"/>
    </row>
    <row r="62" spans="1:11" ht="20" customHeight="1">
      <c r="A62" s="136" t="s">
        <v>806</v>
      </c>
      <c r="B62" s="136"/>
      <c r="C62" s="136"/>
      <c r="D62" s="136"/>
      <c r="E62" s="136"/>
      <c r="F62" s="136"/>
      <c r="G62" s="136"/>
      <c r="H62" s="136"/>
    </row>
    <row r="63" spans="1:11" ht="14.5" customHeight="1">
      <c r="A63" s="18"/>
      <c r="B63" s="19" t="s">
        <v>314</v>
      </c>
      <c r="C63" s="135" t="s">
        <v>763</v>
      </c>
      <c r="D63" s="135"/>
      <c r="E63" s="135"/>
      <c r="F63" s="135" t="s">
        <v>755</v>
      </c>
      <c r="G63" s="135"/>
      <c r="H63" s="18"/>
    </row>
    <row r="64" spans="1:11" ht="14.5" customHeight="1">
      <c r="A64" s="18"/>
      <c r="B64" s="20">
        <v>1</v>
      </c>
      <c r="C64" s="134" t="s">
        <v>943</v>
      </c>
      <c r="D64" s="134"/>
      <c r="E64" s="134"/>
      <c r="F64" s="134" t="s">
        <v>840</v>
      </c>
      <c r="G64" s="134"/>
      <c r="H64" s="18"/>
    </row>
    <row r="65" spans="1:8" ht="14.5" customHeight="1">
      <c r="A65" s="18"/>
      <c r="B65" s="20">
        <v>2</v>
      </c>
      <c r="C65" s="134" t="s">
        <v>944</v>
      </c>
      <c r="D65" s="134"/>
      <c r="E65" s="134"/>
      <c r="F65" s="134" t="s">
        <v>840</v>
      </c>
      <c r="G65" s="134"/>
      <c r="H65" s="18"/>
    </row>
    <row r="66" spans="1:8" ht="14.5" customHeight="1">
      <c r="A66" s="18"/>
      <c r="B66" s="20">
        <v>3</v>
      </c>
      <c r="C66" s="134" t="s">
        <v>945</v>
      </c>
      <c r="D66" s="134"/>
      <c r="E66" s="134"/>
      <c r="F66" s="134" t="s">
        <v>840</v>
      </c>
      <c r="G66" s="134"/>
      <c r="H66" s="18"/>
    </row>
    <row r="67" spans="1:8" ht="14.5" customHeight="1">
      <c r="A67" s="18"/>
      <c r="B67" s="20">
        <v>4</v>
      </c>
      <c r="C67" s="134" t="s">
        <v>946</v>
      </c>
      <c r="D67" s="134"/>
      <c r="E67" s="134"/>
      <c r="F67" s="134" t="s">
        <v>840</v>
      </c>
      <c r="G67" s="134"/>
      <c r="H67" s="18"/>
    </row>
    <row r="68" spans="1:8" ht="14.5" customHeight="1">
      <c r="A68" s="18"/>
      <c r="B68" s="20">
        <v>5</v>
      </c>
      <c r="C68" s="134" t="s">
        <v>947</v>
      </c>
      <c r="D68" s="134"/>
      <c r="E68" s="134"/>
      <c r="F68" s="134" t="s">
        <v>840</v>
      </c>
      <c r="G68" s="134"/>
      <c r="H68" s="18"/>
    </row>
    <row r="69" spans="1:8" ht="14.5" customHeight="1">
      <c r="A69" s="18"/>
      <c r="B69" s="20">
        <v>6</v>
      </c>
      <c r="C69" s="134" t="s">
        <v>948</v>
      </c>
      <c r="D69" s="134"/>
      <c r="E69" s="134"/>
      <c r="F69" s="134" t="s">
        <v>841</v>
      </c>
      <c r="G69" s="134"/>
      <c r="H69" s="18"/>
    </row>
    <row r="70" spans="1:8" ht="14.5" customHeight="1">
      <c r="A70" s="18"/>
      <c r="B70" s="20">
        <v>7</v>
      </c>
      <c r="C70" s="134" t="s">
        <v>949</v>
      </c>
      <c r="D70" s="134"/>
      <c r="E70" s="134"/>
      <c r="F70" s="134" t="s">
        <v>841</v>
      </c>
      <c r="G70" s="134"/>
      <c r="H70" s="18"/>
    </row>
    <row r="71" spans="1:8" ht="14.5" customHeight="1">
      <c r="A71" s="18"/>
      <c r="B71" s="20">
        <v>8</v>
      </c>
      <c r="C71" s="134" t="s">
        <v>950</v>
      </c>
      <c r="D71" s="134"/>
      <c r="E71" s="134"/>
      <c r="F71" s="134" t="s">
        <v>841</v>
      </c>
      <c r="G71" s="134"/>
      <c r="H71" s="18"/>
    </row>
    <row r="72" spans="1:8" ht="14.5" customHeight="1">
      <c r="A72" s="18"/>
      <c r="B72" s="20">
        <v>9</v>
      </c>
      <c r="C72" s="134" t="s">
        <v>951</v>
      </c>
      <c r="D72" s="134"/>
      <c r="E72" s="134"/>
      <c r="F72" s="134" t="s">
        <v>841</v>
      </c>
      <c r="G72" s="134"/>
      <c r="H72" s="18"/>
    </row>
    <row r="73" spans="1:8" ht="14.5" customHeight="1">
      <c r="A73" s="18"/>
      <c r="B73" s="20">
        <v>10</v>
      </c>
      <c r="C73" s="134" t="s">
        <v>952</v>
      </c>
      <c r="D73" s="134"/>
      <c r="E73" s="134"/>
      <c r="F73" s="134" t="s">
        <v>841</v>
      </c>
      <c r="G73" s="134"/>
      <c r="H73" s="18"/>
    </row>
    <row r="74" spans="1:8" ht="14.5" customHeight="1">
      <c r="A74" s="18"/>
      <c r="B74" s="18"/>
      <c r="C74" s="18"/>
      <c r="D74" s="18"/>
      <c r="E74" s="18"/>
      <c r="F74" s="18"/>
      <c r="G74" s="18"/>
      <c r="H74" s="18"/>
    </row>
    <row r="75" spans="1:8" ht="14.5" customHeight="1">
      <c r="A75" s="18"/>
      <c r="B75" s="18"/>
      <c r="C75" s="18"/>
      <c r="D75" s="18"/>
      <c r="E75" s="18"/>
      <c r="F75" s="18"/>
      <c r="G75" s="18"/>
      <c r="H75" s="18"/>
    </row>
    <row r="76" spans="1:8" ht="14.5" customHeight="1">
      <c r="A76" s="136" t="s">
        <v>807</v>
      </c>
      <c r="B76" s="136"/>
      <c r="C76" s="136"/>
      <c r="D76" s="136"/>
      <c r="E76" s="136"/>
      <c r="F76" s="136"/>
      <c r="G76" s="136"/>
      <c r="H76" s="136"/>
    </row>
    <row r="77" spans="1:8" ht="14.5" customHeight="1">
      <c r="A77" s="18"/>
      <c r="B77" s="19" t="s">
        <v>314</v>
      </c>
      <c r="C77" s="135" t="s">
        <v>763</v>
      </c>
      <c r="D77" s="135"/>
      <c r="E77" s="135"/>
      <c r="F77" s="135" t="s">
        <v>755</v>
      </c>
      <c r="G77" s="135"/>
      <c r="H77" s="18"/>
    </row>
    <row r="78" spans="1:8" ht="14.5">
      <c r="A78" s="18"/>
      <c r="B78" s="20">
        <v>1</v>
      </c>
      <c r="C78" s="134" t="s">
        <v>953</v>
      </c>
      <c r="D78" s="134"/>
      <c r="E78" s="134"/>
      <c r="F78" s="134" t="s">
        <v>847</v>
      </c>
      <c r="G78" s="134"/>
      <c r="H78" s="18"/>
    </row>
    <row r="79" spans="1:8" ht="14.5">
      <c r="A79" s="18"/>
      <c r="B79" s="20">
        <v>2</v>
      </c>
      <c r="C79" s="134" t="s">
        <v>954</v>
      </c>
      <c r="D79" s="134"/>
      <c r="E79" s="134"/>
      <c r="F79" s="134" t="s">
        <v>847</v>
      </c>
      <c r="G79" s="134"/>
      <c r="H79" s="18"/>
    </row>
    <row r="80" spans="1:8" ht="14.5">
      <c r="A80" s="18"/>
      <c r="B80" s="20">
        <v>3</v>
      </c>
      <c r="C80" s="134" t="s">
        <v>955</v>
      </c>
      <c r="D80" s="134"/>
      <c r="E80" s="134"/>
      <c r="F80" s="134" t="s">
        <v>847</v>
      </c>
      <c r="G80" s="134"/>
      <c r="H80" s="18"/>
    </row>
    <row r="81" spans="1:8" ht="14.5">
      <c r="A81" s="18"/>
      <c r="B81" s="20">
        <v>4</v>
      </c>
      <c r="C81" s="134" t="s">
        <v>956</v>
      </c>
      <c r="D81" s="134"/>
      <c r="E81" s="134"/>
      <c r="F81" s="134" t="s">
        <v>847</v>
      </c>
      <c r="G81" s="134"/>
      <c r="H81" s="18"/>
    </row>
    <row r="82" spans="1:8" ht="14.5">
      <c r="A82" s="18"/>
      <c r="B82" s="20">
        <v>5</v>
      </c>
      <c r="C82" s="134" t="s">
        <v>957</v>
      </c>
      <c r="D82" s="134"/>
      <c r="E82" s="134"/>
      <c r="F82" s="134" t="s">
        <v>847</v>
      </c>
      <c r="G82" s="134"/>
      <c r="H82" s="18"/>
    </row>
    <row r="83" spans="1:8" ht="14.5">
      <c r="A83" s="18"/>
      <c r="B83" s="20">
        <v>6</v>
      </c>
      <c r="C83" s="134" t="s">
        <v>958</v>
      </c>
      <c r="D83" s="134"/>
      <c r="E83" s="134"/>
      <c r="F83" s="134" t="s">
        <v>847</v>
      </c>
      <c r="G83" s="134"/>
      <c r="H83" s="18"/>
    </row>
    <row r="84" spans="1:8" ht="14.5">
      <c r="A84" s="18"/>
      <c r="B84" s="20">
        <v>7</v>
      </c>
      <c r="C84" s="134" t="s">
        <v>959</v>
      </c>
      <c r="D84" s="134"/>
      <c r="E84" s="134"/>
      <c r="F84" s="134" t="s">
        <v>847</v>
      </c>
      <c r="G84" s="134"/>
      <c r="H84" s="18"/>
    </row>
    <row r="85" spans="1:8" ht="14.5">
      <c r="A85" s="18"/>
      <c r="B85" s="20">
        <v>8</v>
      </c>
      <c r="C85" s="134" t="s">
        <v>960</v>
      </c>
      <c r="D85" s="134"/>
      <c r="E85" s="134"/>
      <c r="F85" s="134" t="s">
        <v>847</v>
      </c>
      <c r="G85" s="134"/>
      <c r="H85" s="18"/>
    </row>
    <row r="86" spans="1:8" ht="14.5">
      <c r="A86" s="18"/>
      <c r="B86" s="20">
        <v>9</v>
      </c>
      <c r="C86" s="134" t="s">
        <v>961</v>
      </c>
      <c r="D86" s="134"/>
      <c r="E86" s="134"/>
      <c r="F86" s="134" t="s">
        <v>847</v>
      </c>
      <c r="G86" s="134"/>
      <c r="H86" s="18"/>
    </row>
    <row r="87" spans="1:8" ht="14.5">
      <c r="A87" s="18"/>
      <c r="B87" s="20">
        <v>10</v>
      </c>
      <c r="C87" s="134" t="s">
        <v>962</v>
      </c>
      <c r="D87" s="134"/>
      <c r="E87" s="134"/>
      <c r="F87" s="134" t="s">
        <v>847</v>
      </c>
      <c r="G87" s="134"/>
      <c r="H87" s="18"/>
    </row>
    <row r="88" spans="1:8" ht="14.5">
      <c r="A88" s="18"/>
      <c r="B88" s="18"/>
      <c r="C88" s="18"/>
      <c r="D88" s="18"/>
      <c r="E88" s="18"/>
      <c r="F88" s="18"/>
      <c r="G88" s="18"/>
      <c r="H88" s="18"/>
    </row>
    <row r="89" spans="1:8" ht="14.5">
      <c r="A89" s="18"/>
      <c r="B89" s="18"/>
      <c r="C89" s="18"/>
      <c r="D89" s="18"/>
      <c r="E89" s="18"/>
      <c r="F89" s="18"/>
      <c r="G89" s="18"/>
      <c r="H89" s="18"/>
    </row>
    <row r="90" spans="1:8" ht="15.5">
      <c r="A90" s="136" t="s">
        <v>808</v>
      </c>
      <c r="B90" s="136"/>
      <c r="C90" s="136"/>
      <c r="D90" s="136"/>
      <c r="E90" s="136"/>
      <c r="F90" s="136"/>
      <c r="G90" s="136"/>
      <c r="H90" s="136"/>
    </row>
    <row r="91" spans="1:8" ht="14.5">
      <c r="A91" s="18"/>
      <c r="B91" s="19" t="s">
        <v>314</v>
      </c>
      <c r="C91" s="135" t="s">
        <v>763</v>
      </c>
      <c r="D91" s="135"/>
      <c r="E91" s="135"/>
      <c r="F91" s="135" t="s">
        <v>755</v>
      </c>
      <c r="G91" s="135"/>
      <c r="H91" s="18"/>
    </row>
    <row r="92" spans="1:8" ht="14.5">
      <c r="A92" s="18"/>
      <c r="B92" s="20">
        <v>1</v>
      </c>
      <c r="C92" s="134" t="s">
        <v>953</v>
      </c>
      <c r="D92" s="134"/>
      <c r="E92" s="134"/>
      <c r="F92" s="134" t="s">
        <v>847</v>
      </c>
      <c r="G92" s="134"/>
      <c r="H92" s="18"/>
    </row>
    <row r="93" spans="1:8" ht="14.5">
      <c r="A93" s="18"/>
      <c r="B93" s="20">
        <v>2</v>
      </c>
      <c r="C93" s="134" t="s">
        <v>954</v>
      </c>
      <c r="D93" s="134"/>
      <c r="E93" s="134"/>
      <c r="F93" s="134" t="s">
        <v>847</v>
      </c>
      <c r="G93" s="134"/>
      <c r="H93" s="18"/>
    </row>
    <row r="94" spans="1:8" ht="14.5">
      <c r="A94" s="18"/>
      <c r="B94" s="20">
        <v>3</v>
      </c>
      <c r="C94" s="134" t="s">
        <v>955</v>
      </c>
      <c r="D94" s="134"/>
      <c r="E94" s="134"/>
      <c r="F94" s="134" t="s">
        <v>847</v>
      </c>
      <c r="G94" s="134"/>
      <c r="H94" s="18"/>
    </row>
    <row r="95" spans="1:8" ht="14.5">
      <c r="A95" s="18"/>
      <c r="B95" s="20">
        <v>4</v>
      </c>
      <c r="C95" s="134" t="s">
        <v>956</v>
      </c>
      <c r="D95" s="134"/>
      <c r="E95" s="134"/>
      <c r="F95" s="134" t="s">
        <v>847</v>
      </c>
      <c r="G95" s="134"/>
      <c r="H95" s="18"/>
    </row>
    <row r="96" spans="1:8" ht="14.5">
      <c r="A96" s="18"/>
      <c r="B96" s="20">
        <v>5</v>
      </c>
      <c r="C96" s="134" t="s">
        <v>957</v>
      </c>
      <c r="D96" s="134"/>
      <c r="E96" s="134"/>
      <c r="F96" s="134" t="s">
        <v>847</v>
      </c>
      <c r="G96" s="134"/>
      <c r="H96" s="18"/>
    </row>
    <row r="97" spans="1:8" ht="14.5">
      <c r="A97" s="18"/>
      <c r="B97" s="20">
        <v>6</v>
      </c>
      <c r="C97" s="134" t="s">
        <v>958</v>
      </c>
      <c r="D97" s="134"/>
      <c r="E97" s="134"/>
      <c r="F97" s="134" t="s">
        <v>847</v>
      </c>
      <c r="G97" s="134"/>
      <c r="H97" s="18"/>
    </row>
    <row r="98" spans="1:8" ht="14.5">
      <c r="A98" s="18"/>
      <c r="B98" s="20">
        <v>7</v>
      </c>
      <c r="C98" s="134" t="s">
        <v>959</v>
      </c>
      <c r="D98" s="134"/>
      <c r="E98" s="134"/>
      <c r="F98" s="134" t="s">
        <v>847</v>
      </c>
      <c r="G98" s="134"/>
      <c r="H98" s="18"/>
    </row>
    <row r="99" spans="1:8" ht="14.5">
      <c r="A99" s="18"/>
      <c r="B99" s="20">
        <v>8</v>
      </c>
      <c r="C99" s="134" t="s">
        <v>960</v>
      </c>
      <c r="D99" s="134"/>
      <c r="E99" s="134"/>
      <c r="F99" s="134" t="s">
        <v>847</v>
      </c>
      <c r="G99" s="134"/>
      <c r="H99" s="18"/>
    </row>
    <row r="100" spans="1:8" ht="14.5">
      <c r="A100" s="18"/>
      <c r="B100" s="20">
        <v>9</v>
      </c>
      <c r="C100" s="134" t="s">
        <v>961</v>
      </c>
      <c r="D100" s="134"/>
      <c r="E100" s="134"/>
      <c r="F100" s="134" t="s">
        <v>847</v>
      </c>
      <c r="G100" s="134"/>
      <c r="H100" s="18"/>
    </row>
    <row r="101" spans="1:8" ht="14.5">
      <c r="A101" s="18"/>
      <c r="B101" s="20">
        <v>10</v>
      </c>
      <c r="C101" s="134" t="s">
        <v>962</v>
      </c>
      <c r="D101" s="134"/>
      <c r="E101" s="134"/>
      <c r="F101" s="134" t="s">
        <v>847</v>
      </c>
      <c r="G101" s="134"/>
      <c r="H101" s="18"/>
    </row>
    <row r="102" spans="1:8" ht="14.5">
      <c r="A102" s="18"/>
      <c r="B102" s="18"/>
      <c r="C102" s="18"/>
      <c r="D102" s="18"/>
      <c r="E102" s="18"/>
      <c r="F102" s="18"/>
      <c r="G102" s="18"/>
      <c r="H102" s="18"/>
    </row>
    <row r="103" spans="1:8" ht="14.5">
      <c r="A103" s="18"/>
      <c r="B103" s="18"/>
      <c r="C103" s="18"/>
      <c r="D103" s="18"/>
      <c r="E103" s="18"/>
      <c r="F103" s="18"/>
      <c r="G103" s="18"/>
      <c r="H103" s="18"/>
    </row>
  </sheetData>
  <mergeCells count="71">
    <mergeCell ref="C64:E64"/>
    <mergeCell ref="F64:G64"/>
    <mergeCell ref="C65:E65"/>
    <mergeCell ref="F65:G65"/>
    <mergeCell ref="C66:E66"/>
    <mergeCell ref="F66:G66"/>
    <mergeCell ref="A1:K1"/>
    <mergeCell ref="C2:F2"/>
    <mergeCell ref="A62:H62"/>
    <mergeCell ref="C63:E63"/>
    <mergeCell ref="F63:G63"/>
    <mergeCell ref="C67:E67"/>
    <mergeCell ref="F67:G67"/>
    <mergeCell ref="C68:E68"/>
    <mergeCell ref="F68:G68"/>
    <mergeCell ref="C69:E69"/>
    <mergeCell ref="F69:G69"/>
    <mergeCell ref="C70:E70"/>
    <mergeCell ref="F70:G70"/>
    <mergeCell ref="C71:E71"/>
    <mergeCell ref="F71:G71"/>
    <mergeCell ref="C72:E72"/>
    <mergeCell ref="F72:G72"/>
    <mergeCell ref="C73:E73"/>
    <mergeCell ref="F73:G73"/>
    <mergeCell ref="A76:H76"/>
    <mergeCell ref="C77:E77"/>
    <mergeCell ref="F77:G77"/>
    <mergeCell ref="C78:E78"/>
    <mergeCell ref="F78:G78"/>
    <mergeCell ref="C79:E79"/>
    <mergeCell ref="F79:G79"/>
    <mergeCell ref="C80:E80"/>
    <mergeCell ref="F80:G80"/>
    <mergeCell ref="C81:E81"/>
    <mergeCell ref="F81:G81"/>
    <mergeCell ref="C82:E82"/>
    <mergeCell ref="F82:G82"/>
    <mergeCell ref="C83:E83"/>
    <mergeCell ref="F83:G83"/>
    <mergeCell ref="C84:E84"/>
    <mergeCell ref="F84:G84"/>
    <mergeCell ref="C85:E85"/>
    <mergeCell ref="F85:G85"/>
    <mergeCell ref="C86:E86"/>
    <mergeCell ref="F86:G86"/>
    <mergeCell ref="C87:E87"/>
    <mergeCell ref="F87:G87"/>
    <mergeCell ref="A90:H90"/>
    <mergeCell ref="C91:E91"/>
    <mergeCell ref="F91:G91"/>
    <mergeCell ref="C92:E92"/>
    <mergeCell ref="F92:G92"/>
    <mergeCell ref="C93:E93"/>
    <mergeCell ref="F93:G93"/>
    <mergeCell ref="C94:E94"/>
    <mergeCell ref="F94:G94"/>
    <mergeCell ref="C95:E95"/>
    <mergeCell ref="F95:G95"/>
    <mergeCell ref="C96:E96"/>
    <mergeCell ref="F96:G96"/>
    <mergeCell ref="C97:E97"/>
    <mergeCell ref="F97:G97"/>
    <mergeCell ref="C101:E101"/>
    <mergeCell ref="F101:G101"/>
    <mergeCell ref="C98:E98"/>
    <mergeCell ref="F98:G98"/>
    <mergeCell ref="C99:E99"/>
    <mergeCell ref="F99:G99"/>
    <mergeCell ref="C100:E100"/>
    <mergeCell ref="F100:G10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D5C0-45D6-41C9-981D-CF40B015E299}">
  <dimension ref="A1:L106"/>
  <sheetViews>
    <sheetView showGridLines="0" rightToLeft="1" workbookViewId="0">
      <pane ySplit="3" topLeftCell="A64" activePane="bottomLeft" state="frozen"/>
      <selection pane="bottomLeft" activeCell="F94" sqref="C94:G104"/>
    </sheetView>
  </sheetViews>
  <sheetFormatPr defaultRowHeight="14"/>
  <cols>
    <col min="1" max="1" width="15.83203125" customWidth="1"/>
    <col min="2" max="2" width="17.5" customWidth="1"/>
    <col min="3" max="6" width="13" customWidth="1"/>
    <col min="7" max="7" width="17.5" customWidth="1"/>
    <col min="8" max="12" width="13" customWidth="1"/>
  </cols>
  <sheetData>
    <row r="1" spans="1:12" ht="26" customHeight="1">
      <c r="A1" s="119" t="s">
        <v>469</v>
      </c>
      <c r="B1" s="119"/>
      <c r="C1" s="119"/>
      <c r="D1" s="119"/>
      <c r="E1" s="119"/>
      <c r="F1" s="119"/>
      <c r="G1" s="119"/>
      <c r="H1" s="119"/>
      <c r="I1" s="119"/>
      <c r="J1" s="119"/>
      <c r="K1" s="119"/>
      <c r="L1" s="119"/>
    </row>
    <row r="2" spans="1:12" ht="20" customHeight="1">
      <c r="A2" s="49"/>
      <c r="B2" s="49"/>
      <c r="C2" s="137" t="s">
        <v>454</v>
      </c>
      <c r="D2" s="137"/>
      <c r="E2" s="137"/>
      <c r="F2" s="137"/>
      <c r="G2" s="49"/>
      <c r="H2" s="45"/>
      <c r="I2" s="45"/>
      <c r="J2" s="45"/>
      <c r="K2" s="45"/>
      <c r="L2" s="45"/>
    </row>
    <row r="3" spans="1:12" ht="32" customHeight="1" thickBot="1">
      <c r="A3" s="49" t="s">
        <v>426</v>
      </c>
      <c r="B3" s="49" t="s">
        <v>7</v>
      </c>
      <c r="C3" s="49" t="s">
        <v>8</v>
      </c>
      <c r="D3" s="49" t="s">
        <v>9</v>
      </c>
      <c r="E3" s="49" t="s">
        <v>84</v>
      </c>
      <c r="F3" s="49" t="s">
        <v>119</v>
      </c>
      <c r="G3" s="49" t="s">
        <v>427</v>
      </c>
      <c r="H3" s="45"/>
      <c r="I3" s="45"/>
      <c r="J3" s="45"/>
      <c r="K3" s="45"/>
      <c r="L3" s="45"/>
    </row>
    <row r="4" spans="1:12"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14</v>
      </c>
      <c r="D4" s="51" t="s">
        <v>35</v>
      </c>
      <c r="E4" s="51" t="s">
        <v>52</v>
      </c>
      <c r="F4" s="51"/>
      <c r="G4" s="51">
        <f>COUNTA(C4:F12)</f>
        <v>22</v>
      </c>
      <c r="H4" s="45"/>
      <c r="I4" s="45"/>
      <c r="J4" s="45"/>
      <c r="K4" s="45"/>
      <c r="L4" s="45"/>
    </row>
    <row r="5" spans="1:12"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15</v>
      </c>
      <c r="D5" s="50" t="s">
        <v>64</v>
      </c>
      <c r="E5" s="50"/>
      <c r="F5" s="50"/>
      <c r="G5" s="50"/>
      <c r="H5" s="45"/>
      <c r="I5" s="45"/>
      <c r="J5" s="45"/>
      <c r="K5" s="45"/>
      <c r="L5" s="45"/>
    </row>
    <row r="6" spans="1:12"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43</v>
      </c>
      <c r="D6" s="47" t="s">
        <v>28</v>
      </c>
      <c r="E6" s="47"/>
      <c r="F6" s="47"/>
      <c r="G6" s="47"/>
      <c r="H6" s="45"/>
      <c r="I6" s="45"/>
      <c r="J6" s="45"/>
      <c r="K6" s="45"/>
      <c r="L6" s="45"/>
    </row>
    <row r="7" spans="1:12"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51</v>
      </c>
      <c r="D7" s="47" t="s">
        <v>31</v>
      </c>
      <c r="E7" s="47" t="s">
        <v>16</v>
      </c>
      <c r="F7" s="47"/>
      <c r="G7" s="47"/>
      <c r="H7" s="45"/>
      <c r="I7" s="45"/>
      <c r="J7" s="45"/>
      <c r="K7" s="45"/>
      <c r="L7" s="45"/>
    </row>
    <row r="8" spans="1:12"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45</v>
      </c>
      <c r="D8" s="47" t="s">
        <v>57</v>
      </c>
      <c r="E8" s="47"/>
      <c r="F8" s="47"/>
      <c r="G8" s="47"/>
      <c r="H8" s="45"/>
      <c r="I8" s="45"/>
      <c r="J8" s="45"/>
      <c r="K8" s="45"/>
      <c r="L8" s="45"/>
    </row>
    <row r="9" spans="1:12"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10</v>
      </c>
      <c r="D9" s="47" t="s">
        <v>12</v>
      </c>
      <c r="E9" s="47"/>
      <c r="F9" s="47"/>
      <c r="G9" s="47"/>
      <c r="H9" s="45"/>
      <c r="I9" s="45"/>
      <c r="J9" s="45"/>
      <c r="K9" s="45"/>
      <c r="L9" s="45"/>
    </row>
    <row r="10" spans="1:12"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46</v>
      </c>
      <c r="D10" s="47" t="s">
        <v>55</v>
      </c>
      <c r="E10" s="47" t="s">
        <v>36</v>
      </c>
      <c r="F10" s="47"/>
      <c r="G10" s="47"/>
      <c r="H10" s="45"/>
      <c r="I10" s="45"/>
      <c r="J10" s="45"/>
      <c r="K10" s="45"/>
      <c r="L10" s="45"/>
    </row>
    <row r="11" spans="1:12"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29</v>
      </c>
      <c r="D11" s="47" t="s">
        <v>19</v>
      </c>
      <c r="E11" s="47"/>
      <c r="F11" s="47"/>
      <c r="G11" s="47"/>
      <c r="H11" s="45"/>
      <c r="I11" s="45"/>
      <c r="J11" s="45"/>
      <c r="K11" s="45"/>
      <c r="L11" s="45"/>
    </row>
    <row r="12" spans="1:12"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59</v>
      </c>
      <c r="D12" s="48" t="s">
        <v>34</v>
      </c>
      <c r="E12" s="48" t="s">
        <v>42</v>
      </c>
      <c r="F12" s="48"/>
      <c r="G12" s="48"/>
      <c r="H12" s="45"/>
      <c r="I12" s="45"/>
      <c r="J12" s="45"/>
      <c r="K12" s="45"/>
      <c r="L12" s="45"/>
    </row>
    <row r="13" spans="1:12"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41</v>
      </c>
      <c r="D13" s="51" t="s">
        <v>58</v>
      </c>
      <c r="E13" s="51"/>
      <c r="F13" s="51"/>
      <c r="G13" s="51">
        <f>COUNTA(C13:F21)</f>
        <v>22</v>
      </c>
      <c r="H13" s="45"/>
      <c r="I13" s="45"/>
      <c r="J13" s="45"/>
      <c r="K13" s="45"/>
      <c r="L13" s="45"/>
    </row>
    <row r="14" spans="1:12"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22</v>
      </c>
      <c r="D14" s="50"/>
      <c r="E14" s="50"/>
      <c r="F14" s="50"/>
      <c r="G14" s="50"/>
      <c r="H14" s="45"/>
      <c r="I14" s="45"/>
      <c r="J14" s="45"/>
      <c r="K14" s="45"/>
      <c r="L14" s="45"/>
    </row>
    <row r="15" spans="1:12"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54</v>
      </c>
      <c r="D15" s="47" t="s">
        <v>27</v>
      </c>
      <c r="E15" s="47" t="s">
        <v>39</v>
      </c>
      <c r="F15" s="47" t="s">
        <v>56</v>
      </c>
      <c r="G15" s="47"/>
      <c r="H15" s="45"/>
      <c r="I15" s="45"/>
      <c r="J15" s="45"/>
      <c r="K15" s="45"/>
      <c r="L15" s="45"/>
    </row>
    <row r="16" spans="1:12"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17</v>
      </c>
      <c r="D16" s="47"/>
      <c r="E16" s="47"/>
      <c r="F16" s="47"/>
      <c r="G16" s="47"/>
      <c r="H16" s="45"/>
      <c r="I16" s="45"/>
      <c r="J16" s="45"/>
      <c r="K16" s="45"/>
      <c r="L16" s="45"/>
    </row>
    <row r="17" spans="1:12"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23</v>
      </c>
      <c r="D17" s="47" t="s">
        <v>62</v>
      </c>
      <c r="E17" s="47" t="s">
        <v>26</v>
      </c>
      <c r="F17" s="47" t="s">
        <v>48</v>
      </c>
      <c r="G17" s="47"/>
      <c r="H17" s="45"/>
      <c r="I17" s="45"/>
      <c r="J17" s="45"/>
      <c r="K17" s="45"/>
      <c r="L17" s="45"/>
    </row>
    <row r="18" spans="1:12"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38</v>
      </c>
      <c r="D18" s="47"/>
      <c r="E18" s="47"/>
      <c r="F18" s="47"/>
      <c r="G18" s="47"/>
      <c r="H18" s="45"/>
      <c r="I18" s="45"/>
      <c r="J18" s="45"/>
      <c r="K18" s="45"/>
      <c r="L18" s="45"/>
    </row>
    <row r="19" spans="1:12"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30</v>
      </c>
      <c r="D19" s="47" t="s">
        <v>32</v>
      </c>
      <c r="E19" s="47" t="s">
        <v>24</v>
      </c>
      <c r="F19" s="47" t="s">
        <v>50</v>
      </c>
      <c r="G19" s="47"/>
      <c r="H19" s="45"/>
      <c r="I19" s="45"/>
      <c r="J19" s="45"/>
      <c r="K19" s="45"/>
      <c r="L19" s="45"/>
    </row>
    <row r="20" spans="1:12"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61</v>
      </c>
      <c r="D20" s="47"/>
      <c r="E20" s="47"/>
      <c r="F20" s="47"/>
      <c r="G20" s="47"/>
      <c r="H20" s="45"/>
      <c r="I20" s="45"/>
      <c r="J20" s="45"/>
      <c r="K20" s="45"/>
      <c r="L20" s="45"/>
    </row>
    <row r="21" spans="1:12"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11</v>
      </c>
      <c r="D21" s="48" t="s">
        <v>33</v>
      </c>
      <c r="E21" s="48" t="s">
        <v>40</v>
      </c>
      <c r="F21" s="48" t="s">
        <v>47</v>
      </c>
      <c r="G21" s="48"/>
      <c r="H21" s="45"/>
      <c r="I21" s="45"/>
      <c r="J21" s="45"/>
      <c r="K21" s="45"/>
      <c r="L21" s="45"/>
    </row>
    <row r="22" spans="1:12"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49</v>
      </c>
      <c r="D22" s="51" t="s">
        <v>18</v>
      </c>
      <c r="E22" s="51"/>
      <c r="F22" s="51"/>
      <c r="G22" s="51">
        <f>COUNTA(C22:F31)</f>
        <v>22</v>
      </c>
      <c r="H22" s="45"/>
      <c r="I22" s="45"/>
      <c r="J22" s="45"/>
      <c r="K22" s="45"/>
      <c r="L22" s="45"/>
    </row>
    <row r="23" spans="1:12"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37</v>
      </c>
      <c r="D23" s="50" t="s">
        <v>25</v>
      </c>
      <c r="E23" s="50"/>
      <c r="F23" s="50"/>
      <c r="G23" s="50"/>
      <c r="H23" s="45"/>
      <c r="I23" s="45"/>
      <c r="J23" s="45"/>
      <c r="K23" s="45"/>
      <c r="L23" s="45"/>
    </row>
    <row r="24" spans="1:12"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53</v>
      </c>
      <c r="D24" s="47" t="s">
        <v>60</v>
      </c>
      <c r="E24" s="47" t="s">
        <v>21</v>
      </c>
      <c r="F24" s="47"/>
      <c r="G24" s="47"/>
      <c r="H24" s="45"/>
      <c r="I24" s="45"/>
      <c r="J24" s="45"/>
      <c r="K24" s="45"/>
      <c r="L24" s="45"/>
    </row>
    <row r="25" spans="1:12"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44</v>
      </c>
      <c r="D25" s="47"/>
      <c r="E25" s="47"/>
      <c r="F25" s="47"/>
      <c r="G25" s="47"/>
      <c r="H25" s="45"/>
      <c r="I25" s="45"/>
      <c r="J25" s="45"/>
      <c r="K25" s="45"/>
      <c r="L25" s="45"/>
    </row>
    <row r="26" spans="1:12"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63</v>
      </c>
      <c r="D26" s="47" t="s">
        <v>20</v>
      </c>
      <c r="E26" s="47" t="s">
        <v>13</v>
      </c>
      <c r="F26" s="47"/>
      <c r="G26" s="47"/>
      <c r="H26" s="45"/>
      <c r="I26" s="45"/>
      <c r="J26" s="45"/>
      <c r="K26" s="45"/>
      <c r="L26" s="45"/>
    </row>
    <row r="27" spans="1:12"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46</v>
      </c>
      <c r="D27" s="47" t="s">
        <v>31</v>
      </c>
      <c r="E27" s="47"/>
      <c r="F27" s="47"/>
      <c r="G27" s="47"/>
      <c r="H27" s="45"/>
      <c r="I27" s="45"/>
      <c r="J27" s="45"/>
      <c r="K27" s="45"/>
      <c r="L27" s="45"/>
    </row>
    <row r="28" spans="1:12"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27</v>
      </c>
      <c r="D28" s="47" t="s">
        <v>62</v>
      </c>
      <c r="E28" s="47" t="s">
        <v>43</v>
      </c>
      <c r="F28" s="47"/>
      <c r="G28" s="47"/>
      <c r="H28" s="45"/>
      <c r="I28" s="45"/>
      <c r="J28" s="45"/>
      <c r="K28" s="45"/>
      <c r="L28" s="45"/>
    </row>
    <row r="29" spans="1:12"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51</v>
      </c>
      <c r="D29" s="47"/>
      <c r="E29" s="47"/>
      <c r="F29" s="47"/>
      <c r="G29" s="47"/>
      <c r="H29" s="45"/>
      <c r="I29" s="45"/>
      <c r="J29" s="45"/>
      <c r="K29" s="45"/>
      <c r="L29" s="45"/>
    </row>
    <row r="30" spans="1:12" ht="14.5" customHeight="1">
      <c r="A30" s="47"/>
      <c r="B3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7" t="s">
        <v>24</v>
      </c>
      <c r="D30" s="47" t="s">
        <v>45</v>
      </c>
      <c r="E30" s="47" t="s">
        <v>16</v>
      </c>
      <c r="F30" s="47" t="s">
        <v>32</v>
      </c>
      <c r="G30" s="47"/>
      <c r="H30" s="45"/>
      <c r="I30" s="45"/>
      <c r="J30" s="45"/>
      <c r="K30" s="45"/>
      <c r="L30" s="45"/>
    </row>
    <row r="31" spans="1:12" ht="14.5" customHeight="1" thickBot="1">
      <c r="A31" s="48"/>
      <c r="B3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31" s="48" t="s">
        <v>61</v>
      </c>
      <c r="D31" s="48"/>
      <c r="E31" s="48"/>
      <c r="F31" s="48"/>
      <c r="G31" s="48"/>
      <c r="H31" s="45"/>
      <c r="I31" s="45"/>
      <c r="J31" s="45"/>
      <c r="K31" s="45"/>
      <c r="L31" s="45"/>
    </row>
    <row r="32" spans="1:12"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19</v>
      </c>
      <c r="D32" s="51"/>
      <c r="E32" s="51"/>
      <c r="F32" s="51"/>
      <c r="G32" s="51">
        <f>COUNTA(C32:F41)</f>
        <v>22</v>
      </c>
      <c r="H32" s="45"/>
      <c r="I32" s="45"/>
      <c r="J32" s="45"/>
      <c r="K32" s="45"/>
      <c r="L32" s="45"/>
    </row>
    <row r="33" spans="1:12"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39</v>
      </c>
      <c r="D33" s="50" t="s">
        <v>34</v>
      </c>
      <c r="E33" s="50"/>
      <c r="F33" s="50"/>
      <c r="G33" s="50"/>
      <c r="H33" s="45"/>
      <c r="I33" s="45"/>
      <c r="J33" s="45"/>
      <c r="K33" s="45"/>
      <c r="L33" s="45"/>
    </row>
    <row r="34" spans="1:12"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22</v>
      </c>
      <c r="D34" s="47"/>
      <c r="E34" s="47"/>
      <c r="F34" s="47"/>
      <c r="G34" s="47"/>
      <c r="H34" s="45"/>
      <c r="I34" s="45"/>
      <c r="J34" s="45"/>
      <c r="K34" s="45"/>
      <c r="L34" s="45"/>
    </row>
    <row r="35" spans="1:12"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58</v>
      </c>
      <c r="D35" s="47" t="s">
        <v>40</v>
      </c>
      <c r="E35" s="47" t="s">
        <v>50</v>
      </c>
      <c r="F35" s="47" t="s">
        <v>28</v>
      </c>
      <c r="G35" s="47"/>
      <c r="H35" s="45"/>
      <c r="I35" s="45"/>
      <c r="J35" s="45"/>
      <c r="K35" s="45"/>
      <c r="L35" s="45"/>
    </row>
    <row r="36" spans="1:12"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35</v>
      </c>
      <c r="D36" s="47"/>
      <c r="E36" s="47"/>
      <c r="F36" s="47"/>
      <c r="G36" s="47"/>
      <c r="H36" s="45"/>
      <c r="I36" s="45"/>
      <c r="J36" s="45"/>
      <c r="K36" s="45"/>
      <c r="L36" s="45"/>
    </row>
    <row r="37" spans="1:12"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25</v>
      </c>
      <c r="D37" s="47" t="s">
        <v>53</v>
      </c>
      <c r="E37" s="47" t="s">
        <v>41</v>
      </c>
      <c r="F37" s="47" t="s">
        <v>57</v>
      </c>
      <c r="G37" s="47"/>
      <c r="H37" s="45"/>
      <c r="I37" s="45"/>
      <c r="J37" s="45"/>
      <c r="K37" s="45"/>
      <c r="L37" s="45"/>
    </row>
    <row r="38" spans="1:12"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12</v>
      </c>
      <c r="D38" s="47"/>
      <c r="E38" s="47"/>
      <c r="F38" s="47"/>
      <c r="G38" s="47"/>
      <c r="H38" s="45"/>
      <c r="I38" s="45"/>
      <c r="J38" s="45"/>
      <c r="K38" s="45"/>
      <c r="L38" s="45"/>
    </row>
    <row r="39" spans="1:12"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52</v>
      </c>
      <c r="D39" s="47" t="s">
        <v>56</v>
      </c>
      <c r="E39" s="47" t="s">
        <v>42</v>
      </c>
      <c r="F39" s="47"/>
      <c r="G39" s="47"/>
      <c r="H39" s="45"/>
      <c r="I39" s="45"/>
      <c r="J39" s="45"/>
      <c r="K39" s="45"/>
      <c r="L39" s="45"/>
    </row>
    <row r="40" spans="1:12" ht="14.5" customHeight="1">
      <c r="A40" s="47"/>
      <c r="B4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7" t="s">
        <v>14</v>
      </c>
      <c r="D40" s="47" t="s">
        <v>13</v>
      </c>
      <c r="E40" s="47"/>
      <c r="F40" s="47"/>
      <c r="G40" s="47"/>
      <c r="H40" s="45"/>
      <c r="I40" s="45"/>
      <c r="J40" s="45"/>
      <c r="K40" s="45"/>
      <c r="L40" s="45"/>
    </row>
    <row r="41" spans="1:12" ht="14.5" customHeight="1" thickBot="1">
      <c r="A41" s="48"/>
      <c r="B4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41" s="48" t="s">
        <v>59</v>
      </c>
      <c r="D41" s="48" t="s">
        <v>36</v>
      </c>
      <c r="E41" s="48" t="s">
        <v>26</v>
      </c>
      <c r="F41" s="48"/>
      <c r="G41" s="48"/>
      <c r="H41" s="45"/>
      <c r="I41" s="45"/>
      <c r="J41" s="45"/>
      <c r="K41" s="45"/>
      <c r="L41" s="45"/>
    </row>
    <row r="42" spans="1:12" ht="14.5" customHeight="1">
      <c r="A42" s="51" t="s">
        <v>432</v>
      </c>
      <c r="B4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2" s="51" t="s">
        <v>21</v>
      </c>
      <c r="D42" s="51"/>
      <c r="E42" s="51"/>
      <c r="F42" s="51"/>
      <c r="G42" s="51">
        <f>COUNTA(C42:F51)</f>
        <v>22</v>
      </c>
      <c r="H42" s="45"/>
      <c r="I42" s="45"/>
      <c r="J42" s="45"/>
      <c r="K42" s="45"/>
      <c r="L42" s="45"/>
    </row>
    <row r="43" spans="1:12" ht="14.5" customHeight="1">
      <c r="A43" s="50"/>
      <c r="B4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3" s="50" t="s">
        <v>37</v>
      </c>
      <c r="D43" s="50" t="s">
        <v>15</v>
      </c>
      <c r="E43" s="50"/>
      <c r="F43" s="50"/>
      <c r="G43" s="50"/>
      <c r="H43" s="45"/>
      <c r="I43" s="45"/>
      <c r="J43" s="45"/>
      <c r="K43" s="45"/>
      <c r="L43" s="45"/>
    </row>
    <row r="44" spans="1:12" ht="14.5" customHeight="1">
      <c r="A44" s="47"/>
      <c r="B4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4" s="47" t="s">
        <v>47</v>
      </c>
      <c r="D44" s="47" t="s">
        <v>29</v>
      </c>
      <c r="E44" s="47"/>
      <c r="F44" s="47"/>
      <c r="G44" s="47"/>
      <c r="H44" s="45"/>
      <c r="I44" s="45"/>
      <c r="J44" s="45"/>
      <c r="K44" s="45"/>
      <c r="L44" s="45"/>
    </row>
    <row r="45" spans="1:12" ht="14.5" customHeight="1">
      <c r="A45" s="47"/>
      <c r="B4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5" s="47" t="s">
        <v>23</v>
      </c>
      <c r="D45" s="47" t="s">
        <v>44</v>
      </c>
      <c r="E45" s="47" t="s">
        <v>60</v>
      </c>
      <c r="F45" s="47"/>
      <c r="G45" s="47"/>
      <c r="H45" s="45"/>
      <c r="I45" s="45"/>
      <c r="J45" s="45"/>
      <c r="K45" s="45"/>
      <c r="L45" s="45"/>
    </row>
    <row r="46" spans="1:12" ht="14.5" customHeight="1">
      <c r="A46" s="47"/>
      <c r="B4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6" s="47" t="s">
        <v>20</v>
      </c>
      <c r="D46" s="47"/>
      <c r="E46" s="47"/>
      <c r="F46" s="47"/>
      <c r="G46" s="47"/>
      <c r="H46" s="45"/>
      <c r="I46" s="45"/>
      <c r="J46" s="45"/>
      <c r="K46" s="45"/>
      <c r="L46" s="45"/>
    </row>
    <row r="47" spans="1:12" ht="14.5" customHeight="1">
      <c r="A47" s="47"/>
      <c r="B4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7" s="47" t="s">
        <v>63</v>
      </c>
      <c r="D47" s="47" t="s">
        <v>38</v>
      </c>
      <c r="E47" s="47" t="s">
        <v>48</v>
      </c>
      <c r="F47" s="47" t="s">
        <v>18</v>
      </c>
      <c r="G47" s="47"/>
      <c r="H47" s="45"/>
      <c r="I47" s="45"/>
      <c r="J47" s="45"/>
      <c r="K47" s="45"/>
      <c r="L47" s="45"/>
    </row>
    <row r="48" spans="1:12" ht="14.5" customHeight="1">
      <c r="A48" s="47"/>
      <c r="B4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8" s="47" t="s">
        <v>10</v>
      </c>
      <c r="D48" s="47"/>
      <c r="E48" s="47"/>
      <c r="F48" s="47"/>
      <c r="G48" s="47"/>
      <c r="H48" s="45"/>
      <c r="I48" s="45"/>
      <c r="J48" s="45"/>
      <c r="K48" s="45"/>
      <c r="L48" s="45"/>
    </row>
    <row r="49" spans="1:12" ht="14.5" customHeight="1">
      <c r="A49" s="47"/>
      <c r="B4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9" s="47" t="s">
        <v>33</v>
      </c>
      <c r="D49" s="47" t="s">
        <v>55</v>
      </c>
      <c r="E49" s="47" t="s">
        <v>54</v>
      </c>
      <c r="F49" s="47" t="s">
        <v>11</v>
      </c>
      <c r="G49" s="47"/>
      <c r="H49" s="45"/>
      <c r="I49" s="45"/>
      <c r="J49" s="45"/>
      <c r="K49" s="45"/>
      <c r="L49" s="45"/>
    </row>
    <row r="50" spans="1:12" ht="14.5" customHeight="1">
      <c r="A50" s="47"/>
      <c r="B5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0" s="47" t="s">
        <v>17</v>
      </c>
      <c r="D50" s="47"/>
      <c r="E50" s="47"/>
      <c r="F50" s="47"/>
      <c r="G50" s="47"/>
      <c r="H50" s="45"/>
      <c r="I50" s="45"/>
      <c r="J50" s="45"/>
      <c r="K50" s="45"/>
      <c r="L50" s="45"/>
    </row>
    <row r="51" spans="1:12" ht="14.5" customHeight="1" thickBot="1">
      <c r="A51" s="48"/>
      <c r="B5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1" s="48" t="s">
        <v>64</v>
      </c>
      <c r="D51" s="48" t="s">
        <v>49</v>
      </c>
      <c r="E51" s="48" t="s">
        <v>30</v>
      </c>
      <c r="F51" s="48"/>
      <c r="G51" s="48"/>
      <c r="H51" s="45"/>
      <c r="I51" s="45"/>
      <c r="J51" s="45"/>
      <c r="K51" s="45"/>
      <c r="L51" s="45"/>
    </row>
    <row r="52" spans="1:12" ht="14.5" customHeight="1">
      <c r="A52" s="51" t="s">
        <v>434</v>
      </c>
      <c r="B5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2" s="51" t="s">
        <v>36</v>
      </c>
      <c r="D52" s="51"/>
      <c r="E52" s="51"/>
      <c r="F52" s="51"/>
      <c r="G52" s="51">
        <f>COUNTA(C52:F61)</f>
        <v>22</v>
      </c>
      <c r="H52" s="45"/>
      <c r="I52" s="45"/>
      <c r="J52" s="45"/>
      <c r="K52" s="45"/>
      <c r="L52" s="45"/>
    </row>
    <row r="53" spans="1:12" ht="14.5" customHeight="1">
      <c r="A53" s="50"/>
      <c r="B5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3" s="50" t="s">
        <v>26</v>
      </c>
      <c r="D53" s="50" t="s">
        <v>59</v>
      </c>
      <c r="E53" s="50" t="s">
        <v>14</v>
      </c>
      <c r="F53" s="50"/>
      <c r="G53" s="50"/>
      <c r="H53" s="45"/>
      <c r="I53" s="45"/>
      <c r="J53" s="45"/>
      <c r="K53" s="45"/>
      <c r="L53" s="45"/>
    </row>
    <row r="54" spans="1:12" ht="14.5" customHeight="1">
      <c r="A54" s="47"/>
      <c r="B5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4" s="47" t="s">
        <v>37</v>
      </c>
      <c r="D54" s="47"/>
      <c r="E54" s="47"/>
      <c r="F54" s="47"/>
      <c r="G54" s="47"/>
      <c r="H54" s="45"/>
      <c r="I54" s="45"/>
      <c r="J54" s="45"/>
      <c r="K54" s="45"/>
      <c r="L54" s="45"/>
    </row>
    <row r="55" spans="1:12" ht="14.5" customHeight="1">
      <c r="A55" s="47"/>
      <c r="B5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5" s="47" t="s">
        <v>42</v>
      </c>
      <c r="D55" s="47" t="s">
        <v>47</v>
      </c>
      <c r="E55" s="47" t="s">
        <v>61</v>
      </c>
      <c r="F55" s="47" t="s">
        <v>18</v>
      </c>
      <c r="G55" s="47"/>
      <c r="H55" s="45"/>
      <c r="I55" s="45"/>
      <c r="J55" s="45"/>
      <c r="K55" s="45"/>
      <c r="L55" s="45"/>
    </row>
    <row r="56" spans="1:12" ht="14.5" customHeight="1">
      <c r="A56" s="47"/>
      <c r="B5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6" s="47" t="s">
        <v>33</v>
      </c>
      <c r="D56" s="47"/>
      <c r="E56" s="47"/>
      <c r="F56" s="47"/>
      <c r="G56" s="47"/>
      <c r="H56" s="45"/>
      <c r="I56" s="45"/>
      <c r="J56" s="45"/>
      <c r="K56" s="45"/>
      <c r="L56" s="45"/>
    </row>
    <row r="57" spans="1:12" ht="14.5" customHeight="1">
      <c r="A57" s="47"/>
      <c r="B5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7" s="47" t="s">
        <v>38</v>
      </c>
      <c r="D57" s="47" t="s">
        <v>15</v>
      </c>
      <c r="E57" s="47" t="s">
        <v>64</v>
      </c>
      <c r="F57" s="47" t="s">
        <v>46</v>
      </c>
      <c r="G57" s="47"/>
      <c r="H57" s="45"/>
      <c r="I57" s="45"/>
      <c r="J57" s="45"/>
      <c r="K57" s="45"/>
      <c r="L57" s="45"/>
    </row>
    <row r="58" spans="1:12" ht="14.5" customHeight="1">
      <c r="A58" s="47"/>
      <c r="B5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8" s="47" t="s">
        <v>34</v>
      </c>
      <c r="D58" s="47"/>
      <c r="E58" s="47"/>
      <c r="F58" s="47"/>
      <c r="G58" s="47"/>
      <c r="H58" s="45"/>
      <c r="I58" s="45"/>
      <c r="J58" s="45"/>
      <c r="K58" s="45"/>
      <c r="L58" s="45"/>
    </row>
    <row r="59" spans="1:12" ht="14.5" customHeight="1">
      <c r="A59" s="47"/>
      <c r="B5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9" s="47" t="s">
        <v>53</v>
      </c>
      <c r="D59" s="47" t="s">
        <v>13</v>
      </c>
      <c r="E59" s="47" t="s">
        <v>45</v>
      </c>
      <c r="F59" s="47"/>
      <c r="G59" s="47"/>
      <c r="H59" s="45"/>
      <c r="I59" s="45"/>
      <c r="J59" s="45"/>
      <c r="K59" s="45"/>
      <c r="L59" s="45"/>
    </row>
    <row r="60" spans="1:12" ht="14.5" customHeight="1">
      <c r="A60" s="47"/>
      <c r="B6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60" s="47" t="s">
        <v>24</v>
      </c>
      <c r="D60" s="47" t="s">
        <v>57</v>
      </c>
      <c r="E60" s="47"/>
      <c r="F60" s="47"/>
      <c r="G60" s="47"/>
      <c r="H60" s="45"/>
      <c r="I60" s="45"/>
      <c r="J60" s="45"/>
      <c r="K60" s="45"/>
      <c r="L60" s="45"/>
    </row>
    <row r="61" spans="1:12" ht="14.5" customHeight="1" thickBot="1">
      <c r="A61" s="48"/>
      <c r="B6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61" s="48" t="s">
        <v>29</v>
      </c>
      <c r="D61" s="48" t="s">
        <v>41</v>
      </c>
      <c r="E61" s="48"/>
      <c r="F61" s="48"/>
      <c r="G61" s="48"/>
      <c r="H61" s="45"/>
      <c r="I61" s="45"/>
      <c r="J61" s="45"/>
      <c r="K61" s="45"/>
      <c r="L61" s="45"/>
    </row>
    <row r="62" spans="1:12" ht="14.5" customHeight="1">
      <c r="A62" s="51" t="s">
        <v>435</v>
      </c>
      <c r="B6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2" s="51" t="s">
        <v>49</v>
      </c>
      <c r="D62" s="51"/>
      <c r="E62" s="51"/>
      <c r="F62" s="51"/>
      <c r="G62" s="51">
        <f>COUNTA(C62:F75)</f>
        <v>33</v>
      </c>
      <c r="H62" s="45"/>
      <c r="I62" s="45"/>
      <c r="J62" s="45"/>
      <c r="K62" s="45"/>
      <c r="L62" s="45"/>
    </row>
    <row r="63" spans="1:12" ht="14.5" customHeight="1">
      <c r="A63" s="50"/>
      <c r="B6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3" s="50" t="s">
        <v>12</v>
      </c>
      <c r="D63" s="50" t="s">
        <v>32</v>
      </c>
      <c r="E63" s="50"/>
      <c r="F63" s="50"/>
      <c r="G63" s="50"/>
      <c r="H63" s="45"/>
      <c r="I63" s="45"/>
      <c r="J63" s="45"/>
      <c r="K63" s="45"/>
      <c r="L63" s="45"/>
    </row>
    <row r="64" spans="1:12" ht="14.5" customHeight="1">
      <c r="A64" s="47"/>
      <c r="B6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4" s="47" t="s">
        <v>20</v>
      </c>
      <c r="D64" s="47" t="s">
        <v>52</v>
      </c>
      <c r="E64" s="47"/>
      <c r="F64" s="47"/>
      <c r="G64" s="47"/>
      <c r="H64" s="45"/>
      <c r="I64" s="45"/>
      <c r="J64" s="45"/>
      <c r="K64" s="45"/>
      <c r="L64" s="45"/>
    </row>
    <row r="65" spans="1:12" ht="14.5" customHeight="1">
      <c r="A65" s="47"/>
      <c r="B6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5" s="47" t="s">
        <v>40</v>
      </c>
      <c r="D65" s="47" t="s">
        <v>23</v>
      </c>
      <c r="E65" s="47" t="s">
        <v>56</v>
      </c>
      <c r="F65" s="47"/>
      <c r="G65" s="47"/>
      <c r="H65" s="45"/>
      <c r="I65" s="45"/>
      <c r="J65" s="45"/>
      <c r="K65" s="45"/>
      <c r="L65" s="45"/>
    </row>
    <row r="66" spans="1:12" ht="14.5" customHeight="1">
      <c r="A66" s="47"/>
      <c r="B6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6" s="47" t="s">
        <v>17</v>
      </c>
      <c r="D66" s="47"/>
      <c r="E66" s="47"/>
      <c r="F66" s="47"/>
      <c r="G66" s="47"/>
      <c r="H66" s="45"/>
      <c r="I66" s="45"/>
      <c r="J66" s="45"/>
      <c r="K66" s="45"/>
      <c r="L66" s="45"/>
    </row>
    <row r="67" spans="1:12" ht="14.5" customHeight="1">
      <c r="A67" s="47"/>
      <c r="B6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7" s="47" t="s">
        <v>16</v>
      </c>
      <c r="D67" s="47" t="s">
        <v>55</v>
      </c>
      <c r="E67" s="47" t="s">
        <v>28</v>
      </c>
      <c r="F67" s="47" t="s">
        <v>54</v>
      </c>
      <c r="G67" s="47"/>
      <c r="H67" s="45"/>
      <c r="I67" s="45"/>
      <c r="J67" s="45"/>
      <c r="K67" s="45"/>
      <c r="L67" s="45"/>
    </row>
    <row r="68" spans="1:12" ht="14.5" customHeight="1">
      <c r="A68" s="47"/>
      <c r="B6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8" s="47" t="s">
        <v>35</v>
      </c>
      <c r="D68" s="47"/>
      <c r="E68" s="47"/>
      <c r="F68" s="47"/>
      <c r="G68" s="47"/>
      <c r="H68" s="45"/>
      <c r="I68" s="45"/>
      <c r="J68" s="45"/>
      <c r="K68" s="45"/>
      <c r="L68" s="45"/>
    </row>
    <row r="69" spans="1:12" ht="14.5" customHeight="1">
      <c r="A69" s="47"/>
      <c r="B6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69" s="47" t="s">
        <v>60</v>
      </c>
      <c r="D69" s="47" t="s">
        <v>50</v>
      </c>
      <c r="E69" s="47" t="s">
        <v>11</v>
      </c>
      <c r="F69" s="47" t="s">
        <v>25</v>
      </c>
      <c r="G69" s="47"/>
      <c r="H69" s="45"/>
      <c r="I69" s="45"/>
      <c r="J69" s="45"/>
      <c r="K69" s="45"/>
      <c r="L69" s="45"/>
    </row>
    <row r="70" spans="1:12" ht="14.5" customHeight="1">
      <c r="A70" s="47"/>
      <c r="B7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70" s="47" t="s">
        <v>44</v>
      </c>
      <c r="D70" s="47"/>
      <c r="E70" s="47"/>
      <c r="F70" s="47"/>
      <c r="G70" s="47"/>
      <c r="H70" s="45"/>
      <c r="I70" s="45"/>
      <c r="J70" s="45"/>
      <c r="K70" s="45"/>
      <c r="L70" s="45"/>
    </row>
    <row r="71" spans="1:12" ht="14.5" customHeight="1">
      <c r="A71" s="47"/>
      <c r="B71" s="47"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71" s="47" t="s">
        <v>30</v>
      </c>
      <c r="D71" s="47" t="s">
        <v>58</v>
      </c>
      <c r="E71" s="47" t="s">
        <v>21</v>
      </c>
      <c r="F71" s="47" t="s">
        <v>19</v>
      </c>
      <c r="G71" s="47"/>
      <c r="H71" s="45"/>
      <c r="I71" s="45"/>
      <c r="J71" s="45"/>
      <c r="K71" s="45"/>
      <c r="L71" s="45"/>
    </row>
    <row r="72" spans="1:12" ht="14.5" customHeight="1">
      <c r="A72" s="47"/>
      <c r="B72" s="47" t="str">
        <f>(MOD(HOUR(المدخلات!$B$4+(11-1)*المدخلات!$B$7/1440)-1,12)+1)&amp;":"&amp;TEXT(MINUTE(المدخلات!$B$4+(11-1)*المدخلات!$B$7/1440),"00")&amp;"–"&amp;(MOD(HOUR(المدخلات!$B$4+(11-1)*المدخلات!$B$7/1440+المدخلات!$B$5/1440)-1,12)+1)&amp;":"&amp;TEXT(MINUTE(المدخلات!$B$4+(11-1)*المدخلات!$B$7/1440+المدخلات!$B$5/1440),"00")&amp;" م"</f>
        <v>6:30–6:45 م</v>
      </c>
      <c r="C72" s="47" t="s">
        <v>48</v>
      </c>
      <c r="D72" s="47"/>
      <c r="E72" s="47"/>
      <c r="F72" s="47"/>
      <c r="G72" s="47"/>
      <c r="H72" s="45"/>
      <c r="I72" s="45"/>
      <c r="J72" s="45"/>
      <c r="K72" s="45"/>
      <c r="L72" s="45"/>
    </row>
    <row r="73" spans="1:12" ht="14.5" customHeight="1">
      <c r="A73" s="47"/>
      <c r="B73" s="47" t="str">
        <f>(MOD(HOUR(المدخلات!$B$4+(12-1)*المدخلات!$B$7/1440)-1,12)+1)&amp;":"&amp;TEXT(MINUTE(المدخلات!$B$4+(12-1)*المدخلات!$B$7/1440),"00")&amp;"–"&amp;(MOD(HOUR(المدخلات!$B$4+(12-1)*المدخلات!$B$7/1440+المدخلات!$B$5/1440)-1,12)+1)&amp;":"&amp;TEXT(MINUTE(المدخلات!$B$4+(12-1)*المدخلات!$B$7/1440+المدخلات!$B$5/1440),"00")&amp;" م"</f>
        <v>6:45–7:00 م</v>
      </c>
      <c r="C73" s="47" t="s">
        <v>63</v>
      </c>
      <c r="D73" s="47" t="s">
        <v>39</v>
      </c>
      <c r="E73" s="47" t="s">
        <v>22</v>
      </c>
      <c r="F73" s="47" t="s">
        <v>10</v>
      </c>
      <c r="G73" s="47"/>
      <c r="H73" s="45"/>
      <c r="I73" s="45"/>
      <c r="J73" s="45"/>
      <c r="K73" s="45"/>
      <c r="L73" s="45"/>
    </row>
    <row r="74" spans="1:12" ht="14.5" customHeight="1">
      <c r="A74" s="47"/>
      <c r="B74" s="47" t="str">
        <f>(MOD(HOUR(المدخلات!$B$4+(13-1)*المدخلات!$B$7/1440)-1,12)+1)&amp;":"&amp;TEXT(MINUTE(المدخلات!$B$4+(13-1)*المدخلات!$B$7/1440),"00")&amp;"–"&amp;(MOD(HOUR(المدخلات!$B$4+(13-1)*المدخلات!$B$7/1440+المدخلات!$B$5/1440)-1,12)+1)&amp;":"&amp;TEXT(MINUTE(المدخلات!$B$4+(13-1)*المدخلات!$B$7/1440+المدخلات!$B$5/1440),"00")&amp;" م"</f>
        <v>7:00–7:15 م</v>
      </c>
      <c r="C74" s="47" t="s">
        <v>31</v>
      </c>
      <c r="D74" s="47"/>
      <c r="E74" s="47"/>
      <c r="F74" s="47"/>
      <c r="G74" s="47"/>
      <c r="H74" s="45"/>
      <c r="I74" s="45"/>
      <c r="J74" s="45"/>
      <c r="K74" s="45"/>
      <c r="L74" s="45"/>
    </row>
    <row r="75" spans="1:12" ht="14.5" customHeight="1" thickBot="1">
      <c r="A75" s="52"/>
      <c r="B75" s="52" t="str">
        <f>(MOD(HOUR(المدخلات!$B$4+(14-1)*المدخلات!$B$7/1440)-1,12)+1)&amp;":"&amp;TEXT(MINUTE(المدخلات!$B$4+(14-1)*المدخلات!$B$7/1440),"00")&amp;"–"&amp;(MOD(HOUR(المدخلات!$B$4+(14-1)*المدخلات!$B$7/1440+المدخلات!$B$5/1440)-1,12)+1)&amp;":"&amp;TEXT(MINUTE(المدخلات!$B$4+(14-1)*المدخلات!$B$7/1440+المدخلات!$B$5/1440),"00")&amp;" م"</f>
        <v>7:15–7:30 م</v>
      </c>
      <c r="C75" s="52" t="s">
        <v>51</v>
      </c>
      <c r="D75" s="52" t="s">
        <v>43</v>
      </c>
      <c r="E75" s="52" t="s">
        <v>62</v>
      </c>
      <c r="F75" s="52" t="s">
        <v>27</v>
      </c>
      <c r="G75" s="52"/>
      <c r="H75" s="45"/>
      <c r="I75" s="45"/>
      <c r="J75" s="45"/>
      <c r="K75" s="45"/>
      <c r="L75" s="45"/>
    </row>
    <row r="76" spans="1:12" ht="14.5" customHeight="1">
      <c r="A76" s="45"/>
      <c r="B76" s="45"/>
      <c r="C76" s="45"/>
      <c r="D76" s="45"/>
      <c r="E76" s="45"/>
      <c r="F76" s="45"/>
      <c r="G76" s="45"/>
      <c r="H76" s="45"/>
      <c r="I76" s="45"/>
      <c r="J76" s="45"/>
      <c r="K76" s="45"/>
      <c r="L76" s="45"/>
    </row>
    <row r="77" spans="1:12" ht="20" customHeight="1">
      <c r="A77" s="136" t="s">
        <v>809</v>
      </c>
      <c r="B77" s="136"/>
      <c r="C77" s="136"/>
      <c r="D77" s="136"/>
      <c r="E77" s="136"/>
      <c r="F77" s="136"/>
      <c r="G77" s="136"/>
      <c r="H77" s="136"/>
    </row>
    <row r="78" spans="1:12" ht="14.5" customHeight="1">
      <c r="A78" s="18"/>
      <c r="B78" s="19" t="s">
        <v>314</v>
      </c>
      <c r="C78" s="135" t="s">
        <v>764</v>
      </c>
      <c r="D78" s="135"/>
      <c r="E78" s="135"/>
      <c r="F78" s="135" t="s">
        <v>755</v>
      </c>
      <c r="G78" s="135"/>
      <c r="H78" s="18"/>
    </row>
    <row r="79" spans="1:12" ht="14.5" customHeight="1">
      <c r="A79" s="18"/>
      <c r="B79" s="20">
        <v>1</v>
      </c>
      <c r="C79" s="134" t="s">
        <v>864</v>
      </c>
      <c r="D79" s="134"/>
      <c r="E79" s="134"/>
      <c r="F79" s="134" t="s">
        <v>841</v>
      </c>
      <c r="G79" s="134"/>
      <c r="H79" s="18"/>
    </row>
    <row r="80" spans="1:12" ht="14.5" customHeight="1">
      <c r="A80" s="18"/>
      <c r="B80" s="20">
        <v>2</v>
      </c>
      <c r="C80" s="134" t="s">
        <v>963</v>
      </c>
      <c r="D80" s="134"/>
      <c r="E80" s="134"/>
      <c r="F80" s="134" t="s">
        <v>841</v>
      </c>
      <c r="G80" s="134"/>
      <c r="H80" s="18"/>
    </row>
    <row r="81" spans="1:8" ht="14.5" customHeight="1">
      <c r="A81" s="18"/>
      <c r="B81" s="20">
        <v>3</v>
      </c>
      <c r="C81" s="134" t="s">
        <v>964</v>
      </c>
      <c r="D81" s="134"/>
      <c r="E81" s="134"/>
      <c r="F81" s="134" t="s">
        <v>841</v>
      </c>
      <c r="G81" s="134"/>
      <c r="H81" s="18"/>
    </row>
    <row r="82" spans="1:8" ht="14.5" customHeight="1">
      <c r="A82" s="18"/>
      <c r="B82" s="20">
        <v>4</v>
      </c>
      <c r="C82" s="134" t="s">
        <v>965</v>
      </c>
      <c r="D82" s="134"/>
      <c r="E82" s="134"/>
      <c r="F82" s="134" t="s">
        <v>841</v>
      </c>
      <c r="G82" s="134"/>
      <c r="H82" s="18"/>
    </row>
    <row r="83" spans="1:8" ht="14.5" customHeight="1">
      <c r="A83" s="18"/>
      <c r="B83" s="20">
        <v>5</v>
      </c>
      <c r="C83" s="134" t="s">
        <v>865</v>
      </c>
      <c r="D83" s="134"/>
      <c r="E83" s="134"/>
      <c r="F83" s="134" t="s">
        <v>841</v>
      </c>
      <c r="G83" s="134"/>
      <c r="H83" s="18"/>
    </row>
    <row r="84" spans="1:8" ht="14.5" customHeight="1">
      <c r="A84" s="18"/>
      <c r="B84" s="20">
        <v>6</v>
      </c>
      <c r="C84" s="134" t="s">
        <v>966</v>
      </c>
      <c r="D84" s="134"/>
      <c r="E84" s="134"/>
      <c r="F84" s="134" t="s">
        <v>841</v>
      </c>
      <c r="G84" s="134"/>
      <c r="H84" s="18"/>
    </row>
    <row r="85" spans="1:8" ht="14.5" customHeight="1">
      <c r="A85" s="18"/>
      <c r="B85" s="20">
        <v>7</v>
      </c>
      <c r="C85" s="134" t="s">
        <v>967</v>
      </c>
      <c r="D85" s="134"/>
      <c r="E85" s="134"/>
      <c r="F85" s="134" t="s">
        <v>841</v>
      </c>
      <c r="G85" s="134"/>
      <c r="H85" s="18"/>
    </row>
    <row r="86" spans="1:8" ht="14.5" customHeight="1">
      <c r="A86" s="18"/>
      <c r="B86" s="20">
        <v>8</v>
      </c>
      <c r="C86" s="134" t="s">
        <v>867</v>
      </c>
      <c r="D86" s="134"/>
      <c r="E86" s="134"/>
      <c r="F86" s="134" t="s">
        <v>841</v>
      </c>
      <c r="G86" s="134"/>
      <c r="H86" s="18"/>
    </row>
    <row r="87" spans="1:8" ht="14.5" customHeight="1">
      <c r="A87" s="18"/>
      <c r="B87" s="20">
        <v>9</v>
      </c>
      <c r="C87" s="134" t="s">
        <v>968</v>
      </c>
      <c r="D87" s="134"/>
      <c r="E87" s="134"/>
      <c r="F87" s="134" t="s">
        <v>847</v>
      </c>
      <c r="G87" s="134"/>
      <c r="H87" s="18"/>
    </row>
    <row r="88" spans="1:8" ht="14.5" customHeight="1">
      <c r="A88" s="18"/>
      <c r="B88" s="20">
        <v>10</v>
      </c>
      <c r="C88" s="134" t="s">
        <v>868</v>
      </c>
      <c r="D88" s="134"/>
      <c r="E88" s="134"/>
      <c r="F88" s="134" t="s">
        <v>847</v>
      </c>
      <c r="G88" s="134"/>
      <c r="H88" s="18"/>
    </row>
    <row r="89" spans="1:8" ht="14.5" customHeight="1">
      <c r="A89" s="18"/>
      <c r="B89" s="20">
        <v>11</v>
      </c>
      <c r="C89" s="134" t="s">
        <v>869</v>
      </c>
      <c r="D89" s="134"/>
      <c r="E89" s="134"/>
      <c r="F89" s="134" t="s">
        <v>847</v>
      </c>
      <c r="G89" s="134"/>
      <c r="H89" s="18"/>
    </row>
    <row r="90" spans="1:8" ht="14.5" customHeight="1">
      <c r="A90" s="18"/>
      <c r="B90" s="18"/>
      <c r="C90" s="18"/>
      <c r="D90" s="18"/>
      <c r="E90" s="18"/>
      <c r="F90" s="18"/>
      <c r="G90" s="18"/>
      <c r="H90" s="18"/>
    </row>
    <row r="91" spans="1:8" ht="14.5" customHeight="1">
      <c r="A91" s="18"/>
      <c r="B91" s="18"/>
      <c r="C91" s="18"/>
      <c r="D91" s="18"/>
      <c r="E91" s="18"/>
      <c r="F91" s="18"/>
      <c r="G91" s="18"/>
      <c r="H91" s="18"/>
    </row>
    <row r="92" spans="1:8" ht="14.5" customHeight="1">
      <c r="A92" s="136" t="s">
        <v>810</v>
      </c>
      <c r="B92" s="136"/>
      <c r="C92" s="136"/>
      <c r="D92" s="136"/>
      <c r="E92" s="136"/>
      <c r="F92" s="136"/>
      <c r="G92" s="136"/>
      <c r="H92" s="136"/>
    </row>
    <row r="93" spans="1:8" ht="14.5" customHeight="1">
      <c r="A93" s="18"/>
      <c r="B93" s="19" t="s">
        <v>314</v>
      </c>
      <c r="C93" s="135" t="s">
        <v>764</v>
      </c>
      <c r="D93" s="135"/>
      <c r="E93" s="135"/>
      <c r="F93" s="135" t="s">
        <v>755</v>
      </c>
      <c r="G93" s="135"/>
      <c r="H93" s="18"/>
    </row>
    <row r="94" spans="1:8" ht="14.5">
      <c r="A94" s="18"/>
      <c r="B94" s="20">
        <v>1</v>
      </c>
      <c r="C94" s="134" t="s">
        <v>969</v>
      </c>
      <c r="D94" s="134"/>
      <c r="E94" s="134"/>
      <c r="F94" s="134" t="s">
        <v>840</v>
      </c>
      <c r="G94" s="134"/>
      <c r="H94" s="18"/>
    </row>
    <row r="95" spans="1:8" ht="14.5">
      <c r="A95" s="18"/>
      <c r="B95" s="20">
        <v>2</v>
      </c>
      <c r="C95" s="134" t="s">
        <v>970</v>
      </c>
      <c r="D95" s="134"/>
      <c r="E95" s="134"/>
      <c r="F95" s="134" t="s">
        <v>840</v>
      </c>
      <c r="G95" s="134"/>
      <c r="H95" s="18"/>
    </row>
    <row r="96" spans="1:8" ht="14.5">
      <c r="A96" s="18"/>
      <c r="B96" s="20">
        <v>3</v>
      </c>
      <c r="C96" s="134" t="s">
        <v>971</v>
      </c>
      <c r="D96" s="134"/>
      <c r="E96" s="134"/>
      <c r="F96" s="134" t="s">
        <v>841</v>
      </c>
      <c r="G96" s="134"/>
      <c r="H96" s="18"/>
    </row>
    <row r="97" spans="1:8" ht="14.5">
      <c r="A97" s="18"/>
      <c r="B97" s="20">
        <v>4</v>
      </c>
      <c r="C97" s="134" t="s">
        <v>895</v>
      </c>
      <c r="D97" s="134"/>
      <c r="E97" s="134"/>
      <c r="F97" s="134" t="s">
        <v>841</v>
      </c>
      <c r="G97" s="134"/>
      <c r="H97" s="18"/>
    </row>
    <row r="98" spans="1:8" ht="14.5">
      <c r="A98" s="18"/>
      <c r="B98" s="20">
        <v>5</v>
      </c>
      <c r="C98" s="134" t="s">
        <v>896</v>
      </c>
      <c r="D98" s="134"/>
      <c r="E98" s="134"/>
      <c r="F98" s="134" t="s">
        <v>847</v>
      </c>
      <c r="G98" s="134"/>
      <c r="H98" s="18"/>
    </row>
    <row r="99" spans="1:8" ht="14.5">
      <c r="A99" s="18"/>
      <c r="B99" s="20">
        <v>6</v>
      </c>
      <c r="C99" s="134" t="s">
        <v>897</v>
      </c>
      <c r="D99" s="134"/>
      <c r="E99" s="134"/>
      <c r="F99" s="134" t="s">
        <v>847</v>
      </c>
      <c r="G99" s="134"/>
      <c r="H99" s="18"/>
    </row>
    <row r="100" spans="1:8" ht="14.5">
      <c r="A100" s="18"/>
      <c r="B100" s="20">
        <v>7</v>
      </c>
      <c r="C100" s="134" t="s">
        <v>898</v>
      </c>
      <c r="D100" s="134"/>
      <c r="E100" s="134"/>
      <c r="F100" s="134" t="s">
        <v>847</v>
      </c>
      <c r="G100" s="134"/>
      <c r="H100" s="18"/>
    </row>
    <row r="101" spans="1:8" ht="14.5">
      <c r="A101" s="18"/>
      <c r="B101" s="20">
        <v>8</v>
      </c>
      <c r="C101" s="134" t="s">
        <v>899</v>
      </c>
      <c r="D101" s="134"/>
      <c r="E101" s="134"/>
      <c r="F101" s="134" t="s">
        <v>847</v>
      </c>
      <c r="G101" s="134"/>
      <c r="H101" s="18"/>
    </row>
    <row r="102" spans="1:8" ht="14.5">
      <c r="A102" s="18"/>
      <c r="B102" s="20">
        <v>9</v>
      </c>
      <c r="C102" s="134" t="s">
        <v>900</v>
      </c>
      <c r="D102" s="134"/>
      <c r="E102" s="134"/>
      <c r="F102" s="134" t="s">
        <v>847</v>
      </c>
      <c r="G102" s="134"/>
      <c r="H102" s="18"/>
    </row>
    <row r="103" spans="1:8" ht="14.5">
      <c r="A103" s="18"/>
      <c r="B103" s="20">
        <v>10</v>
      </c>
      <c r="C103" s="134" t="s">
        <v>901</v>
      </c>
      <c r="D103" s="134"/>
      <c r="E103" s="134"/>
      <c r="F103" s="134" t="s">
        <v>847</v>
      </c>
      <c r="G103" s="134"/>
      <c r="H103" s="18"/>
    </row>
    <row r="104" spans="1:8" ht="14.5">
      <c r="A104" s="18"/>
      <c r="B104" s="20">
        <v>11</v>
      </c>
      <c r="C104" s="134" t="s">
        <v>902</v>
      </c>
      <c r="D104" s="134"/>
      <c r="E104" s="134"/>
      <c r="F104" s="134" t="s">
        <v>847</v>
      </c>
      <c r="G104" s="134"/>
      <c r="H104" s="18"/>
    </row>
    <row r="105" spans="1:8" ht="14.5">
      <c r="A105" s="18"/>
      <c r="B105" s="18"/>
      <c r="C105" s="18"/>
      <c r="D105" s="18"/>
      <c r="E105" s="18"/>
      <c r="F105" s="18"/>
      <c r="G105" s="18"/>
      <c r="H105" s="18"/>
    </row>
    <row r="106" spans="1:8" ht="14.5">
      <c r="A106" s="18"/>
      <c r="B106" s="18"/>
      <c r="C106" s="18"/>
      <c r="D106" s="18"/>
      <c r="E106" s="18"/>
      <c r="F106" s="18"/>
      <c r="G106" s="18"/>
      <c r="H106" s="18"/>
    </row>
  </sheetData>
  <mergeCells count="52">
    <mergeCell ref="C79:E79"/>
    <mergeCell ref="F79:G79"/>
    <mergeCell ref="C80:E80"/>
    <mergeCell ref="F80:G80"/>
    <mergeCell ref="C81:E81"/>
    <mergeCell ref="F81:G81"/>
    <mergeCell ref="A1:L1"/>
    <mergeCell ref="C2:F2"/>
    <mergeCell ref="A77:H77"/>
    <mergeCell ref="C78:E78"/>
    <mergeCell ref="F78:G78"/>
    <mergeCell ref="C82:E82"/>
    <mergeCell ref="F82:G82"/>
    <mergeCell ref="C83:E83"/>
    <mergeCell ref="F83:G83"/>
    <mergeCell ref="C84:E84"/>
    <mergeCell ref="F84:G84"/>
    <mergeCell ref="C85:E85"/>
    <mergeCell ref="F85:G85"/>
    <mergeCell ref="C86:E86"/>
    <mergeCell ref="F86:G86"/>
    <mergeCell ref="C87:E87"/>
    <mergeCell ref="F87:G87"/>
    <mergeCell ref="C88:E88"/>
    <mergeCell ref="F88:G88"/>
    <mergeCell ref="C89:E89"/>
    <mergeCell ref="F89:G89"/>
    <mergeCell ref="A92:H92"/>
    <mergeCell ref="C93:E93"/>
    <mergeCell ref="F93:G93"/>
    <mergeCell ref="C94:E94"/>
    <mergeCell ref="F94:G94"/>
    <mergeCell ref="C95:E95"/>
    <mergeCell ref="F95:G95"/>
    <mergeCell ref="C96:E96"/>
    <mergeCell ref="F96:G96"/>
    <mergeCell ref="C97:E97"/>
    <mergeCell ref="F97:G97"/>
    <mergeCell ref="C98:E98"/>
    <mergeCell ref="F98:G98"/>
    <mergeCell ref="C99:E99"/>
    <mergeCell ref="F99:G99"/>
    <mergeCell ref="C100:E100"/>
    <mergeCell ref="F100:G100"/>
    <mergeCell ref="C101:E101"/>
    <mergeCell ref="F101:G101"/>
    <mergeCell ref="C102:E102"/>
    <mergeCell ref="F102:G102"/>
    <mergeCell ref="C103:E103"/>
    <mergeCell ref="F103:G103"/>
    <mergeCell ref="C104:E104"/>
    <mergeCell ref="F104:G10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8F8F-0264-49EE-8F2B-A9E49BEF898D}">
  <dimension ref="A1:M85"/>
  <sheetViews>
    <sheetView showGridLines="0" rightToLeft="1" workbookViewId="0">
      <pane ySplit="3" topLeftCell="A64" activePane="bottomLeft" state="frozen"/>
      <selection pane="bottomLeft" activeCell="F72" sqref="C72:G83"/>
    </sheetView>
  </sheetViews>
  <sheetFormatPr defaultRowHeight="14"/>
  <cols>
    <col min="1" max="1" width="15.83203125" customWidth="1"/>
    <col min="2" max="2" width="17.5" customWidth="1"/>
    <col min="3" max="6" width="13" customWidth="1"/>
    <col min="7" max="7" width="17.5" customWidth="1"/>
    <col min="8" max="13" width="13" customWidth="1"/>
  </cols>
  <sheetData>
    <row r="1" spans="1:13" ht="26" customHeight="1">
      <c r="A1" s="119" t="s">
        <v>457</v>
      </c>
      <c r="B1" s="119"/>
      <c r="C1" s="119"/>
      <c r="D1" s="119"/>
      <c r="E1" s="119"/>
      <c r="F1" s="119"/>
      <c r="G1" s="119"/>
      <c r="H1" s="119"/>
      <c r="I1" s="119"/>
      <c r="J1" s="119"/>
      <c r="K1" s="119"/>
      <c r="L1" s="119"/>
      <c r="M1" s="119"/>
    </row>
    <row r="2" spans="1:13" ht="20" customHeight="1">
      <c r="A2" s="49"/>
      <c r="B2" s="49"/>
      <c r="C2" s="137" t="s">
        <v>449</v>
      </c>
      <c r="D2" s="137"/>
      <c r="E2" s="137"/>
      <c r="F2" s="137"/>
      <c r="G2" s="49"/>
      <c r="H2" s="45"/>
      <c r="I2" s="45"/>
      <c r="J2" s="45"/>
      <c r="K2" s="45"/>
      <c r="L2" s="45"/>
      <c r="M2" s="45"/>
    </row>
    <row r="3" spans="1:13" ht="32" customHeight="1" thickBot="1">
      <c r="A3" s="49" t="s">
        <v>426</v>
      </c>
      <c r="B3" s="49" t="s">
        <v>7</v>
      </c>
      <c r="C3" s="49" t="s">
        <v>8</v>
      </c>
      <c r="D3" s="49" t="s">
        <v>9</v>
      </c>
      <c r="E3" s="49" t="s">
        <v>84</v>
      </c>
      <c r="F3" s="49" t="s">
        <v>119</v>
      </c>
      <c r="G3" s="49" t="s">
        <v>427</v>
      </c>
      <c r="H3" s="45"/>
      <c r="I3" s="45"/>
      <c r="J3" s="45"/>
      <c r="K3" s="45"/>
      <c r="L3" s="45"/>
      <c r="M3" s="45"/>
    </row>
    <row r="4" spans="1:13"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35</v>
      </c>
      <c r="D4" s="51"/>
      <c r="E4" s="51"/>
      <c r="F4" s="51"/>
      <c r="G4" s="51">
        <f>COUNTA(C4:F12)</f>
        <v>24</v>
      </c>
      <c r="H4" s="45"/>
      <c r="I4" s="45"/>
      <c r="J4" s="45"/>
      <c r="K4" s="45"/>
      <c r="L4" s="45"/>
      <c r="M4" s="45"/>
    </row>
    <row r="5" spans="1:13"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24</v>
      </c>
      <c r="D5" s="50" t="s">
        <v>75</v>
      </c>
      <c r="E5" s="50" t="s">
        <v>45</v>
      </c>
      <c r="F5" s="50"/>
      <c r="G5" s="50"/>
      <c r="H5" s="45"/>
      <c r="I5" s="45"/>
      <c r="J5" s="45"/>
      <c r="K5" s="45"/>
      <c r="L5" s="45"/>
      <c r="M5" s="45"/>
    </row>
    <row r="6" spans="1:13"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16</v>
      </c>
      <c r="D6" s="47" t="s">
        <v>46</v>
      </c>
      <c r="E6" s="47"/>
      <c r="F6" s="47"/>
      <c r="G6" s="47"/>
      <c r="H6" s="45"/>
      <c r="I6" s="45"/>
      <c r="J6" s="45"/>
      <c r="K6" s="45"/>
      <c r="L6" s="45"/>
      <c r="M6" s="45"/>
    </row>
    <row r="7" spans="1:13"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29</v>
      </c>
      <c r="D7" s="47" t="s">
        <v>34</v>
      </c>
      <c r="E7" s="47" t="s">
        <v>72</v>
      </c>
      <c r="F7" s="47" t="s">
        <v>55</v>
      </c>
      <c r="G7" s="47"/>
      <c r="H7" s="45"/>
      <c r="I7" s="45"/>
      <c r="J7" s="45"/>
      <c r="K7" s="45"/>
      <c r="L7" s="45"/>
      <c r="M7" s="45"/>
    </row>
    <row r="8" spans="1:13"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23</v>
      </c>
      <c r="D8" s="47" t="s">
        <v>53</v>
      </c>
      <c r="E8" s="47"/>
      <c r="F8" s="47"/>
      <c r="G8" s="47"/>
      <c r="H8" s="45"/>
      <c r="I8" s="45"/>
      <c r="J8" s="45"/>
      <c r="K8" s="45"/>
      <c r="L8" s="45"/>
      <c r="M8" s="45"/>
    </row>
    <row r="9" spans="1:13"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66</v>
      </c>
      <c r="D9" s="47" t="s">
        <v>31</v>
      </c>
      <c r="E9" s="47"/>
      <c r="F9" s="47"/>
      <c r="G9" s="47"/>
      <c r="H9" s="45"/>
      <c r="I9" s="45"/>
      <c r="J9" s="45"/>
      <c r="K9" s="45"/>
      <c r="L9" s="45"/>
      <c r="M9" s="45"/>
    </row>
    <row r="10" spans="1:13"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49</v>
      </c>
      <c r="D10" s="47" t="s">
        <v>13</v>
      </c>
      <c r="E10" s="47" t="s">
        <v>57</v>
      </c>
      <c r="F10" s="47" t="s">
        <v>20</v>
      </c>
      <c r="G10" s="47"/>
      <c r="H10" s="45"/>
      <c r="I10" s="45"/>
      <c r="J10" s="45"/>
      <c r="K10" s="45"/>
      <c r="L10" s="45"/>
      <c r="M10" s="45"/>
    </row>
    <row r="11" spans="1:13"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26</v>
      </c>
      <c r="D11" s="47" t="s">
        <v>71</v>
      </c>
      <c r="E11" s="47"/>
      <c r="F11" s="47"/>
      <c r="G11" s="47"/>
      <c r="H11" s="45"/>
      <c r="I11" s="45"/>
      <c r="J11" s="45"/>
      <c r="K11" s="45"/>
      <c r="L11" s="45"/>
      <c r="M11" s="45"/>
    </row>
    <row r="12" spans="1:13"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11</v>
      </c>
      <c r="D12" s="48" t="s">
        <v>61</v>
      </c>
      <c r="E12" s="48" t="s">
        <v>47</v>
      </c>
      <c r="F12" s="48" t="s">
        <v>41</v>
      </c>
      <c r="G12" s="48"/>
      <c r="H12" s="45"/>
      <c r="I12" s="45"/>
      <c r="J12" s="45"/>
      <c r="K12" s="45"/>
      <c r="L12" s="45"/>
      <c r="M12" s="45"/>
    </row>
    <row r="13" spans="1:13"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28</v>
      </c>
      <c r="D13" s="51" t="s">
        <v>62</v>
      </c>
      <c r="E13" s="51" t="s">
        <v>50</v>
      </c>
      <c r="F13" s="51"/>
      <c r="G13" s="51">
        <f>COUNTA(C13:F21)</f>
        <v>24</v>
      </c>
      <c r="H13" s="45"/>
      <c r="I13" s="45"/>
      <c r="J13" s="45"/>
      <c r="K13" s="45"/>
      <c r="L13" s="45"/>
      <c r="M13" s="45"/>
    </row>
    <row r="14" spans="1:13"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70</v>
      </c>
      <c r="D14" s="50" t="s">
        <v>17</v>
      </c>
      <c r="E14" s="50"/>
      <c r="F14" s="50"/>
      <c r="G14" s="50"/>
      <c r="H14" s="45"/>
      <c r="I14" s="45"/>
      <c r="J14" s="45"/>
      <c r="K14" s="45"/>
      <c r="L14" s="45"/>
      <c r="M14" s="45"/>
    </row>
    <row r="15" spans="1:13"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60</v>
      </c>
      <c r="D15" s="47" t="s">
        <v>36</v>
      </c>
      <c r="E15" s="47"/>
      <c r="F15" s="47"/>
      <c r="G15" s="47"/>
      <c r="H15" s="45"/>
      <c r="I15" s="45"/>
      <c r="J15" s="45"/>
      <c r="K15" s="45"/>
      <c r="L15" s="45"/>
      <c r="M15" s="45"/>
    </row>
    <row r="16" spans="1:13"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14</v>
      </c>
      <c r="D16" s="47" t="s">
        <v>73</v>
      </c>
      <c r="E16" s="47" t="s">
        <v>52</v>
      </c>
      <c r="F16" s="47"/>
      <c r="G16" s="47"/>
      <c r="H16" s="45"/>
      <c r="I16" s="45"/>
      <c r="J16" s="45"/>
      <c r="K16" s="45"/>
      <c r="L16" s="45"/>
      <c r="M16" s="45"/>
    </row>
    <row r="17" spans="1:13"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12</v>
      </c>
      <c r="D17" s="47" t="s">
        <v>56</v>
      </c>
      <c r="E17" s="47" t="s">
        <v>42</v>
      </c>
      <c r="F17" s="47"/>
      <c r="G17" s="47"/>
      <c r="H17" s="45"/>
      <c r="I17" s="45"/>
      <c r="J17" s="45"/>
      <c r="K17" s="45"/>
      <c r="L17" s="45"/>
      <c r="M17" s="45"/>
    </row>
    <row r="18" spans="1:13"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25</v>
      </c>
      <c r="D18" s="47" t="s">
        <v>67</v>
      </c>
      <c r="E18" s="47"/>
      <c r="F18" s="47"/>
      <c r="G18" s="47"/>
      <c r="H18" s="45"/>
      <c r="I18" s="45"/>
      <c r="J18" s="45"/>
      <c r="K18" s="45"/>
      <c r="L18" s="45"/>
      <c r="M18" s="45"/>
    </row>
    <row r="19" spans="1:13"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64</v>
      </c>
      <c r="D19" s="47" t="s">
        <v>18</v>
      </c>
      <c r="E19" s="47" t="s">
        <v>44</v>
      </c>
      <c r="F19" s="47" t="s">
        <v>22</v>
      </c>
      <c r="G19" s="47"/>
      <c r="H19" s="45"/>
      <c r="I19" s="45"/>
      <c r="J19" s="45"/>
      <c r="K19" s="45"/>
      <c r="L19" s="45"/>
      <c r="M19" s="45"/>
    </row>
    <row r="20" spans="1:13"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69</v>
      </c>
      <c r="D20" s="47"/>
      <c r="E20" s="47"/>
      <c r="F20" s="47"/>
      <c r="G20" s="47"/>
      <c r="H20" s="45"/>
      <c r="I20" s="45"/>
      <c r="J20" s="45"/>
      <c r="K20" s="45"/>
      <c r="L20" s="45"/>
      <c r="M20" s="45"/>
    </row>
    <row r="21" spans="1:13"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19</v>
      </c>
      <c r="D21" s="48" t="s">
        <v>51</v>
      </c>
      <c r="E21" s="48" t="s">
        <v>33</v>
      </c>
      <c r="F21" s="48" t="s">
        <v>39</v>
      </c>
      <c r="G21" s="48"/>
      <c r="H21" s="45"/>
      <c r="I21" s="45"/>
      <c r="J21" s="45"/>
      <c r="K21" s="45"/>
      <c r="L21" s="45"/>
      <c r="M21" s="45"/>
    </row>
    <row r="22" spans="1:13"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15</v>
      </c>
      <c r="D22" s="51" t="s">
        <v>43</v>
      </c>
      <c r="E22" s="51" t="s">
        <v>32</v>
      </c>
      <c r="F22" s="51"/>
      <c r="G22" s="51">
        <f>COUNTA(C22:F30)</f>
        <v>24</v>
      </c>
      <c r="H22" s="45"/>
      <c r="I22" s="45"/>
      <c r="J22" s="45"/>
      <c r="K22" s="45"/>
      <c r="L22" s="45"/>
      <c r="M22" s="45"/>
    </row>
    <row r="23" spans="1:13"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27</v>
      </c>
      <c r="D23" s="50" t="s">
        <v>59</v>
      </c>
      <c r="E23" s="50"/>
      <c r="F23" s="50"/>
      <c r="G23" s="50"/>
      <c r="H23" s="45"/>
      <c r="I23" s="45"/>
      <c r="J23" s="45"/>
      <c r="K23" s="45"/>
      <c r="L23" s="45"/>
      <c r="M23" s="45"/>
    </row>
    <row r="24" spans="1:13"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21</v>
      </c>
      <c r="D24" s="47" t="s">
        <v>68</v>
      </c>
      <c r="E24" s="47" t="s">
        <v>40</v>
      </c>
      <c r="F24" s="47"/>
      <c r="G24" s="47"/>
      <c r="H24" s="45"/>
      <c r="I24" s="45"/>
      <c r="J24" s="45"/>
      <c r="K24" s="45"/>
      <c r="L24" s="45"/>
      <c r="M24" s="45"/>
    </row>
    <row r="25" spans="1:13"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10</v>
      </c>
      <c r="D25" s="47" t="s">
        <v>63</v>
      </c>
      <c r="E25" s="47" t="s">
        <v>48</v>
      </c>
      <c r="F25" s="47"/>
      <c r="G25" s="47"/>
      <c r="H25" s="45"/>
      <c r="I25" s="45"/>
      <c r="J25" s="45"/>
      <c r="K25" s="45"/>
      <c r="L25" s="45"/>
      <c r="M25" s="45"/>
    </row>
    <row r="26" spans="1:13"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38</v>
      </c>
      <c r="D26" s="47" t="s">
        <v>65</v>
      </c>
      <c r="E26" s="47"/>
      <c r="F26" s="47"/>
      <c r="G26" s="47"/>
      <c r="H26" s="45"/>
      <c r="I26" s="45"/>
      <c r="J26" s="45"/>
      <c r="K26" s="45"/>
      <c r="L26" s="45"/>
      <c r="M26" s="45"/>
    </row>
    <row r="27" spans="1:13"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37</v>
      </c>
      <c r="D27" s="47" t="s">
        <v>30</v>
      </c>
      <c r="E27" s="47" t="s">
        <v>54</v>
      </c>
      <c r="F27" s="47"/>
      <c r="G27" s="47"/>
      <c r="H27" s="45"/>
      <c r="I27" s="45"/>
      <c r="J27" s="45"/>
      <c r="K27" s="45"/>
      <c r="L27" s="45"/>
      <c r="M27" s="45"/>
    </row>
    <row r="28" spans="1:13"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74</v>
      </c>
      <c r="D28" s="47" t="s">
        <v>58</v>
      </c>
      <c r="E28" s="47" t="s">
        <v>39</v>
      </c>
      <c r="F28" s="47"/>
      <c r="G28" s="47"/>
      <c r="H28" s="45"/>
      <c r="I28" s="45"/>
      <c r="J28" s="45"/>
      <c r="K28" s="45"/>
      <c r="L28" s="45"/>
      <c r="M28" s="45"/>
    </row>
    <row r="29" spans="1:13"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53</v>
      </c>
      <c r="D29" s="47"/>
      <c r="E29" s="47"/>
      <c r="F29" s="47"/>
      <c r="G29" s="47"/>
      <c r="H29" s="45"/>
      <c r="I29" s="45"/>
      <c r="J29" s="45"/>
      <c r="K29" s="45"/>
      <c r="L29" s="45"/>
      <c r="M29" s="45"/>
    </row>
    <row r="30" spans="1:13" ht="14.5" customHeight="1" thickBot="1">
      <c r="A30" s="48"/>
      <c r="B3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8" t="s">
        <v>60</v>
      </c>
      <c r="D30" s="48" t="s">
        <v>34</v>
      </c>
      <c r="E30" s="48" t="s">
        <v>73</v>
      </c>
      <c r="F30" s="48" t="s">
        <v>29</v>
      </c>
      <c r="G30" s="48"/>
      <c r="H30" s="45"/>
      <c r="I30" s="45"/>
      <c r="J30" s="45"/>
      <c r="K30" s="45"/>
      <c r="L30" s="45"/>
      <c r="M30" s="45"/>
    </row>
    <row r="31" spans="1:13" ht="14.5" customHeight="1">
      <c r="A31" s="51" t="s">
        <v>431</v>
      </c>
      <c r="B3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1" s="51" t="s">
        <v>55</v>
      </c>
      <c r="D31" s="51" t="s">
        <v>50</v>
      </c>
      <c r="E31" s="51" t="s">
        <v>68</v>
      </c>
      <c r="F31" s="51" t="s">
        <v>28</v>
      </c>
      <c r="G31" s="51">
        <f>COUNTA(C31:F39)</f>
        <v>24</v>
      </c>
      <c r="H31" s="45"/>
      <c r="I31" s="45"/>
      <c r="J31" s="45"/>
      <c r="K31" s="45"/>
      <c r="L31" s="45"/>
      <c r="M31" s="45"/>
    </row>
    <row r="32" spans="1:13" ht="14.5" customHeight="1">
      <c r="A32" s="50"/>
      <c r="B3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2" s="50" t="s">
        <v>31</v>
      </c>
      <c r="D32" s="50"/>
      <c r="E32" s="50"/>
      <c r="F32" s="50"/>
      <c r="G32" s="50"/>
      <c r="H32" s="45"/>
      <c r="I32" s="45"/>
      <c r="J32" s="45"/>
      <c r="K32" s="45"/>
      <c r="L32" s="45"/>
      <c r="M32" s="45"/>
    </row>
    <row r="33" spans="1:13" ht="14.5" customHeight="1">
      <c r="A33" s="47"/>
      <c r="B3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3" s="47" t="s">
        <v>47</v>
      </c>
      <c r="D33" s="47" t="s">
        <v>61</v>
      </c>
      <c r="E33" s="47" t="s">
        <v>41</v>
      </c>
      <c r="F33" s="47"/>
      <c r="G33" s="47"/>
      <c r="H33" s="45"/>
      <c r="I33" s="45"/>
      <c r="J33" s="45"/>
      <c r="K33" s="45"/>
      <c r="L33" s="45"/>
      <c r="M33" s="45"/>
    </row>
    <row r="34" spans="1:13" ht="14.5" customHeight="1">
      <c r="A34" s="47"/>
      <c r="B3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4" s="47" t="s">
        <v>32</v>
      </c>
      <c r="D34" s="47" t="s">
        <v>15</v>
      </c>
      <c r="E34" s="47" t="s">
        <v>66</v>
      </c>
      <c r="F34" s="47"/>
      <c r="G34" s="47"/>
      <c r="H34" s="45"/>
      <c r="I34" s="45"/>
      <c r="J34" s="45"/>
      <c r="K34" s="45"/>
      <c r="L34" s="45"/>
      <c r="M34" s="45"/>
    </row>
    <row r="35" spans="1:13" ht="14.5" customHeight="1">
      <c r="A35" s="47"/>
      <c r="B3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5" s="47" t="s">
        <v>10</v>
      </c>
      <c r="D35" s="47" t="s">
        <v>38</v>
      </c>
      <c r="E35" s="47"/>
      <c r="F35" s="47"/>
      <c r="G35" s="47"/>
      <c r="H35" s="45"/>
      <c r="I35" s="45"/>
      <c r="J35" s="45"/>
      <c r="K35" s="45"/>
      <c r="L35" s="45"/>
      <c r="M35" s="45"/>
    </row>
    <row r="36" spans="1:13" ht="14.5" customHeight="1">
      <c r="A36" s="47"/>
      <c r="B3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6" s="47" t="s">
        <v>52</v>
      </c>
      <c r="D36" s="47" t="s">
        <v>62</v>
      </c>
      <c r="E36" s="47" t="s">
        <v>18</v>
      </c>
      <c r="F36" s="47"/>
      <c r="G36" s="47"/>
      <c r="H36" s="45"/>
      <c r="I36" s="45"/>
      <c r="J36" s="45"/>
      <c r="K36" s="45"/>
      <c r="L36" s="45"/>
      <c r="M36" s="45"/>
    </row>
    <row r="37" spans="1:13" ht="14.5" customHeight="1">
      <c r="A37" s="47"/>
      <c r="B3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7" s="47" t="s">
        <v>71</v>
      </c>
      <c r="D37" s="47" t="s">
        <v>17</v>
      </c>
      <c r="E37" s="47"/>
      <c r="F37" s="47"/>
      <c r="G37" s="47"/>
      <c r="H37" s="45"/>
      <c r="I37" s="45"/>
      <c r="J37" s="45"/>
      <c r="K37" s="45"/>
      <c r="L37" s="45"/>
      <c r="M37" s="45"/>
    </row>
    <row r="38" spans="1:13" ht="14.5" customHeight="1">
      <c r="A38" s="47"/>
      <c r="B3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8" s="47" t="s">
        <v>45</v>
      </c>
      <c r="D38" s="47" t="s">
        <v>16</v>
      </c>
      <c r="E38" s="47" t="s">
        <v>54</v>
      </c>
      <c r="F38" s="47"/>
      <c r="G38" s="47"/>
      <c r="H38" s="45"/>
      <c r="I38" s="45"/>
      <c r="J38" s="45"/>
      <c r="K38" s="45"/>
      <c r="L38" s="45"/>
      <c r="M38" s="45"/>
    </row>
    <row r="39" spans="1:13" ht="14.5" customHeight="1" thickBot="1">
      <c r="A39" s="48"/>
      <c r="B3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9" s="48" t="s">
        <v>14</v>
      </c>
      <c r="D39" s="48" t="s">
        <v>35</v>
      </c>
      <c r="E39" s="48" t="s">
        <v>75</v>
      </c>
      <c r="F39" s="48"/>
      <c r="G39" s="48"/>
      <c r="H39" s="45"/>
      <c r="I39" s="45"/>
      <c r="J39" s="45"/>
      <c r="K39" s="45"/>
      <c r="L39" s="45"/>
      <c r="M39" s="45"/>
    </row>
    <row r="40" spans="1:13" ht="14.5" customHeight="1">
      <c r="A40" s="51" t="s">
        <v>432</v>
      </c>
      <c r="B4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0" s="51" t="s">
        <v>19</v>
      </c>
      <c r="D40" s="51" t="s">
        <v>43</v>
      </c>
      <c r="E40" s="51" t="s">
        <v>74</v>
      </c>
      <c r="F40" s="51"/>
      <c r="G40" s="51">
        <f>COUNTA(C40:F48)</f>
        <v>24</v>
      </c>
      <c r="H40" s="45"/>
      <c r="I40" s="45"/>
      <c r="J40" s="45"/>
      <c r="K40" s="45"/>
      <c r="L40" s="45"/>
      <c r="M40" s="45"/>
    </row>
    <row r="41" spans="1:13" ht="14.5" customHeight="1">
      <c r="A41" s="50"/>
      <c r="B4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1" s="50" t="s">
        <v>59</v>
      </c>
      <c r="D41" s="50" t="s">
        <v>30</v>
      </c>
      <c r="E41" s="50"/>
      <c r="F41" s="50"/>
      <c r="G41" s="50"/>
      <c r="H41" s="45"/>
      <c r="I41" s="45"/>
      <c r="J41" s="45"/>
      <c r="K41" s="45"/>
      <c r="L41" s="45"/>
      <c r="M41" s="45"/>
    </row>
    <row r="42" spans="1:13" ht="14.5" customHeight="1">
      <c r="A42" s="47"/>
      <c r="B4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2" s="47" t="s">
        <v>24</v>
      </c>
      <c r="D42" s="47" t="s">
        <v>21</v>
      </c>
      <c r="E42" s="47" t="s">
        <v>37</v>
      </c>
      <c r="F42" s="47" t="s">
        <v>70</v>
      </c>
      <c r="G42" s="47"/>
      <c r="H42" s="45"/>
      <c r="I42" s="45"/>
      <c r="J42" s="45"/>
      <c r="K42" s="45"/>
      <c r="L42" s="45"/>
      <c r="M42" s="45"/>
    </row>
    <row r="43" spans="1:13" ht="14.5" customHeight="1">
      <c r="A43" s="47"/>
      <c r="B4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3" s="47" t="s">
        <v>63</v>
      </c>
      <c r="D43" s="47"/>
      <c r="E43" s="47"/>
      <c r="F43" s="47"/>
      <c r="G43" s="47"/>
      <c r="H43" s="45"/>
      <c r="I43" s="45"/>
      <c r="J43" s="45"/>
      <c r="K43" s="45"/>
      <c r="L43" s="45"/>
      <c r="M43" s="45"/>
    </row>
    <row r="44" spans="1:13" ht="14.5" customHeight="1">
      <c r="A44" s="47"/>
      <c r="B4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4" s="47" t="s">
        <v>44</v>
      </c>
      <c r="D44" s="47" t="s">
        <v>12</v>
      </c>
      <c r="E44" s="47" t="s">
        <v>67</v>
      </c>
      <c r="F44" s="47" t="s">
        <v>11</v>
      </c>
      <c r="G44" s="47"/>
      <c r="H44" s="45"/>
      <c r="I44" s="45"/>
      <c r="J44" s="45"/>
      <c r="K44" s="45"/>
      <c r="L44" s="45"/>
      <c r="M44" s="45"/>
    </row>
    <row r="45" spans="1:13" ht="14.5" customHeight="1">
      <c r="A45" s="47"/>
      <c r="B4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5" s="47" t="s">
        <v>27</v>
      </c>
      <c r="D45" s="47" t="s">
        <v>58</v>
      </c>
      <c r="E45" s="47"/>
      <c r="F45" s="47"/>
      <c r="G45" s="47"/>
      <c r="H45" s="45"/>
      <c r="I45" s="45"/>
      <c r="J45" s="45"/>
      <c r="K45" s="45"/>
      <c r="L45" s="45"/>
      <c r="M45" s="45"/>
    </row>
    <row r="46" spans="1:13" ht="14.5" customHeight="1">
      <c r="A46" s="47"/>
      <c r="B46"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6" s="47" t="s">
        <v>48</v>
      </c>
      <c r="D46" s="47" t="s">
        <v>65</v>
      </c>
      <c r="E46" s="47" t="s">
        <v>22</v>
      </c>
      <c r="F46" s="47"/>
      <c r="G46" s="47"/>
      <c r="H46" s="45"/>
      <c r="I46" s="45"/>
      <c r="J46" s="45"/>
      <c r="K46" s="45"/>
      <c r="L46" s="45"/>
      <c r="M46" s="45"/>
    </row>
    <row r="47" spans="1:13" ht="14.5" customHeight="1">
      <c r="A47" s="47"/>
      <c r="B47"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7" s="47" t="s">
        <v>40</v>
      </c>
      <c r="D47" s="47" t="s">
        <v>64</v>
      </c>
      <c r="E47" s="47" t="s">
        <v>25</v>
      </c>
      <c r="F47" s="47"/>
      <c r="G47" s="47"/>
      <c r="H47" s="45"/>
      <c r="I47" s="45"/>
      <c r="J47" s="45"/>
      <c r="K47" s="45"/>
      <c r="L47" s="45"/>
      <c r="M47" s="45"/>
    </row>
    <row r="48" spans="1:13" ht="14.5" customHeight="1" thickBot="1">
      <c r="A48" s="48"/>
      <c r="B48"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8" s="48" t="s">
        <v>46</v>
      </c>
      <c r="D48" s="48" t="s">
        <v>36</v>
      </c>
      <c r="E48" s="48"/>
      <c r="F48" s="48"/>
      <c r="G48" s="48"/>
      <c r="H48" s="45"/>
      <c r="I48" s="45"/>
      <c r="J48" s="45"/>
      <c r="K48" s="45"/>
      <c r="L48" s="45"/>
      <c r="M48" s="45"/>
    </row>
    <row r="49" spans="1:13" ht="14.5" customHeight="1">
      <c r="A49" s="51" t="s">
        <v>434</v>
      </c>
      <c r="B49"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9" s="51" t="s">
        <v>56</v>
      </c>
      <c r="D49" s="51" t="s">
        <v>51</v>
      </c>
      <c r="E49" s="51" t="s">
        <v>69</v>
      </c>
      <c r="F49" s="51" t="s">
        <v>26</v>
      </c>
      <c r="G49" s="51">
        <f>COUNTA(C49:F52)</f>
        <v>12</v>
      </c>
      <c r="H49" s="45"/>
      <c r="I49" s="45"/>
      <c r="J49" s="45"/>
      <c r="K49" s="45"/>
      <c r="L49" s="45"/>
      <c r="M49" s="45"/>
    </row>
    <row r="50" spans="1:13" ht="14.5" customHeight="1">
      <c r="A50" s="50"/>
      <c r="B50"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0" s="50" t="s">
        <v>42</v>
      </c>
      <c r="D50" s="50" t="s">
        <v>23</v>
      </c>
      <c r="E50" s="50"/>
      <c r="F50" s="50"/>
      <c r="G50" s="50"/>
      <c r="H50" s="45"/>
      <c r="I50" s="45"/>
      <c r="J50" s="45"/>
      <c r="K50" s="45"/>
      <c r="L50" s="45"/>
      <c r="M50" s="45"/>
    </row>
    <row r="51" spans="1:13" ht="14.5" customHeight="1">
      <c r="A51" s="47"/>
      <c r="B51"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1" s="47" t="s">
        <v>72</v>
      </c>
      <c r="D51" s="47" t="s">
        <v>33</v>
      </c>
      <c r="E51" s="47"/>
      <c r="F51" s="47"/>
      <c r="G51" s="47"/>
      <c r="H51" s="45"/>
      <c r="I51" s="45"/>
      <c r="J51" s="45"/>
      <c r="K51" s="45"/>
      <c r="L51" s="45"/>
      <c r="M51" s="45"/>
    </row>
    <row r="52" spans="1:13" ht="14.5" customHeight="1" thickBot="1">
      <c r="A52" s="52"/>
      <c r="B52" s="52"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2" s="52" t="s">
        <v>20</v>
      </c>
      <c r="D52" s="52" t="s">
        <v>49</v>
      </c>
      <c r="E52" s="52" t="s">
        <v>13</v>
      </c>
      <c r="F52" s="52" t="s">
        <v>57</v>
      </c>
      <c r="G52" s="52"/>
      <c r="H52" s="45"/>
      <c r="I52" s="45"/>
      <c r="J52" s="45"/>
      <c r="K52" s="45"/>
      <c r="L52" s="45"/>
      <c r="M52" s="45"/>
    </row>
    <row r="53" spans="1:13" ht="14.5" customHeight="1">
      <c r="A53" s="45"/>
      <c r="B53" s="45"/>
      <c r="C53" s="45"/>
      <c r="D53" s="45"/>
      <c r="E53" s="45"/>
      <c r="F53" s="45"/>
      <c r="G53" s="45"/>
      <c r="H53" s="45"/>
      <c r="I53" s="45"/>
      <c r="J53" s="45"/>
      <c r="K53" s="45"/>
      <c r="L53" s="45"/>
      <c r="M53" s="45"/>
    </row>
    <row r="54" spans="1:13" ht="20" customHeight="1">
      <c r="A54" s="136" t="s">
        <v>811</v>
      </c>
      <c r="B54" s="136"/>
      <c r="C54" s="136"/>
      <c r="D54" s="136"/>
      <c r="E54" s="136"/>
      <c r="F54" s="136"/>
      <c r="G54" s="136"/>
      <c r="H54" s="136"/>
    </row>
    <row r="55" spans="1:13" ht="14.5" customHeight="1">
      <c r="A55" s="18"/>
      <c r="B55" s="19" t="s">
        <v>314</v>
      </c>
      <c r="C55" s="135" t="s">
        <v>758</v>
      </c>
      <c r="D55" s="135"/>
      <c r="E55" s="135"/>
      <c r="F55" s="135" t="s">
        <v>755</v>
      </c>
      <c r="G55" s="135"/>
      <c r="H55" s="18"/>
    </row>
    <row r="56" spans="1:13" ht="14.5" customHeight="1">
      <c r="A56" s="18"/>
      <c r="B56" s="20">
        <v>1</v>
      </c>
      <c r="C56" s="134" t="s">
        <v>972</v>
      </c>
      <c r="D56" s="134"/>
      <c r="E56" s="134"/>
      <c r="F56" s="134" t="s">
        <v>840</v>
      </c>
      <c r="G56" s="134"/>
      <c r="H56" s="18"/>
    </row>
    <row r="57" spans="1:13" ht="14.5" customHeight="1">
      <c r="A57" s="18"/>
      <c r="B57" s="20">
        <v>2</v>
      </c>
      <c r="C57" s="134" t="s">
        <v>973</v>
      </c>
      <c r="D57" s="134"/>
      <c r="E57" s="134"/>
      <c r="F57" s="134" t="s">
        <v>840</v>
      </c>
      <c r="G57" s="134"/>
      <c r="H57" s="18"/>
    </row>
    <row r="58" spans="1:13" ht="14.5" customHeight="1">
      <c r="A58" s="18"/>
      <c r="B58" s="20">
        <v>3</v>
      </c>
      <c r="C58" s="134" t="s">
        <v>974</v>
      </c>
      <c r="D58" s="134"/>
      <c r="E58" s="134"/>
      <c r="F58" s="134" t="s">
        <v>840</v>
      </c>
      <c r="G58" s="134"/>
      <c r="H58" s="18"/>
    </row>
    <row r="59" spans="1:13" ht="14.5" customHeight="1">
      <c r="A59" s="18"/>
      <c r="B59" s="20">
        <v>4</v>
      </c>
      <c r="C59" s="134" t="s">
        <v>975</v>
      </c>
      <c r="D59" s="134"/>
      <c r="E59" s="134"/>
      <c r="F59" s="134" t="s">
        <v>840</v>
      </c>
      <c r="G59" s="134"/>
      <c r="H59" s="18"/>
    </row>
    <row r="60" spans="1:13" ht="14.5" customHeight="1">
      <c r="A60" s="18"/>
      <c r="B60" s="20">
        <v>5</v>
      </c>
      <c r="C60" s="134" t="s">
        <v>976</v>
      </c>
      <c r="D60" s="134"/>
      <c r="E60" s="134"/>
      <c r="F60" s="134" t="s">
        <v>840</v>
      </c>
      <c r="G60" s="134"/>
      <c r="H60" s="18"/>
    </row>
    <row r="61" spans="1:13" ht="14.5" customHeight="1">
      <c r="A61" s="18"/>
      <c r="B61" s="20">
        <v>6</v>
      </c>
      <c r="C61" s="134" t="s">
        <v>977</v>
      </c>
      <c r="D61" s="134"/>
      <c r="E61" s="134"/>
      <c r="F61" s="134" t="s">
        <v>840</v>
      </c>
      <c r="G61" s="134"/>
      <c r="H61" s="18"/>
    </row>
    <row r="62" spans="1:13" ht="14.5" customHeight="1">
      <c r="A62" s="18"/>
      <c r="B62" s="20">
        <v>7</v>
      </c>
      <c r="C62" s="134" t="s">
        <v>978</v>
      </c>
      <c r="D62" s="134"/>
      <c r="E62" s="134"/>
      <c r="F62" s="134" t="s">
        <v>840</v>
      </c>
      <c r="G62" s="134"/>
      <c r="H62" s="18"/>
    </row>
    <row r="63" spans="1:13" ht="14.5" customHeight="1">
      <c r="A63" s="18"/>
      <c r="B63" s="20">
        <v>8</v>
      </c>
      <c r="C63" s="134" t="s">
        <v>979</v>
      </c>
      <c r="D63" s="134"/>
      <c r="E63" s="134"/>
      <c r="F63" s="134" t="s">
        <v>840</v>
      </c>
      <c r="G63" s="134"/>
      <c r="H63" s="18"/>
    </row>
    <row r="64" spans="1:13" ht="14.5" customHeight="1">
      <c r="A64" s="18"/>
      <c r="B64" s="20">
        <v>9</v>
      </c>
      <c r="C64" s="134" t="s">
        <v>980</v>
      </c>
      <c r="D64" s="134"/>
      <c r="E64" s="134"/>
      <c r="F64" s="134" t="s">
        <v>841</v>
      </c>
      <c r="G64" s="134"/>
      <c r="H64" s="18"/>
    </row>
    <row r="65" spans="1:8" ht="14.5" customHeight="1">
      <c r="A65" s="18"/>
      <c r="B65" s="20">
        <v>10</v>
      </c>
      <c r="C65" s="134" t="s">
        <v>981</v>
      </c>
      <c r="D65" s="134"/>
      <c r="E65" s="134"/>
      <c r="F65" s="134" t="s">
        <v>841</v>
      </c>
      <c r="G65" s="134"/>
      <c r="H65" s="18"/>
    </row>
    <row r="66" spans="1:8" ht="14.5" customHeight="1">
      <c r="A66" s="18"/>
      <c r="B66" s="20">
        <v>11</v>
      </c>
      <c r="C66" s="134" t="s">
        <v>982</v>
      </c>
      <c r="D66" s="134"/>
      <c r="E66" s="134"/>
      <c r="F66" s="134" t="s">
        <v>847</v>
      </c>
      <c r="G66" s="134"/>
      <c r="H66" s="18"/>
    </row>
    <row r="67" spans="1:8" ht="14.5" customHeight="1">
      <c r="A67" s="18"/>
      <c r="B67" s="20">
        <v>12</v>
      </c>
      <c r="C67" s="134" t="s">
        <v>983</v>
      </c>
      <c r="D67" s="134"/>
      <c r="E67" s="134"/>
      <c r="F67" s="134" t="s">
        <v>847</v>
      </c>
      <c r="G67" s="134"/>
      <c r="H67" s="18"/>
    </row>
    <row r="68" spans="1:8" ht="14.5" customHeight="1">
      <c r="A68" s="18"/>
      <c r="B68" s="18"/>
      <c r="C68" s="18"/>
      <c r="D68" s="18"/>
      <c r="E68" s="18"/>
      <c r="F68" s="18"/>
      <c r="G68" s="18"/>
      <c r="H68" s="18"/>
    </row>
    <row r="69" spans="1:8" ht="14.5" customHeight="1">
      <c r="A69" s="18"/>
      <c r="B69" s="18"/>
      <c r="C69" s="18"/>
      <c r="D69" s="18"/>
      <c r="E69" s="18"/>
      <c r="F69" s="18"/>
      <c r="G69" s="18"/>
      <c r="H69" s="18"/>
    </row>
    <row r="70" spans="1:8" ht="14.5" customHeight="1">
      <c r="A70" s="136" t="s">
        <v>812</v>
      </c>
      <c r="B70" s="136"/>
      <c r="C70" s="136"/>
      <c r="D70" s="136"/>
      <c r="E70" s="136"/>
      <c r="F70" s="136"/>
      <c r="G70" s="136"/>
      <c r="H70" s="136"/>
    </row>
    <row r="71" spans="1:8" ht="14.5" customHeight="1">
      <c r="A71" s="18"/>
      <c r="B71" s="19" t="s">
        <v>314</v>
      </c>
      <c r="C71" s="135" t="s">
        <v>758</v>
      </c>
      <c r="D71" s="135"/>
      <c r="E71" s="135"/>
      <c r="F71" s="135" t="s">
        <v>755</v>
      </c>
      <c r="G71" s="135"/>
      <c r="H71" s="18"/>
    </row>
    <row r="72" spans="1:8" ht="14.5">
      <c r="A72" s="18"/>
      <c r="B72" s="20">
        <v>1</v>
      </c>
      <c r="C72" s="134" t="s">
        <v>877</v>
      </c>
      <c r="D72" s="134"/>
      <c r="E72" s="134"/>
      <c r="F72" s="134" t="s">
        <v>840</v>
      </c>
      <c r="G72" s="134"/>
      <c r="H72" s="18"/>
    </row>
    <row r="73" spans="1:8" ht="14.5">
      <c r="A73" s="18"/>
      <c r="B73" s="20">
        <v>2</v>
      </c>
      <c r="C73" s="134" t="s">
        <v>878</v>
      </c>
      <c r="D73" s="134"/>
      <c r="E73" s="134"/>
      <c r="F73" s="134" t="s">
        <v>840</v>
      </c>
      <c r="G73" s="134"/>
      <c r="H73" s="18"/>
    </row>
    <row r="74" spans="1:8" ht="14.5">
      <c r="A74" s="18"/>
      <c r="B74" s="20">
        <v>3</v>
      </c>
      <c r="C74" s="134" t="s">
        <v>879</v>
      </c>
      <c r="D74" s="134"/>
      <c r="E74" s="134"/>
      <c r="F74" s="134" t="s">
        <v>840</v>
      </c>
      <c r="G74" s="134"/>
      <c r="H74" s="18"/>
    </row>
    <row r="75" spans="1:8" ht="14.5">
      <c r="A75" s="18"/>
      <c r="B75" s="20">
        <v>4</v>
      </c>
      <c r="C75" s="134" t="s">
        <v>984</v>
      </c>
      <c r="D75" s="134"/>
      <c r="E75" s="134"/>
      <c r="F75" s="134" t="s">
        <v>840</v>
      </c>
      <c r="G75" s="134"/>
      <c r="H75" s="18"/>
    </row>
    <row r="76" spans="1:8" ht="14.5">
      <c r="A76" s="18"/>
      <c r="B76" s="20">
        <v>5</v>
      </c>
      <c r="C76" s="134" t="s">
        <v>985</v>
      </c>
      <c r="D76" s="134"/>
      <c r="E76" s="134"/>
      <c r="F76" s="134" t="s">
        <v>840</v>
      </c>
      <c r="G76" s="134"/>
      <c r="H76" s="18"/>
    </row>
    <row r="77" spans="1:8" ht="14.5">
      <c r="A77" s="18"/>
      <c r="B77" s="20">
        <v>6</v>
      </c>
      <c r="C77" s="134" t="s">
        <v>986</v>
      </c>
      <c r="D77" s="134"/>
      <c r="E77" s="134"/>
      <c r="F77" s="134" t="s">
        <v>840</v>
      </c>
      <c r="G77" s="134"/>
      <c r="H77" s="18"/>
    </row>
    <row r="78" spans="1:8" ht="14.5">
      <c r="A78" s="18"/>
      <c r="B78" s="20">
        <v>7</v>
      </c>
      <c r="C78" s="134" t="s">
        <v>881</v>
      </c>
      <c r="D78" s="134"/>
      <c r="E78" s="134"/>
      <c r="F78" s="134" t="s">
        <v>840</v>
      </c>
      <c r="G78" s="134"/>
      <c r="H78" s="18"/>
    </row>
    <row r="79" spans="1:8" ht="14.5">
      <c r="A79" s="18"/>
      <c r="B79" s="20">
        <v>8</v>
      </c>
      <c r="C79" s="134" t="s">
        <v>882</v>
      </c>
      <c r="D79" s="134"/>
      <c r="E79" s="134"/>
      <c r="F79" s="134" t="s">
        <v>841</v>
      </c>
      <c r="G79" s="134"/>
      <c r="H79" s="18"/>
    </row>
    <row r="80" spans="1:8" ht="14.5">
      <c r="A80" s="18"/>
      <c r="B80" s="20">
        <v>9</v>
      </c>
      <c r="C80" s="134" t="s">
        <v>883</v>
      </c>
      <c r="D80" s="134"/>
      <c r="E80" s="134"/>
      <c r="F80" s="134" t="s">
        <v>841</v>
      </c>
      <c r="G80" s="134"/>
      <c r="H80" s="18"/>
    </row>
    <row r="81" spans="1:8" ht="14.5">
      <c r="A81" s="18"/>
      <c r="B81" s="20">
        <v>10</v>
      </c>
      <c r="C81" s="134" t="s">
        <v>987</v>
      </c>
      <c r="D81" s="134"/>
      <c r="E81" s="134"/>
      <c r="F81" s="134" t="s">
        <v>841</v>
      </c>
      <c r="G81" s="134"/>
      <c r="H81" s="18"/>
    </row>
    <row r="82" spans="1:8" ht="14.5">
      <c r="A82" s="18"/>
      <c r="B82" s="20">
        <v>11</v>
      </c>
      <c r="C82" s="134" t="s">
        <v>988</v>
      </c>
      <c r="D82" s="134"/>
      <c r="E82" s="134"/>
      <c r="F82" s="134" t="s">
        <v>847</v>
      </c>
      <c r="G82" s="134"/>
      <c r="H82" s="18"/>
    </row>
    <row r="83" spans="1:8" ht="14.5">
      <c r="A83" s="18"/>
      <c r="B83" s="20">
        <v>12</v>
      </c>
      <c r="C83" s="134" t="s">
        <v>989</v>
      </c>
      <c r="D83" s="134"/>
      <c r="E83" s="134"/>
      <c r="F83" s="134" t="s">
        <v>847</v>
      </c>
      <c r="G83" s="134"/>
      <c r="H83" s="18"/>
    </row>
    <row r="84" spans="1:8" ht="14.5">
      <c r="A84" s="18"/>
      <c r="B84" s="18"/>
      <c r="C84" s="18"/>
      <c r="D84" s="18"/>
      <c r="E84" s="18"/>
      <c r="F84" s="18"/>
      <c r="G84" s="18"/>
      <c r="H84" s="18"/>
    </row>
    <row r="85" spans="1:8" ht="14.5">
      <c r="A85" s="18"/>
      <c r="B85" s="18"/>
      <c r="C85" s="18"/>
      <c r="D85" s="18"/>
      <c r="E85" s="18"/>
      <c r="F85" s="18"/>
      <c r="G85" s="18"/>
      <c r="H85" s="18"/>
    </row>
  </sheetData>
  <mergeCells count="56">
    <mergeCell ref="C56:E56"/>
    <mergeCell ref="F56:G56"/>
    <mergeCell ref="C57:E57"/>
    <mergeCell ref="F57:G57"/>
    <mergeCell ref="C58:E58"/>
    <mergeCell ref="F58:G58"/>
    <mergeCell ref="A1:M1"/>
    <mergeCell ref="C2:F2"/>
    <mergeCell ref="A54:H54"/>
    <mergeCell ref="C55:E55"/>
    <mergeCell ref="F55:G55"/>
    <mergeCell ref="C59:E59"/>
    <mergeCell ref="F59:G59"/>
    <mergeCell ref="C60:E60"/>
    <mergeCell ref="F60:G60"/>
    <mergeCell ref="C61:E61"/>
    <mergeCell ref="F61:G61"/>
    <mergeCell ref="C62:E62"/>
    <mergeCell ref="F62:G62"/>
    <mergeCell ref="C63:E63"/>
    <mergeCell ref="F63:G63"/>
    <mergeCell ref="C64:E64"/>
    <mergeCell ref="F64:G64"/>
    <mergeCell ref="C65:E65"/>
    <mergeCell ref="F65:G65"/>
    <mergeCell ref="C66:E66"/>
    <mergeCell ref="F66:G66"/>
    <mergeCell ref="C67:E67"/>
    <mergeCell ref="F67:G67"/>
    <mergeCell ref="A70:H70"/>
    <mergeCell ref="C71:E71"/>
    <mergeCell ref="F71:G71"/>
    <mergeCell ref="C72:E72"/>
    <mergeCell ref="F72:G72"/>
    <mergeCell ref="C73:E73"/>
    <mergeCell ref="F73:G73"/>
    <mergeCell ref="C74:E74"/>
    <mergeCell ref="F74:G74"/>
    <mergeCell ref="C75:E75"/>
    <mergeCell ref="F75:G75"/>
    <mergeCell ref="C76:E76"/>
    <mergeCell ref="F76:G76"/>
    <mergeCell ref="C77:E77"/>
    <mergeCell ref="F77:G77"/>
    <mergeCell ref="C78:E78"/>
    <mergeCell ref="F78:G78"/>
    <mergeCell ref="C82:E82"/>
    <mergeCell ref="F82:G82"/>
    <mergeCell ref="C83:E83"/>
    <mergeCell ref="F83:G83"/>
    <mergeCell ref="C79:E79"/>
    <mergeCell ref="F79:G79"/>
    <mergeCell ref="C80:E80"/>
    <mergeCell ref="F80:G80"/>
    <mergeCell ref="C81:E81"/>
    <mergeCell ref="F81:G8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31B0-21A5-4A8C-8FBF-B2299DDA0A57}">
  <dimension ref="A1:N92"/>
  <sheetViews>
    <sheetView showGridLines="0" rightToLeft="1" workbookViewId="0">
      <pane ySplit="3" topLeftCell="A41" activePane="bottomLeft" state="frozen"/>
      <selection pane="bottomLeft" activeCell="F78" sqref="C78:G90"/>
    </sheetView>
  </sheetViews>
  <sheetFormatPr defaultRowHeight="14"/>
  <cols>
    <col min="1" max="1" width="15.83203125" customWidth="1"/>
    <col min="2" max="2" width="17.5" customWidth="1"/>
    <col min="3" max="6" width="13" customWidth="1"/>
    <col min="7" max="7" width="17.5" customWidth="1"/>
    <col min="8" max="14" width="13" customWidth="1"/>
  </cols>
  <sheetData>
    <row r="1" spans="1:14" ht="26" customHeight="1">
      <c r="A1" s="119" t="s">
        <v>470</v>
      </c>
      <c r="B1" s="119"/>
      <c r="C1" s="119"/>
      <c r="D1" s="119"/>
      <c r="E1" s="119"/>
      <c r="F1" s="119"/>
      <c r="G1" s="119"/>
      <c r="H1" s="119"/>
      <c r="I1" s="119"/>
      <c r="J1" s="119"/>
      <c r="K1" s="119"/>
      <c r="L1" s="119"/>
      <c r="M1" s="119"/>
      <c r="N1" s="119"/>
    </row>
    <row r="2" spans="1:14" ht="20" customHeight="1">
      <c r="A2" s="49"/>
      <c r="B2" s="49"/>
      <c r="C2" s="137" t="s">
        <v>471</v>
      </c>
      <c r="D2" s="137"/>
      <c r="E2" s="137"/>
      <c r="F2" s="137"/>
      <c r="G2" s="49"/>
      <c r="H2" s="45"/>
      <c r="I2" s="45"/>
      <c r="J2" s="45"/>
      <c r="K2" s="45"/>
      <c r="L2" s="45"/>
      <c r="M2" s="45"/>
      <c r="N2" s="45"/>
    </row>
    <row r="3" spans="1:14" ht="32" customHeight="1" thickBot="1">
      <c r="A3" s="49" t="s">
        <v>426</v>
      </c>
      <c r="B3" s="49" t="s">
        <v>7</v>
      </c>
      <c r="C3" s="49" t="s">
        <v>8</v>
      </c>
      <c r="D3" s="49" t="s">
        <v>9</v>
      </c>
      <c r="E3" s="49" t="s">
        <v>84</v>
      </c>
      <c r="F3" s="49" t="s">
        <v>119</v>
      </c>
      <c r="G3" s="49" t="s">
        <v>427</v>
      </c>
      <c r="H3" s="45"/>
      <c r="I3" s="45"/>
      <c r="J3" s="45"/>
      <c r="K3" s="45"/>
      <c r="L3" s="45"/>
      <c r="M3" s="45"/>
      <c r="N3" s="45"/>
    </row>
    <row r="4" spans="1:14"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79</v>
      </c>
      <c r="D4" s="51" t="s">
        <v>23</v>
      </c>
      <c r="E4" s="51" t="s">
        <v>63</v>
      </c>
      <c r="F4" s="51" t="s">
        <v>31</v>
      </c>
      <c r="G4" s="51">
        <f>COUNTA(C4:F12)</f>
        <v>26</v>
      </c>
      <c r="H4" s="45"/>
      <c r="I4" s="45"/>
      <c r="J4" s="45"/>
      <c r="K4" s="45"/>
      <c r="L4" s="45"/>
      <c r="M4" s="45"/>
      <c r="N4" s="45"/>
    </row>
    <row r="5" spans="1:14"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20</v>
      </c>
      <c r="D5" s="50" t="s">
        <v>51</v>
      </c>
      <c r="E5" s="50"/>
      <c r="F5" s="50"/>
      <c r="G5" s="50"/>
      <c r="H5" s="45"/>
      <c r="I5" s="45"/>
      <c r="J5" s="45"/>
      <c r="K5" s="45"/>
      <c r="L5" s="45"/>
      <c r="M5" s="45"/>
      <c r="N5" s="45"/>
    </row>
    <row r="6" spans="1:14"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321</v>
      </c>
      <c r="D6" s="47" t="s">
        <v>56</v>
      </c>
      <c r="E6" s="47" t="s">
        <v>72</v>
      </c>
      <c r="F6" s="47"/>
      <c r="G6" s="47"/>
      <c r="H6" s="45"/>
      <c r="I6" s="45"/>
      <c r="J6" s="45"/>
      <c r="K6" s="45"/>
      <c r="L6" s="45"/>
      <c r="M6" s="45"/>
      <c r="N6" s="45"/>
    </row>
    <row r="7" spans="1:14"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16</v>
      </c>
      <c r="D7" s="47" t="s">
        <v>47</v>
      </c>
      <c r="E7" s="47" t="s">
        <v>39</v>
      </c>
      <c r="F7" s="47"/>
      <c r="G7" s="47"/>
      <c r="H7" s="45"/>
      <c r="I7" s="45"/>
      <c r="J7" s="45"/>
      <c r="K7" s="45"/>
      <c r="L7" s="45"/>
      <c r="M7" s="45"/>
      <c r="N7" s="45"/>
    </row>
    <row r="8" spans="1:14"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61</v>
      </c>
      <c r="D8" s="47" t="s">
        <v>71</v>
      </c>
      <c r="E8" s="47"/>
      <c r="F8" s="47"/>
      <c r="G8" s="47"/>
      <c r="H8" s="45"/>
      <c r="I8" s="45"/>
      <c r="J8" s="45"/>
      <c r="K8" s="45"/>
      <c r="L8" s="45"/>
      <c r="M8" s="45"/>
      <c r="N8" s="45"/>
    </row>
    <row r="9" spans="1:14"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45</v>
      </c>
      <c r="D9" s="47" t="s">
        <v>343</v>
      </c>
      <c r="E9" s="47" t="s">
        <v>54</v>
      </c>
      <c r="F9" s="47" t="s">
        <v>10</v>
      </c>
      <c r="G9" s="47"/>
      <c r="H9" s="45"/>
      <c r="I9" s="45"/>
      <c r="J9" s="45"/>
      <c r="K9" s="45"/>
      <c r="L9" s="45"/>
      <c r="M9" s="45"/>
      <c r="N9" s="45"/>
    </row>
    <row r="10" spans="1:14"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35</v>
      </c>
      <c r="D10" s="47" t="s">
        <v>68</v>
      </c>
      <c r="E10" s="47"/>
      <c r="F10" s="47"/>
      <c r="G10" s="47"/>
      <c r="H10" s="45"/>
      <c r="I10" s="45"/>
      <c r="J10" s="45"/>
      <c r="K10" s="45"/>
      <c r="L10" s="45"/>
      <c r="M10" s="45"/>
      <c r="N10" s="45"/>
    </row>
    <row r="11" spans="1:14"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27</v>
      </c>
      <c r="D11" s="47" t="s">
        <v>93</v>
      </c>
      <c r="E11" s="47" t="s">
        <v>58</v>
      </c>
      <c r="F11" s="47"/>
      <c r="G11" s="47"/>
      <c r="H11" s="45"/>
      <c r="I11" s="45"/>
      <c r="J11" s="45"/>
      <c r="K11" s="45"/>
      <c r="L11" s="45"/>
      <c r="M11" s="45"/>
      <c r="N11" s="45"/>
    </row>
    <row r="12" spans="1:14"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22</v>
      </c>
      <c r="D12" s="48" t="s">
        <v>40</v>
      </c>
      <c r="E12" s="48" t="s">
        <v>65</v>
      </c>
      <c r="F12" s="48"/>
      <c r="G12" s="48"/>
      <c r="H12" s="45"/>
      <c r="I12" s="45"/>
      <c r="J12" s="45"/>
      <c r="K12" s="45"/>
      <c r="L12" s="45"/>
      <c r="M12" s="45"/>
      <c r="N12" s="45"/>
    </row>
    <row r="13" spans="1:14"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52</v>
      </c>
      <c r="D13" s="51" t="s">
        <v>42</v>
      </c>
      <c r="E13" s="51" t="s">
        <v>32</v>
      </c>
      <c r="F13" s="51" t="s">
        <v>345</v>
      </c>
      <c r="G13" s="51">
        <f>COUNTA(C13:F21)</f>
        <v>26</v>
      </c>
      <c r="H13" s="45"/>
      <c r="I13" s="45"/>
      <c r="J13" s="45"/>
      <c r="K13" s="45"/>
      <c r="L13" s="45"/>
      <c r="M13" s="45"/>
      <c r="N13" s="45"/>
    </row>
    <row r="14" spans="1:14"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60</v>
      </c>
      <c r="D14" s="50" t="s">
        <v>13</v>
      </c>
      <c r="E14" s="50"/>
      <c r="F14" s="50"/>
      <c r="G14" s="50"/>
      <c r="H14" s="45"/>
      <c r="I14" s="45"/>
      <c r="J14" s="45"/>
      <c r="K14" s="45"/>
      <c r="L14" s="45"/>
      <c r="M14" s="45"/>
      <c r="N14" s="45"/>
    </row>
    <row r="15" spans="1:14"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28</v>
      </c>
      <c r="D15" s="47" t="s">
        <v>80</v>
      </c>
      <c r="E15" s="47" t="s">
        <v>43</v>
      </c>
      <c r="F15" s="47"/>
      <c r="G15" s="47"/>
      <c r="H15" s="45"/>
      <c r="I15" s="45"/>
      <c r="J15" s="45"/>
      <c r="K15" s="45"/>
      <c r="L15" s="45"/>
      <c r="M15" s="45"/>
      <c r="N15" s="45"/>
    </row>
    <row r="16" spans="1:14"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36</v>
      </c>
      <c r="D16" s="47" t="s">
        <v>12</v>
      </c>
      <c r="E16" s="47" t="s">
        <v>59</v>
      </c>
      <c r="F16" s="47"/>
      <c r="G16" s="47"/>
      <c r="H16" s="45"/>
      <c r="I16" s="45"/>
      <c r="J16" s="45"/>
      <c r="K16" s="45"/>
      <c r="L16" s="45"/>
      <c r="M16" s="45"/>
      <c r="N16" s="45"/>
    </row>
    <row r="17" spans="1:14"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69</v>
      </c>
      <c r="D17" s="47" t="s">
        <v>41</v>
      </c>
      <c r="E17" s="47"/>
      <c r="F17" s="47"/>
      <c r="G17" s="47"/>
      <c r="H17" s="45"/>
      <c r="I17" s="45"/>
      <c r="J17" s="45"/>
      <c r="K17" s="45"/>
      <c r="L17" s="45"/>
      <c r="M17" s="45"/>
      <c r="N17" s="45"/>
    </row>
    <row r="18" spans="1:14"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348</v>
      </c>
      <c r="D18" s="47" t="s">
        <v>30</v>
      </c>
      <c r="E18" s="47" t="s">
        <v>18</v>
      </c>
      <c r="F18" s="47"/>
      <c r="G18" s="47"/>
      <c r="H18" s="45"/>
      <c r="I18" s="45"/>
      <c r="J18" s="45"/>
      <c r="K18" s="45"/>
      <c r="L18" s="45"/>
      <c r="M18" s="45"/>
      <c r="N18" s="45"/>
    </row>
    <row r="19" spans="1:14"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48</v>
      </c>
      <c r="D19" s="47" t="s">
        <v>73</v>
      </c>
      <c r="E19" s="47" t="s">
        <v>55</v>
      </c>
      <c r="F19" s="47"/>
      <c r="G19" s="47"/>
      <c r="H19" s="45"/>
      <c r="I19" s="45"/>
      <c r="J19" s="45"/>
      <c r="K19" s="45"/>
      <c r="L19" s="45"/>
      <c r="M19" s="45"/>
      <c r="N19" s="45"/>
    </row>
    <row r="20" spans="1:14"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15</v>
      </c>
      <c r="D20" s="47" t="s">
        <v>25</v>
      </c>
      <c r="E20" s="47"/>
      <c r="F20" s="47"/>
      <c r="G20" s="47"/>
      <c r="H20" s="45"/>
      <c r="I20" s="45"/>
      <c r="J20" s="45"/>
      <c r="K20" s="45"/>
      <c r="L20" s="45"/>
      <c r="M20" s="45"/>
      <c r="N20" s="45"/>
    </row>
    <row r="21" spans="1:14"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21</v>
      </c>
      <c r="D21" s="48" t="s">
        <v>50</v>
      </c>
      <c r="E21" s="48" t="s">
        <v>75</v>
      </c>
      <c r="F21" s="48" t="s">
        <v>81</v>
      </c>
      <c r="G21" s="48"/>
      <c r="H21" s="45"/>
      <c r="I21" s="45"/>
      <c r="J21" s="45"/>
      <c r="K21" s="45"/>
      <c r="L21" s="45"/>
      <c r="M21" s="45"/>
      <c r="N21" s="45"/>
    </row>
    <row r="22" spans="1:14"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66</v>
      </c>
      <c r="D22" s="51" t="s">
        <v>14</v>
      </c>
      <c r="E22" s="51" t="s">
        <v>53</v>
      </c>
      <c r="F22" s="51" t="s">
        <v>64</v>
      </c>
      <c r="G22" s="51">
        <f>COUNTA(C22:F30)</f>
        <v>26</v>
      </c>
      <c r="H22" s="45"/>
      <c r="I22" s="45"/>
      <c r="J22" s="45"/>
      <c r="K22" s="45"/>
      <c r="L22" s="45"/>
      <c r="M22" s="45"/>
      <c r="N22" s="45"/>
    </row>
    <row r="23" spans="1:14"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44</v>
      </c>
      <c r="D23" s="50" t="s">
        <v>347</v>
      </c>
      <c r="E23" s="50"/>
      <c r="F23" s="50"/>
      <c r="G23" s="50"/>
      <c r="H23" s="45"/>
      <c r="I23" s="45"/>
      <c r="J23" s="45"/>
      <c r="K23" s="45"/>
      <c r="L23" s="45"/>
      <c r="M23" s="45"/>
      <c r="N23" s="45"/>
    </row>
    <row r="24" spans="1:14"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67</v>
      </c>
      <c r="D24" s="47" t="s">
        <v>29</v>
      </c>
      <c r="E24" s="47"/>
      <c r="F24" s="47"/>
      <c r="G24" s="47"/>
      <c r="H24" s="45"/>
      <c r="I24" s="45"/>
      <c r="J24" s="45"/>
      <c r="K24" s="45"/>
      <c r="L24" s="45"/>
      <c r="M24" s="45"/>
      <c r="N24" s="45"/>
    </row>
    <row r="25" spans="1:14"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11</v>
      </c>
      <c r="D25" s="47" t="s">
        <v>24</v>
      </c>
      <c r="E25" s="47" t="s">
        <v>37</v>
      </c>
      <c r="F25" s="47" t="s">
        <v>139</v>
      </c>
      <c r="G25" s="47"/>
      <c r="H25" s="45"/>
      <c r="I25" s="45"/>
      <c r="J25" s="45"/>
      <c r="K25" s="45"/>
      <c r="L25" s="45"/>
      <c r="M25" s="45"/>
      <c r="N25" s="45"/>
    </row>
    <row r="26" spans="1:14"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74</v>
      </c>
      <c r="D26" s="47" t="s">
        <v>49</v>
      </c>
      <c r="E26" s="47"/>
      <c r="F26" s="47"/>
      <c r="G26" s="47"/>
      <c r="H26" s="45"/>
      <c r="I26" s="45"/>
      <c r="J26" s="45"/>
      <c r="K26" s="45"/>
      <c r="L26" s="45"/>
      <c r="M26" s="45"/>
      <c r="N26" s="45"/>
    </row>
    <row r="27" spans="1:14"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33</v>
      </c>
      <c r="D27" s="47" t="s">
        <v>19</v>
      </c>
      <c r="E27" s="47" t="s">
        <v>57</v>
      </c>
      <c r="F27" s="47" t="s">
        <v>346</v>
      </c>
      <c r="G27" s="47"/>
      <c r="H27" s="45"/>
      <c r="I27" s="45"/>
      <c r="J27" s="45"/>
      <c r="K27" s="45"/>
      <c r="L27" s="45"/>
      <c r="M27" s="45"/>
      <c r="N27" s="45"/>
    </row>
    <row r="28" spans="1:14"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70</v>
      </c>
      <c r="D28" s="47" t="s">
        <v>17</v>
      </c>
      <c r="E28" s="47"/>
      <c r="F28" s="47"/>
      <c r="G28" s="47"/>
      <c r="H28" s="45"/>
      <c r="I28" s="45"/>
      <c r="J28" s="45"/>
      <c r="K28" s="45"/>
      <c r="L28" s="45"/>
      <c r="M28" s="45"/>
      <c r="N28" s="45"/>
    </row>
    <row r="29" spans="1:14"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46</v>
      </c>
      <c r="D29" s="47" t="s">
        <v>344</v>
      </c>
      <c r="E29" s="47" t="s">
        <v>62</v>
      </c>
      <c r="F29" s="47"/>
      <c r="G29" s="47"/>
      <c r="H29" s="45"/>
      <c r="I29" s="45"/>
      <c r="J29" s="45"/>
      <c r="K29" s="45"/>
      <c r="L29" s="45"/>
      <c r="M29" s="45"/>
      <c r="N29" s="45"/>
    </row>
    <row r="30" spans="1:14" ht="14.5" customHeight="1" thickBot="1">
      <c r="A30" s="48"/>
      <c r="B3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8" t="s">
        <v>34</v>
      </c>
      <c r="D30" s="48" t="s">
        <v>38</v>
      </c>
      <c r="E30" s="48" t="s">
        <v>26</v>
      </c>
      <c r="F30" s="48"/>
      <c r="G30" s="48"/>
      <c r="H30" s="45"/>
      <c r="I30" s="45"/>
      <c r="J30" s="45"/>
      <c r="K30" s="45"/>
      <c r="L30" s="45"/>
      <c r="M30" s="45"/>
      <c r="N30" s="45"/>
    </row>
    <row r="31" spans="1:14" ht="14.5" customHeight="1">
      <c r="A31" s="51" t="s">
        <v>431</v>
      </c>
      <c r="B3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1" s="51" t="s">
        <v>20</v>
      </c>
      <c r="D31" s="51" t="s">
        <v>52</v>
      </c>
      <c r="E31" s="51" t="s">
        <v>75</v>
      </c>
      <c r="F31" s="51" t="s">
        <v>12</v>
      </c>
      <c r="G31" s="51">
        <f>COUNTA(C31:F39)</f>
        <v>26</v>
      </c>
      <c r="H31" s="45"/>
      <c r="I31" s="45"/>
      <c r="J31" s="45"/>
      <c r="K31" s="45"/>
      <c r="L31" s="45"/>
      <c r="M31" s="45"/>
      <c r="N31" s="45"/>
    </row>
    <row r="32" spans="1:14" ht="14.5" customHeight="1">
      <c r="A32" s="50"/>
      <c r="B3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2" s="50" t="s">
        <v>23</v>
      </c>
      <c r="D32" s="50" t="s">
        <v>44</v>
      </c>
      <c r="E32" s="50"/>
      <c r="F32" s="50"/>
      <c r="G32" s="50"/>
      <c r="H32" s="45"/>
      <c r="I32" s="45"/>
      <c r="J32" s="45"/>
      <c r="K32" s="45"/>
      <c r="L32" s="45"/>
      <c r="M32" s="45"/>
      <c r="N32" s="45"/>
    </row>
    <row r="33" spans="1:14" ht="14.5" customHeight="1">
      <c r="A33" s="47"/>
      <c r="B3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3" s="47" t="s">
        <v>29</v>
      </c>
      <c r="D33" s="47" t="s">
        <v>347</v>
      </c>
      <c r="E33" s="47"/>
      <c r="F33" s="47"/>
      <c r="G33" s="47"/>
      <c r="H33" s="45"/>
      <c r="I33" s="45"/>
      <c r="J33" s="45"/>
      <c r="K33" s="45"/>
      <c r="L33" s="45"/>
      <c r="M33" s="45"/>
      <c r="N33" s="45"/>
    </row>
    <row r="34" spans="1:14" ht="14.5" customHeight="1">
      <c r="A34" s="47"/>
      <c r="B3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4" s="47" t="s">
        <v>64</v>
      </c>
      <c r="D34" s="47" t="s">
        <v>48</v>
      </c>
      <c r="E34" s="47" t="s">
        <v>68</v>
      </c>
      <c r="F34" s="47" t="s">
        <v>43</v>
      </c>
      <c r="G34" s="47"/>
      <c r="H34" s="45"/>
      <c r="I34" s="45"/>
      <c r="J34" s="45"/>
      <c r="K34" s="45"/>
      <c r="L34" s="45"/>
      <c r="M34" s="45"/>
      <c r="N34" s="45"/>
    </row>
    <row r="35" spans="1:14" ht="14.5" customHeight="1">
      <c r="A35" s="47"/>
      <c r="B3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5" s="47" t="s">
        <v>28</v>
      </c>
      <c r="D35" s="47" t="s">
        <v>348</v>
      </c>
      <c r="E35" s="47"/>
      <c r="F35" s="47"/>
      <c r="G35" s="47"/>
      <c r="H35" s="45"/>
      <c r="I35" s="45"/>
      <c r="J35" s="45"/>
      <c r="K35" s="45"/>
      <c r="L35" s="45"/>
      <c r="M35" s="45"/>
      <c r="N35" s="45"/>
    </row>
    <row r="36" spans="1:14" ht="14.5" customHeight="1">
      <c r="A36" s="47"/>
      <c r="B3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6" s="47" t="s">
        <v>55</v>
      </c>
      <c r="D36" s="47" t="s">
        <v>24</v>
      </c>
      <c r="E36" s="47" t="s">
        <v>53</v>
      </c>
      <c r="F36" s="47" t="s">
        <v>37</v>
      </c>
      <c r="G36" s="47"/>
      <c r="H36" s="45"/>
      <c r="I36" s="45"/>
      <c r="J36" s="45"/>
      <c r="K36" s="45"/>
      <c r="L36" s="45"/>
      <c r="M36" s="45"/>
      <c r="N36" s="45"/>
    </row>
    <row r="37" spans="1:14" ht="14.5" customHeight="1">
      <c r="A37" s="47"/>
      <c r="B3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7" s="47" t="s">
        <v>65</v>
      </c>
      <c r="D37" s="47" t="s">
        <v>321</v>
      </c>
      <c r="E37" s="47"/>
      <c r="F37" s="47"/>
      <c r="G37" s="47"/>
      <c r="H37" s="45"/>
      <c r="I37" s="45"/>
      <c r="J37" s="45"/>
      <c r="K37" s="45"/>
      <c r="L37" s="45"/>
      <c r="M37" s="45"/>
      <c r="N37" s="45"/>
    </row>
    <row r="38" spans="1:14" ht="14.5" customHeight="1">
      <c r="A38" s="47"/>
      <c r="B3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8" s="47" t="s">
        <v>19</v>
      </c>
      <c r="D38" s="47" t="s">
        <v>62</v>
      </c>
      <c r="E38" s="47" t="s">
        <v>35</v>
      </c>
      <c r="F38" s="47"/>
      <c r="G38" s="47"/>
      <c r="H38" s="45"/>
      <c r="I38" s="45"/>
      <c r="J38" s="45"/>
      <c r="K38" s="45"/>
      <c r="L38" s="45"/>
      <c r="M38" s="45"/>
      <c r="N38" s="45"/>
    </row>
    <row r="39" spans="1:14" ht="14.5" customHeight="1" thickBot="1">
      <c r="A39" s="48"/>
      <c r="B3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9" s="48" t="s">
        <v>39</v>
      </c>
      <c r="D39" s="48" t="s">
        <v>47</v>
      </c>
      <c r="E39" s="48" t="s">
        <v>80</v>
      </c>
      <c r="F39" s="48"/>
      <c r="G39" s="48"/>
      <c r="H39" s="45"/>
      <c r="I39" s="45"/>
      <c r="J39" s="45"/>
      <c r="K39" s="45"/>
      <c r="L39" s="45"/>
      <c r="M39" s="45"/>
      <c r="N39" s="45"/>
    </row>
    <row r="40" spans="1:14" ht="14.5" customHeight="1">
      <c r="A40" s="51" t="s">
        <v>432</v>
      </c>
      <c r="B4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0" s="51" t="s">
        <v>17</v>
      </c>
      <c r="D40" s="51" t="s">
        <v>81</v>
      </c>
      <c r="E40" s="51" t="s">
        <v>40</v>
      </c>
      <c r="F40" s="51"/>
      <c r="G40" s="51">
        <f>COUNTA(C40:F48)</f>
        <v>26</v>
      </c>
      <c r="H40" s="45"/>
      <c r="I40" s="45"/>
      <c r="J40" s="45"/>
      <c r="K40" s="45"/>
      <c r="L40" s="45"/>
      <c r="M40" s="45"/>
      <c r="N40" s="45"/>
    </row>
    <row r="41" spans="1:14" ht="14.5" customHeight="1">
      <c r="A41" s="50"/>
      <c r="B4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1" s="50" t="s">
        <v>11</v>
      </c>
      <c r="D41" s="50" t="s">
        <v>66</v>
      </c>
      <c r="E41" s="50" t="s">
        <v>50</v>
      </c>
      <c r="F41" s="50"/>
      <c r="G41" s="50"/>
      <c r="H41" s="45"/>
      <c r="I41" s="45"/>
      <c r="J41" s="45"/>
      <c r="K41" s="45"/>
      <c r="L41" s="45"/>
      <c r="M41" s="45"/>
      <c r="N41" s="45"/>
    </row>
    <row r="42" spans="1:14" ht="14.5" customHeight="1">
      <c r="A42" s="47"/>
      <c r="B4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2" s="47" t="s">
        <v>139</v>
      </c>
      <c r="D42" s="47" t="s">
        <v>34</v>
      </c>
      <c r="E42" s="47" t="s">
        <v>38</v>
      </c>
      <c r="F42" s="47"/>
      <c r="G42" s="47"/>
      <c r="H42" s="45"/>
      <c r="I42" s="45"/>
      <c r="J42" s="45"/>
      <c r="K42" s="45"/>
      <c r="L42" s="45"/>
      <c r="M42" s="45"/>
      <c r="N42" s="45"/>
    </row>
    <row r="43" spans="1:14" ht="14.5" customHeight="1">
      <c r="A43" s="47"/>
      <c r="B4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3" s="47" t="s">
        <v>15</v>
      </c>
      <c r="D43" s="47" t="s">
        <v>46</v>
      </c>
      <c r="E43" s="47"/>
      <c r="F43" s="47"/>
      <c r="G43" s="47"/>
      <c r="H43" s="45"/>
      <c r="I43" s="45"/>
      <c r="J43" s="45"/>
      <c r="K43" s="45"/>
      <c r="L43" s="45"/>
      <c r="M43" s="45"/>
      <c r="N43" s="45"/>
    </row>
    <row r="44" spans="1:14" ht="14.5" customHeight="1">
      <c r="A44" s="47"/>
      <c r="B4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4" s="47" t="s">
        <v>58</v>
      </c>
      <c r="D44" s="47" t="s">
        <v>27</v>
      </c>
      <c r="E44" s="47" t="s">
        <v>74</v>
      </c>
      <c r="F44" s="47" t="s">
        <v>79</v>
      </c>
      <c r="G44" s="47"/>
      <c r="H44" s="45"/>
      <c r="I44" s="45"/>
      <c r="J44" s="45"/>
      <c r="K44" s="45"/>
      <c r="L44" s="45"/>
      <c r="M44" s="45"/>
      <c r="N44" s="45"/>
    </row>
    <row r="45" spans="1:14" ht="14.5" customHeight="1">
      <c r="A45" s="47"/>
      <c r="B4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5" s="47" t="s">
        <v>32</v>
      </c>
      <c r="D45" s="47" t="s">
        <v>54</v>
      </c>
      <c r="E45" s="47"/>
      <c r="F45" s="47"/>
      <c r="G45" s="47"/>
      <c r="H45" s="45"/>
      <c r="I45" s="45"/>
      <c r="J45" s="45"/>
      <c r="K45" s="45"/>
      <c r="L45" s="45"/>
      <c r="M45" s="45"/>
      <c r="N45" s="45"/>
    </row>
    <row r="46" spans="1:14" ht="14.5" customHeight="1">
      <c r="A46" s="47"/>
      <c r="B46"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6" s="47" t="s">
        <v>346</v>
      </c>
      <c r="D46" s="47" t="s">
        <v>10</v>
      </c>
      <c r="E46" s="47" t="s">
        <v>63</v>
      </c>
      <c r="F46" s="47" t="s">
        <v>70</v>
      </c>
      <c r="G46" s="47"/>
      <c r="H46" s="45"/>
      <c r="I46" s="45"/>
      <c r="J46" s="45"/>
      <c r="K46" s="45"/>
      <c r="L46" s="45"/>
      <c r="M46" s="45"/>
      <c r="N46" s="45"/>
    </row>
    <row r="47" spans="1:14" ht="14.5" customHeight="1">
      <c r="A47" s="47"/>
      <c r="B47"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7" s="47" t="s">
        <v>31</v>
      </c>
      <c r="D47" s="47" t="s">
        <v>21</v>
      </c>
      <c r="E47" s="47"/>
      <c r="F47" s="47"/>
      <c r="G47" s="47"/>
      <c r="H47" s="45"/>
      <c r="I47" s="45"/>
      <c r="J47" s="45"/>
      <c r="K47" s="45"/>
      <c r="L47" s="45"/>
      <c r="M47" s="45"/>
      <c r="N47" s="45"/>
    </row>
    <row r="48" spans="1:14" ht="14.5" customHeight="1" thickBot="1">
      <c r="A48" s="48"/>
      <c r="B48"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8" s="48" t="s">
        <v>30</v>
      </c>
      <c r="D48" s="48" t="s">
        <v>73</v>
      </c>
      <c r="E48" s="48" t="s">
        <v>59</v>
      </c>
      <c r="F48" s="48"/>
      <c r="G48" s="48"/>
      <c r="H48" s="45"/>
      <c r="I48" s="45"/>
      <c r="J48" s="45"/>
      <c r="K48" s="45"/>
      <c r="L48" s="45"/>
      <c r="M48" s="45"/>
      <c r="N48" s="45"/>
    </row>
    <row r="49" spans="1:14" ht="14.5" customHeight="1">
      <c r="A49" s="51" t="s">
        <v>434</v>
      </c>
      <c r="B49"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9" s="51" t="s">
        <v>22</v>
      </c>
      <c r="D49" s="51" t="s">
        <v>57</v>
      </c>
      <c r="E49" s="51" t="s">
        <v>344</v>
      </c>
      <c r="F49" s="51" t="s">
        <v>72</v>
      </c>
      <c r="G49" s="51">
        <f>COUNTA(C49:F57)</f>
        <v>26</v>
      </c>
      <c r="H49" s="45"/>
      <c r="I49" s="45"/>
      <c r="J49" s="45"/>
      <c r="K49" s="45"/>
      <c r="L49" s="45"/>
      <c r="M49" s="45"/>
      <c r="N49" s="45"/>
    </row>
    <row r="50" spans="1:14" ht="14.5" customHeight="1">
      <c r="A50" s="50"/>
      <c r="B50"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0" s="50" t="s">
        <v>49</v>
      </c>
      <c r="D50" s="50" t="s">
        <v>33</v>
      </c>
      <c r="E50" s="50"/>
      <c r="F50" s="50"/>
      <c r="G50" s="50"/>
      <c r="H50" s="45"/>
      <c r="I50" s="45"/>
      <c r="J50" s="45"/>
      <c r="K50" s="45"/>
      <c r="L50" s="45"/>
      <c r="M50" s="45"/>
      <c r="N50" s="45"/>
    </row>
    <row r="51" spans="1:14" ht="14.5" customHeight="1">
      <c r="A51" s="47"/>
      <c r="B51"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1" s="47" t="s">
        <v>18</v>
      </c>
      <c r="D51" s="47" t="s">
        <v>69</v>
      </c>
      <c r="E51" s="47"/>
      <c r="F51" s="47"/>
      <c r="G51" s="47"/>
      <c r="H51" s="45"/>
      <c r="I51" s="45"/>
      <c r="J51" s="45"/>
      <c r="K51" s="45"/>
      <c r="L51" s="45"/>
      <c r="M51" s="45"/>
      <c r="N51" s="45"/>
    </row>
    <row r="52" spans="1:14" ht="14.5" customHeight="1">
      <c r="A52" s="47"/>
      <c r="B52"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2" s="47" t="s">
        <v>36</v>
      </c>
      <c r="D52" s="47" t="s">
        <v>93</v>
      </c>
      <c r="E52" s="47" t="s">
        <v>61</v>
      </c>
      <c r="F52" s="47" t="s">
        <v>41</v>
      </c>
      <c r="G52" s="47"/>
      <c r="H52" s="45"/>
      <c r="I52" s="45"/>
      <c r="J52" s="45"/>
      <c r="K52" s="45"/>
      <c r="L52" s="45"/>
      <c r="M52" s="45"/>
      <c r="N52" s="45"/>
    </row>
    <row r="53" spans="1:14" ht="14.5" customHeight="1">
      <c r="A53" s="47"/>
      <c r="B53"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3" s="47" t="s">
        <v>26</v>
      </c>
      <c r="D53" s="47" t="s">
        <v>14</v>
      </c>
      <c r="E53" s="47"/>
      <c r="F53" s="47"/>
      <c r="G53" s="47"/>
      <c r="H53" s="45"/>
      <c r="I53" s="45"/>
      <c r="J53" s="45"/>
      <c r="K53" s="45"/>
      <c r="L53" s="45"/>
      <c r="M53" s="45"/>
      <c r="N53" s="45"/>
    </row>
    <row r="54" spans="1:14" ht="14.5" customHeight="1">
      <c r="A54" s="47"/>
      <c r="B54"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4" s="47" t="s">
        <v>56</v>
      </c>
      <c r="D54" s="47" t="s">
        <v>13</v>
      </c>
      <c r="E54" s="47" t="s">
        <v>42</v>
      </c>
      <c r="F54" s="47" t="s">
        <v>67</v>
      </c>
      <c r="G54" s="47"/>
      <c r="H54" s="45"/>
      <c r="I54" s="45"/>
      <c r="J54" s="45"/>
      <c r="K54" s="45"/>
      <c r="L54" s="45"/>
      <c r="M54" s="45"/>
      <c r="N54" s="45"/>
    </row>
    <row r="55" spans="1:14" ht="14.5" customHeight="1">
      <c r="A55" s="47"/>
      <c r="B55"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5" s="47" t="s">
        <v>25</v>
      </c>
      <c r="D55" s="47" t="s">
        <v>343</v>
      </c>
      <c r="E55" s="47"/>
      <c r="F55" s="47"/>
      <c r="G55" s="47"/>
      <c r="H55" s="45"/>
      <c r="I55" s="45"/>
      <c r="J55" s="45"/>
      <c r="K55" s="45"/>
      <c r="L55" s="45"/>
      <c r="M55" s="45"/>
      <c r="N55" s="45"/>
    </row>
    <row r="56" spans="1:14" ht="14.5" customHeight="1">
      <c r="A56" s="47"/>
      <c r="B56"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6" s="47" t="s">
        <v>60</v>
      </c>
      <c r="D56" s="47" t="s">
        <v>51</v>
      </c>
      <c r="E56" s="47" t="s">
        <v>16</v>
      </c>
      <c r="F56" s="47"/>
      <c r="G56" s="47"/>
      <c r="H56" s="45"/>
      <c r="I56" s="45"/>
      <c r="J56" s="45"/>
      <c r="K56" s="45"/>
      <c r="L56" s="45"/>
      <c r="M56" s="45"/>
      <c r="N56" s="45"/>
    </row>
    <row r="57" spans="1:14" ht="14.5" customHeight="1" thickBot="1">
      <c r="A57" s="52"/>
      <c r="B57" s="52"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7" s="52" t="s">
        <v>45</v>
      </c>
      <c r="D57" s="52" t="s">
        <v>71</v>
      </c>
      <c r="E57" s="52" t="s">
        <v>345</v>
      </c>
      <c r="F57" s="52"/>
      <c r="G57" s="52"/>
      <c r="H57" s="45"/>
      <c r="I57" s="45"/>
      <c r="J57" s="45"/>
      <c r="K57" s="45"/>
      <c r="L57" s="45"/>
      <c r="M57" s="45"/>
      <c r="N57" s="45"/>
    </row>
    <row r="58" spans="1:14" ht="14.5" customHeight="1">
      <c r="A58" s="45"/>
      <c r="B58" s="45"/>
      <c r="C58" s="45"/>
      <c r="D58" s="45"/>
      <c r="E58" s="45"/>
      <c r="F58" s="45"/>
      <c r="G58" s="45"/>
      <c r="H58" s="45"/>
      <c r="I58" s="45"/>
      <c r="J58" s="45"/>
      <c r="K58" s="45"/>
      <c r="L58" s="45"/>
      <c r="M58" s="45"/>
      <c r="N58" s="45"/>
    </row>
    <row r="59" spans="1:14" ht="20" customHeight="1">
      <c r="A59" s="136" t="s">
        <v>813</v>
      </c>
      <c r="B59" s="136"/>
      <c r="C59" s="136"/>
      <c r="D59" s="136"/>
      <c r="E59" s="136"/>
      <c r="F59" s="136"/>
      <c r="G59" s="136"/>
      <c r="H59" s="136"/>
    </row>
    <row r="60" spans="1:14" ht="14.5" customHeight="1">
      <c r="A60" s="18"/>
      <c r="B60" s="19" t="s">
        <v>314</v>
      </c>
      <c r="C60" s="135" t="s">
        <v>765</v>
      </c>
      <c r="D60" s="135"/>
      <c r="E60" s="135"/>
      <c r="F60" s="135" t="s">
        <v>755</v>
      </c>
      <c r="G60" s="135"/>
      <c r="H60" s="18"/>
    </row>
    <row r="61" spans="1:14" ht="14.5" customHeight="1">
      <c r="A61" s="18"/>
      <c r="B61" s="20">
        <v>1</v>
      </c>
      <c r="C61" s="134" t="s">
        <v>990</v>
      </c>
      <c r="D61" s="134"/>
      <c r="E61" s="134"/>
      <c r="F61" s="134" t="s">
        <v>840</v>
      </c>
      <c r="G61" s="134"/>
      <c r="H61" s="18"/>
    </row>
    <row r="62" spans="1:14" ht="14.5" customHeight="1">
      <c r="A62" s="18"/>
      <c r="B62" s="20">
        <v>2</v>
      </c>
      <c r="C62" s="134" t="s">
        <v>991</v>
      </c>
      <c r="D62" s="134"/>
      <c r="E62" s="134"/>
      <c r="F62" s="134" t="s">
        <v>841</v>
      </c>
      <c r="G62" s="134"/>
      <c r="H62" s="18"/>
    </row>
    <row r="63" spans="1:14" ht="14.5" customHeight="1">
      <c r="A63" s="18"/>
      <c r="B63" s="20">
        <v>3</v>
      </c>
      <c r="C63" s="134" t="s">
        <v>992</v>
      </c>
      <c r="D63" s="134"/>
      <c r="E63" s="134"/>
      <c r="F63" s="134" t="s">
        <v>847</v>
      </c>
      <c r="G63" s="134"/>
      <c r="H63" s="18"/>
    </row>
    <row r="64" spans="1:14" ht="14.5" customHeight="1">
      <c r="A64" s="18"/>
      <c r="B64" s="20">
        <v>4</v>
      </c>
      <c r="C64" s="134" t="s">
        <v>993</v>
      </c>
      <c r="D64" s="134"/>
      <c r="E64" s="134"/>
      <c r="F64" s="134" t="s">
        <v>847</v>
      </c>
      <c r="G64" s="134"/>
      <c r="H64" s="18"/>
    </row>
    <row r="65" spans="1:8" ht="14.5" customHeight="1">
      <c r="A65" s="18"/>
      <c r="B65" s="20">
        <v>5</v>
      </c>
      <c r="C65" s="134" t="s">
        <v>994</v>
      </c>
      <c r="D65" s="134"/>
      <c r="E65" s="134"/>
      <c r="F65" s="134" t="s">
        <v>847</v>
      </c>
      <c r="G65" s="134"/>
      <c r="H65" s="18"/>
    </row>
    <row r="66" spans="1:8" ht="14.5" customHeight="1">
      <c r="A66" s="18"/>
      <c r="B66" s="20">
        <v>6</v>
      </c>
      <c r="C66" s="134" t="s">
        <v>995</v>
      </c>
      <c r="D66" s="134"/>
      <c r="E66" s="134"/>
      <c r="F66" s="134" t="s">
        <v>847</v>
      </c>
      <c r="G66" s="134"/>
      <c r="H66" s="18"/>
    </row>
    <row r="67" spans="1:8" ht="14.5" customHeight="1">
      <c r="A67" s="18"/>
      <c r="B67" s="20">
        <v>7</v>
      </c>
      <c r="C67" s="134" t="s">
        <v>996</v>
      </c>
      <c r="D67" s="134"/>
      <c r="E67" s="134"/>
      <c r="F67" s="134" t="s">
        <v>847</v>
      </c>
      <c r="G67" s="134"/>
      <c r="H67" s="18"/>
    </row>
    <row r="68" spans="1:8" ht="14.5" customHeight="1">
      <c r="A68" s="18"/>
      <c r="B68" s="20">
        <v>8</v>
      </c>
      <c r="C68" s="134" t="s">
        <v>997</v>
      </c>
      <c r="D68" s="134"/>
      <c r="E68" s="134"/>
      <c r="F68" s="134" t="s">
        <v>847</v>
      </c>
      <c r="G68" s="134"/>
      <c r="H68" s="18"/>
    </row>
    <row r="69" spans="1:8" ht="14.5" customHeight="1">
      <c r="A69" s="18"/>
      <c r="B69" s="20">
        <v>9</v>
      </c>
      <c r="C69" s="134" t="s">
        <v>998</v>
      </c>
      <c r="D69" s="134"/>
      <c r="E69" s="134"/>
      <c r="F69" s="134" t="s">
        <v>847</v>
      </c>
      <c r="G69" s="134"/>
      <c r="H69" s="18"/>
    </row>
    <row r="70" spans="1:8" ht="14.5" customHeight="1">
      <c r="A70" s="18"/>
      <c r="B70" s="20">
        <v>10</v>
      </c>
      <c r="C70" s="134" t="s">
        <v>999</v>
      </c>
      <c r="D70" s="134"/>
      <c r="E70" s="134"/>
      <c r="F70" s="134" t="s">
        <v>847</v>
      </c>
      <c r="G70" s="134"/>
      <c r="H70" s="18"/>
    </row>
    <row r="71" spans="1:8" ht="14.5" customHeight="1">
      <c r="A71" s="18"/>
      <c r="B71" s="20">
        <v>11</v>
      </c>
      <c r="C71" s="134" t="s">
        <v>1000</v>
      </c>
      <c r="D71" s="134"/>
      <c r="E71" s="134"/>
      <c r="F71" s="134" t="s">
        <v>847</v>
      </c>
      <c r="G71" s="134"/>
      <c r="H71" s="18"/>
    </row>
    <row r="72" spans="1:8" ht="14.5" customHeight="1">
      <c r="A72" s="18"/>
      <c r="B72" s="20">
        <v>12</v>
      </c>
      <c r="C72" s="134" t="s">
        <v>1001</v>
      </c>
      <c r="D72" s="134"/>
      <c r="E72" s="134"/>
      <c r="F72" s="134" t="s">
        <v>847</v>
      </c>
      <c r="G72" s="134"/>
      <c r="H72" s="18"/>
    </row>
    <row r="73" spans="1:8" ht="14.5" customHeight="1">
      <c r="A73" s="18"/>
      <c r="B73" s="20">
        <v>13</v>
      </c>
      <c r="C73" s="134" t="s">
        <v>1002</v>
      </c>
      <c r="D73" s="134"/>
      <c r="E73" s="134"/>
      <c r="F73" s="134" t="s">
        <v>847</v>
      </c>
      <c r="G73" s="134"/>
      <c r="H73" s="18"/>
    </row>
    <row r="74" spans="1:8" ht="14.5" customHeight="1">
      <c r="A74" s="18"/>
      <c r="B74" s="18"/>
      <c r="C74" s="18"/>
      <c r="D74" s="18"/>
      <c r="E74" s="18"/>
      <c r="F74" s="18"/>
      <c r="G74" s="18"/>
      <c r="H74" s="18"/>
    </row>
    <row r="75" spans="1:8" ht="14.5" customHeight="1">
      <c r="A75" s="18"/>
      <c r="B75" s="18"/>
      <c r="C75" s="18"/>
      <c r="D75" s="18"/>
      <c r="E75" s="18"/>
      <c r="F75" s="18"/>
      <c r="G75" s="18"/>
      <c r="H75" s="18"/>
    </row>
    <row r="76" spans="1:8" ht="14.5" customHeight="1">
      <c r="A76" s="136" t="s">
        <v>814</v>
      </c>
      <c r="B76" s="136"/>
      <c r="C76" s="136"/>
      <c r="D76" s="136"/>
      <c r="E76" s="136"/>
      <c r="F76" s="136"/>
      <c r="G76" s="136"/>
      <c r="H76" s="136"/>
    </row>
    <row r="77" spans="1:8" ht="14.5" customHeight="1">
      <c r="A77" s="18"/>
      <c r="B77" s="19" t="s">
        <v>314</v>
      </c>
      <c r="C77" s="135" t="s">
        <v>765</v>
      </c>
      <c r="D77" s="135"/>
      <c r="E77" s="135"/>
      <c r="F77" s="135" t="s">
        <v>755</v>
      </c>
      <c r="G77" s="135"/>
      <c r="H77" s="18"/>
    </row>
    <row r="78" spans="1:8" ht="14.5">
      <c r="A78" s="18"/>
      <c r="B78" s="20">
        <v>1</v>
      </c>
      <c r="C78" s="134" t="s">
        <v>1003</v>
      </c>
      <c r="D78" s="134"/>
      <c r="E78" s="134"/>
      <c r="F78" s="134" t="s">
        <v>840</v>
      </c>
      <c r="G78" s="134"/>
      <c r="H78" s="18"/>
    </row>
    <row r="79" spans="1:8" ht="14.5">
      <c r="A79" s="18"/>
      <c r="B79" s="20">
        <v>2</v>
      </c>
      <c r="C79" s="134" t="s">
        <v>1004</v>
      </c>
      <c r="D79" s="134"/>
      <c r="E79" s="134"/>
      <c r="F79" s="134" t="s">
        <v>840</v>
      </c>
      <c r="G79" s="134"/>
      <c r="H79" s="18"/>
    </row>
    <row r="80" spans="1:8" ht="14.5">
      <c r="A80" s="18"/>
      <c r="B80" s="20">
        <v>3</v>
      </c>
      <c r="C80" s="134" t="s">
        <v>1005</v>
      </c>
      <c r="D80" s="134"/>
      <c r="E80" s="134"/>
      <c r="F80" s="134" t="s">
        <v>840</v>
      </c>
      <c r="G80" s="134"/>
      <c r="H80" s="18"/>
    </row>
    <row r="81" spans="1:8" ht="14.5">
      <c r="A81" s="18"/>
      <c r="B81" s="20">
        <v>4</v>
      </c>
      <c r="C81" s="134" t="s">
        <v>1006</v>
      </c>
      <c r="D81" s="134"/>
      <c r="E81" s="134"/>
      <c r="F81" s="134" t="s">
        <v>841</v>
      </c>
      <c r="G81" s="134"/>
      <c r="H81" s="18"/>
    </row>
    <row r="82" spans="1:8" ht="14.5">
      <c r="A82" s="18"/>
      <c r="B82" s="20">
        <v>5</v>
      </c>
      <c r="C82" s="134" t="s">
        <v>1007</v>
      </c>
      <c r="D82" s="134"/>
      <c r="E82" s="134"/>
      <c r="F82" s="134" t="s">
        <v>841</v>
      </c>
      <c r="G82" s="134"/>
      <c r="H82" s="18"/>
    </row>
    <row r="83" spans="1:8" ht="14.5">
      <c r="A83" s="18"/>
      <c r="B83" s="20">
        <v>6</v>
      </c>
      <c r="C83" s="134" t="s">
        <v>1008</v>
      </c>
      <c r="D83" s="134"/>
      <c r="E83" s="134"/>
      <c r="F83" s="134" t="s">
        <v>841</v>
      </c>
      <c r="G83" s="134"/>
      <c r="H83" s="18"/>
    </row>
    <row r="84" spans="1:8" ht="14.5">
      <c r="A84" s="18"/>
      <c r="B84" s="20">
        <v>7</v>
      </c>
      <c r="C84" s="134" t="s">
        <v>1009</v>
      </c>
      <c r="D84" s="134"/>
      <c r="E84" s="134"/>
      <c r="F84" s="134" t="s">
        <v>841</v>
      </c>
      <c r="G84" s="134"/>
      <c r="H84" s="18"/>
    </row>
    <row r="85" spans="1:8" ht="14.5">
      <c r="A85" s="18"/>
      <c r="B85" s="20">
        <v>8</v>
      </c>
      <c r="C85" s="134" t="s">
        <v>1010</v>
      </c>
      <c r="D85" s="134"/>
      <c r="E85" s="134"/>
      <c r="F85" s="134" t="s">
        <v>847</v>
      </c>
      <c r="G85" s="134"/>
      <c r="H85" s="18"/>
    </row>
    <row r="86" spans="1:8" ht="14.5">
      <c r="A86" s="18"/>
      <c r="B86" s="20">
        <v>9</v>
      </c>
      <c r="C86" s="134" t="s">
        <v>1011</v>
      </c>
      <c r="D86" s="134"/>
      <c r="E86" s="134"/>
      <c r="F86" s="134" t="s">
        <v>847</v>
      </c>
      <c r="G86" s="134"/>
      <c r="H86" s="18"/>
    </row>
    <row r="87" spans="1:8" ht="14.5">
      <c r="A87" s="18"/>
      <c r="B87" s="20">
        <v>10</v>
      </c>
      <c r="C87" s="134" t="s">
        <v>1012</v>
      </c>
      <c r="D87" s="134"/>
      <c r="E87" s="134"/>
      <c r="F87" s="134" t="s">
        <v>847</v>
      </c>
      <c r="G87" s="134"/>
      <c r="H87" s="18"/>
    </row>
    <row r="88" spans="1:8" ht="14.5">
      <c r="A88" s="18"/>
      <c r="B88" s="20">
        <v>11</v>
      </c>
      <c r="C88" s="134" t="s">
        <v>1013</v>
      </c>
      <c r="D88" s="134"/>
      <c r="E88" s="134"/>
      <c r="F88" s="134" t="s">
        <v>847</v>
      </c>
      <c r="G88" s="134"/>
      <c r="H88" s="18"/>
    </row>
    <row r="89" spans="1:8" ht="14.5">
      <c r="A89" s="18"/>
      <c r="B89" s="20">
        <v>12</v>
      </c>
      <c r="C89" s="134" t="s">
        <v>1014</v>
      </c>
      <c r="D89" s="134"/>
      <c r="E89" s="134"/>
      <c r="F89" s="134" t="s">
        <v>847</v>
      </c>
      <c r="G89" s="134"/>
      <c r="H89" s="18"/>
    </row>
    <row r="90" spans="1:8" ht="14.5">
      <c r="A90" s="18"/>
      <c r="B90" s="20">
        <v>13</v>
      </c>
      <c r="C90" s="134" t="s">
        <v>1015</v>
      </c>
      <c r="D90" s="134"/>
      <c r="E90" s="134"/>
      <c r="F90" s="134" t="s">
        <v>847</v>
      </c>
      <c r="G90" s="134"/>
      <c r="H90" s="18"/>
    </row>
    <row r="91" spans="1:8" ht="14.5">
      <c r="A91" s="18"/>
      <c r="B91" s="18"/>
      <c r="C91" s="18"/>
      <c r="D91" s="18"/>
      <c r="E91" s="18"/>
      <c r="F91" s="18"/>
      <c r="G91" s="18"/>
      <c r="H91" s="18"/>
    </row>
    <row r="92" spans="1:8" ht="14.5">
      <c r="A92" s="18"/>
      <c r="B92" s="18"/>
      <c r="C92" s="18"/>
      <c r="D92" s="18"/>
      <c r="E92" s="18"/>
      <c r="F92" s="18"/>
      <c r="G92" s="18"/>
      <c r="H92" s="18"/>
    </row>
  </sheetData>
  <mergeCells count="60">
    <mergeCell ref="C61:E61"/>
    <mergeCell ref="F61:G61"/>
    <mergeCell ref="C62:E62"/>
    <mergeCell ref="F62:G62"/>
    <mergeCell ref="C63:E63"/>
    <mergeCell ref="F63:G63"/>
    <mergeCell ref="A1:N1"/>
    <mergeCell ref="C2:F2"/>
    <mergeCell ref="A59:H59"/>
    <mergeCell ref="C60:E60"/>
    <mergeCell ref="F60:G60"/>
    <mergeCell ref="C64:E64"/>
    <mergeCell ref="F64:G64"/>
    <mergeCell ref="C65:E65"/>
    <mergeCell ref="F65:G65"/>
    <mergeCell ref="C66:E66"/>
    <mergeCell ref="F66:G66"/>
    <mergeCell ref="C67:E67"/>
    <mergeCell ref="F67:G67"/>
    <mergeCell ref="C68:E68"/>
    <mergeCell ref="F68:G68"/>
    <mergeCell ref="C69:E69"/>
    <mergeCell ref="F69:G69"/>
    <mergeCell ref="C70:E70"/>
    <mergeCell ref="F70:G70"/>
    <mergeCell ref="C71:E71"/>
    <mergeCell ref="F71:G71"/>
    <mergeCell ref="C72:E72"/>
    <mergeCell ref="F72:G72"/>
    <mergeCell ref="C73:E73"/>
    <mergeCell ref="F73:G73"/>
    <mergeCell ref="A76:H76"/>
    <mergeCell ref="C77:E77"/>
    <mergeCell ref="F77:G77"/>
    <mergeCell ref="C78:E78"/>
    <mergeCell ref="F78:G78"/>
    <mergeCell ref="C79:E79"/>
    <mergeCell ref="F79:G79"/>
    <mergeCell ref="C80:E80"/>
    <mergeCell ref="F80:G80"/>
    <mergeCell ref="C81:E81"/>
    <mergeCell ref="F81:G81"/>
    <mergeCell ref="C82:E82"/>
    <mergeCell ref="F82:G82"/>
    <mergeCell ref="C83:E83"/>
    <mergeCell ref="F83:G83"/>
    <mergeCell ref="C84:E84"/>
    <mergeCell ref="F84:G84"/>
    <mergeCell ref="C85:E85"/>
    <mergeCell ref="F85:G85"/>
    <mergeCell ref="C86:E86"/>
    <mergeCell ref="F86:G86"/>
    <mergeCell ref="C90:E90"/>
    <mergeCell ref="F90:G90"/>
    <mergeCell ref="C87:E87"/>
    <mergeCell ref="F87:G87"/>
    <mergeCell ref="C88:E88"/>
    <mergeCell ref="F88:G88"/>
    <mergeCell ref="C89:E89"/>
    <mergeCell ref="F89:G8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A844-7603-400C-963C-1FB4BF2B5C6F}">
  <dimension ref="A1:O87"/>
  <sheetViews>
    <sheetView showGridLines="0" rightToLeft="1" topLeftCell="B1" workbookViewId="0">
      <pane ySplit="3" topLeftCell="A55" activePane="bottomLeft" state="frozen"/>
      <selection pane="bottomLeft" activeCell="M76" sqref="I76:N82"/>
    </sheetView>
  </sheetViews>
  <sheetFormatPr defaultRowHeight="14"/>
  <cols>
    <col min="1" max="1" width="15.83203125" customWidth="1"/>
    <col min="2" max="2" width="17.5" customWidth="1"/>
    <col min="3" max="6" width="13" customWidth="1"/>
    <col min="7" max="7" width="17.5" customWidth="1"/>
    <col min="8" max="8" width="13" customWidth="1"/>
  </cols>
  <sheetData>
    <row r="1" spans="1:8" ht="26" customHeight="1">
      <c r="A1" s="119" t="s">
        <v>537</v>
      </c>
      <c r="B1" s="119"/>
      <c r="C1" s="119"/>
      <c r="D1" s="119"/>
      <c r="E1" s="119"/>
      <c r="F1" s="119"/>
      <c r="G1" s="119"/>
      <c r="H1" s="119"/>
    </row>
    <row r="2" spans="1:8" ht="20" customHeight="1">
      <c r="A2" s="49"/>
      <c r="B2" s="49"/>
      <c r="C2" s="137" t="s">
        <v>475</v>
      </c>
      <c r="D2" s="137"/>
      <c r="E2" s="137" t="s">
        <v>533</v>
      </c>
      <c r="F2" s="137"/>
      <c r="G2" s="49"/>
      <c r="H2" s="45"/>
    </row>
    <row r="3" spans="1:8" ht="32" customHeight="1" thickBot="1">
      <c r="A3" s="49" t="s">
        <v>426</v>
      </c>
      <c r="B3" s="49" t="s">
        <v>7</v>
      </c>
      <c r="C3" s="49" t="s">
        <v>8</v>
      </c>
      <c r="D3" s="49" t="s">
        <v>9</v>
      </c>
      <c r="E3" s="49" t="s">
        <v>8</v>
      </c>
      <c r="F3" s="49" t="s">
        <v>9</v>
      </c>
      <c r="G3" s="49" t="s">
        <v>427</v>
      </c>
      <c r="H3" s="45"/>
    </row>
    <row r="4" spans="1:8"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29</v>
      </c>
      <c r="D4" s="51" t="s">
        <v>10</v>
      </c>
      <c r="E4" s="51" t="s">
        <v>83</v>
      </c>
      <c r="F4" s="51" t="s">
        <v>70</v>
      </c>
      <c r="G4" s="51">
        <f>COUNTA(C4:F12)</f>
        <v>28</v>
      </c>
      <c r="H4" s="45"/>
    </row>
    <row r="5" spans="1:8"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18</v>
      </c>
      <c r="D5" s="50"/>
      <c r="E5" s="50" t="s">
        <v>81</v>
      </c>
      <c r="F5" s="50"/>
      <c r="G5" s="50"/>
      <c r="H5" s="45"/>
    </row>
    <row r="6" spans="1:8"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17</v>
      </c>
      <c r="D6" s="47" t="s">
        <v>30</v>
      </c>
      <c r="E6" s="47" t="s">
        <v>55</v>
      </c>
      <c r="F6" s="47" t="s">
        <v>150</v>
      </c>
      <c r="G6" s="47"/>
      <c r="H6" s="45"/>
    </row>
    <row r="7" spans="1:8"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23</v>
      </c>
      <c r="D7" s="47"/>
      <c r="E7" s="47" t="s">
        <v>71</v>
      </c>
      <c r="F7" s="47"/>
      <c r="G7" s="47"/>
      <c r="H7" s="45"/>
    </row>
    <row r="8" spans="1:8"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20</v>
      </c>
      <c r="D8" s="47" t="s">
        <v>12</v>
      </c>
      <c r="E8" s="47" t="s">
        <v>49</v>
      </c>
      <c r="F8" s="47" t="s">
        <v>139</v>
      </c>
      <c r="G8" s="47"/>
      <c r="H8" s="45"/>
    </row>
    <row r="9" spans="1:8"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27</v>
      </c>
      <c r="D9" s="47"/>
      <c r="E9" s="47" t="s">
        <v>82</v>
      </c>
      <c r="F9" s="47"/>
      <c r="G9" s="47"/>
      <c r="H9" s="45"/>
    </row>
    <row r="10" spans="1:8"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24</v>
      </c>
      <c r="D10" s="47" t="s">
        <v>11</v>
      </c>
      <c r="E10" s="47" t="s">
        <v>79</v>
      </c>
      <c r="F10" s="47" t="s">
        <v>48</v>
      </c>
      <c r="G10" s="47"/>
      <c r="H10" s="45"/>
    </row>
    <row r="11" spans="1:8"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13</v>
      </c>
      <c r="D11" s="47"/>
      <c r="E11" s="47" t="s">
        <v>75</v>
      </c>
      <c r="F11" s="47"/>
      <c r="G11" s="47"/>
      <c r="H11" s="45"/>
    </row>
    <row r="12" spans="1:8"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28</v>
      </c>
      <c r="D12" s="48" t="s">
        <v>15</v>
      </c>
      <c r="E12" s="48" t="s">
        <v>332</v>
      </c>
      <c r="F12" s="48" t="s">
        <v>93</v>
      </c>
      <c r="G12" s="48"/>
      <c r="H12" s="45"/>
    </row>
    <row r="13" spans="1:8"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14</v>
      </c>
      <c r="D13" s="51" t="s">
        <v>26</v>
      </c>
      <c r="E13" s="51" t="s">
        <v>44</v>
      </c>
      <c r="F13" s="51" t="s">
        <v>91</v>
      </c>
      <c r="G13" s="51">
        <f>COUNTA(C13:F21)</f>
        <v>28</v>
      </c>
      <c r="H13" s="45"/>
    </row>
    <row r="14" spans="1:8"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16</v>
      </c>
      <c r="D14" s="50"/>
      <c r="E14" s="50" t="s">
        <v>67</v>
      </c>
      <c r="F14" s="50"/>
      <c r="G14" s="50"/>
      <c r="H14" s="45"/>
    </row>
    <row r="15" spans="1:8"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21</v>
      </c>
      <c r="D15" s="47" t="s">
        <v>25</v>
      </c>
      <c r="E15" s="47" t="s">
        <v>56</v>
      </c>
      <c r="F15" s="47" t="s">
        <v>92</v>
      </c>
      <c r="G15" s="47"/>
      <c r="H15" s="45"/>
    </row>
    <row r="16" spans="1:8"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19</v>
      </c>
      <c r="D16" s="47"/>
      <c r="E16" s="47" t="s">
        <v>80</v>
      </c>
      <c r="F16" s="47"/>
      <c r="G16" s="47"/>
      <c r="H16" s="45"/>
    </row>
    <row r="17" spans="1:8"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28</v>
      </c>
      <c r="D17" s="47" t="s">
        <v>22</v>
      </c>
      <c r="E17" s="47" t="s">
        <v>332</v>
      </c>
      <c r="F17" s="47" t="s">
        <v>59</v>
      </c>
      <c r="G17" s="47"/>
      <c r="H17" s="45"/>
    </row>
    <row r="18" spans="1:8"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10</v>
      </c>
      <c r="D18" s="47"/>
      <c r="E18" s="47" t="s">
        <v>70</v>
      </c>
      <c r="F18" s="47"/>
      <c r="G18" s="47"/>
      <c r="H18" s="45"/>
    </row>
    <row r="19" spans="1:8"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12</v>
      </c>
      <c r="E19" s="47" t="s">
        <v>48</v>
      </c>
      <c r="F19" s="47" t="s">
        <v>139</v>
      </c>
      <c r="G19" s="47"/>
      <c r="H19" s="45"/>
    </row>
    <row r="20" spans="1:8"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27</v>
      </c>
      <c r="D20" s="47"/>
      <c r="E20" s="47" t="s">
        <v>82</v>
      </c>
      <c r="F20" s="47"/>
      <c r="G20" s="47"/>
      <c r="H20" s="45"/>
    </row>
    <row r="21" spans="1:8"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15</v>
      </c>
      <c r="D21" s="48" t="s">
        <v>17</v>
      </c>
      <c r="E21" s="48" t="s">
        <v>93</v>
      </c>
      <c r="F21" s="48" t="s">
        <v>55</v>
      </c>
      <c r="G21" s="48"/>
      <c r="H21" s="45"/>
    </row>
    <row r="22" spans="1:8"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16</v>
      </c>
      <c r="D22" s="51"/>
      <c r="E22" s="51" t="s">
        <v>67</v>
      </c>
      <c r="F22" s="51"/>
      <c r="G22" s="51">
        <f>COUNTA(C22:F31)</f>
        <v>28</v>
      </c>
      <c r="H22" s="45"/>
    </row>
    <row r="23" spans="1:8"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14</v>
      </c>
      <c r="D23" s="50"/>
      <c r="E23" s="50" t="s">
        <v>44</v>
      </c>
      <c r="F23" s="50"/>
      <c r="G23" s="50"/>
      <c r="H23" s="45"/>
    </row>
    <row r="24" spans="1:8"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22</v>
      </c>
      <c r="D24" s="47" t="s">
        <v>26</v>
      </c>
      <c r="E24" s="47" t="s">
        <v>59</v>
      </c>
      <c r="F24" s="47" t="s">
        <v>91</v>
      </c>
      <c r="G24" s="47"/>
      <c r="H24" s="45"/>
    </row>
    <row r="25" spans="1:8"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23</v>
      </c>
      <c r="D25" s="47"/>
      <c r="E25" s="47" t="s">
        <v>71</v>
      </c>
      <c r="F25" s="47"/>
      <c r="G25" s="47"/>
      <c r="H25" s="45"/>
    </row>
    <row r="26" spans="1:8"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24</v>
      </c>
      <c r="D26" s="47"/>
      <c r="E26" s="47" t="s">
        <v>79</v>
      </c>
      <c r="F26" s="47"/>
      <c r="G26" s="47"/>
      <c r="H26" s="45"/>
    </row>
    <row r="27" spans="1:8"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13</v>
      </c>
      <c r="D27" s="47" t="s">
        <v>30</v>
      </c>
      <c r="E27" s="47" t="s">
        <v>75</v>
      </c>
      <c r="F27" s="47" t="s">
        <v>150</v>
      </c>
      <c r="G27" s="47"/>
      <c r="H27" s="45"/>
    </row>
    <row r="28" spans="1:8"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18</v>
      </c>
      <c r="D28" s="47"/>
      <c r="E28" s="47" t="s">
        <v>81</v>
      </c>
      <c r="F28" s="47"/>
      <c r="G28" s="47"/>
      <c r="H28" s="45"/>
    </row>
    <row r="29" spans="1:8"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29</v>
      </c>
      <c r="D29" s="47" t="s">
        <v>20</v>
      </c>
      <c r="E29" s="47" t="s">
        <v>83</v>
      </c>
      <c r="F29" s="47" t="s">
        <v>49</v>
      </c>
      <c r="G29" s="47"/>
      <c r="H29" s="45"/>
    </row>
    <row r="30" spans="1:8" ht="14.5" customHeight="1">
      <c r="A30" s="47"/>
      <c r="B3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7" t="s">
        <v>19</v>
      </c>
      <c r="D30" s="47"/>
      <c r="E30" s="47" t="s">
        <v>80</v>
      </c>
      <c r="F30" s="47"/>
      <c r="G30" s="47"/>
      <c r="H30" s="45"/>
    </row>
    <row r="31" spans="1:8" ht="14.5" customHeight="1" thickBot="1">
      <c r="A31" s="48"/>
      <c r="B3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31" s="48" t="s">
        <v>21</v>
      </c>
      <c r="D31" s="48" t="s">
        <v>25</v>
      </c>
      <c r="E31" s="48" t="s">
        <v>56</v>
      </c>
      <c r="F31" s="48" t="s">
        <v>92</v>
      </c>
      <c r="G31" s="48"/>
      <c r="H31" s="45"/>
    </row>
    <row r="32" spans="1:8"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26</v>
      </c>
      <c r="D32" s="51" t="s">
        <v>14</v>
      </c>
      <c r="E32" s="51" t="s">
        <v>91</v>
      </c>
      <c r="F32" s="51" t="s">
        <v>44</v>
      </c>
      <c r="G32" s="51">
        <f>COUNTA(C32:F41)</f>
        <v>28</v>
      </c>
      <c r="H32" s="45"/>
    </row>
    <row r="33" spans="1:8"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13</v>
      </c>
      <c r="D33" s="50"/>
      <c r="E33" s="50" t="s">
        <v>75</v>
      </c>
      <c r="F33" s="50"/>
      <c r="G33" s="50"/>
      <c r="H33" s="45"/>
    </row>
    <row r="34" spans="1:8"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20</v>
      </c>
      <c r="D34" s="47" t="s">
        <v>18</v>
      </c>
      <c r="E34" s="47" t="s">
        <v>49</v>
      </c>
      <c r="F34" s="47" t="s">
        <v>81</v>
      </c>
      <c r="G34" s="47"/>
      <c r="H34" s="45"/>
    </row>
    <row r="35" spans="1:8"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29</v>
      </c>
      <c r="D35" s="47"/>
      <c r="E35" s="47" t="s">
        <v>83</v>
      </c>
      <c r="F35" s="47"/>
      <c r="G35" s="47"/>
      <c r="H35" s="45"/>
    </row>
    <row r="36" spans="1:8"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15</v>
      </c>
      <c r="D36" s="47" t="s">
        <v>23</v>
      </c>
      <c r="E36" s="47" t="s">
        <v>93</v>
      </c>
      <c r="F36" s="47" t="s">
        <v>71</v>
      </c>
      <c r="G36" s="47"/>
      <c r="H36" s="45"/>
    </row>
    <row r="37" spans="1:8"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25</v>
      </c>
      <c r="D37" s="47"/>
      <c r="E37" s="47" t="s">
        <v>92</v>
      </c>
      <c r="F37" s="47"/>
      <c r="G37" s="47"/>
      <c r="H37" s="45"/>
    </row>
    <row r="38" spans="1:8"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22</v>
      </c>
      <c r="D38" s="47"/>
      <c r="E38" s="47" t="s">
        <v>59</v>
      </c>
      <c r="F38" s="47"/>
      <c r="G38" s="47"/>
      <c r="H38" s="45"/>
    </row>
    <row r="39" spans="1:8"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19</v>
      </c>
      <c r="D39" s="47" t="s">
        <v>28</v>
      </c>
      <c r="E39" s="47" t="s">
        <v>80</v>
      </c>
      <c r="F39" s="47" t="s">
        <v>332</v>
      </c>
      <c r="G39" s="47"/>
      <c r="H39" s="45"/>
    </row>
    <row r="40" spans="1:8" ht="14.5" customHeight="1">
      <c r="A40" s="47"/>
      <c r="B4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7" t="s">
        <v>17</v>
      </c>
      <c r="D40" s="47"/>
      <c r="E40" s="47" t="s">
        <v>55</v>
      </c>
      <c r="F40" s="47"/>
      <c r="G40" s="47"/>
      <c r="H40" s="45"/>
    </row>
    <row r="41" spans="1:8" ht="14.5" customHeight="1" thickBot="1">
      <c r="A41" s="48"/>
      <c r="B4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41" s="48" t="s">
        <v>16</v>
      </c>
      <c r="D41" s="48"/>
      <c r="E41" s="48" t="s">
        <v>67</v>
      </c>
      <c r="F41" s="48"/>
      <c r="G41" s="48"/>
      <c r="H41" s="45"/>
    </row>
    <row r="42" spans="1:8" ht="14.5" customHeight="1">
      <c r="A42" s="51" t="s">
        <v>432</v>
      </c>
      <c r="B4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2" s="51" t="s">
        <v>21</v>
      </c>
      <c r="D42" s="51"/>
      <c r="E42" s="51" t="s">
        <v>56</v>
      </c>
      <c r="F42" s="51"/>
      <c r="G42" s="51">
        <f>COUNTA(C42:F51)</f>
        <v>28</v>
      </c>
      <c r="H42" s="45"/>
    </row>
    <row r="43" spans="1:8" ht="14.5" customHeight="1">
      <c r="A43" s="50"/>
      <c r="B4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3" s="50" t="s">
        <v>30</v>
      </c>
      <c r="D43" s="50"/>
      <c r="E43" s="50" t="s">
        <v>150</v>
      </c>
      <c r="F43" s="50"/>
      <c r="G43" s="50"/>
      <c r="H43" s="45"/>
    </row>
    <row r="44" spans="1:8" ht="14.5" customHeight="1">
      <c r="A44" s="47"/>
      <c r="B4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4" s="47" t="s">
        <v>10</v>
      </c>
      <c r="D44" s="47" t="s">
        <v>12</v>
      </c>
      <c r="E44" s="47" t="s">
        <v>70</v>
      </c>
      <c r="F44" s="47" t="s">
        <v>139</v>
      </c>
      <c r="G44" s="47"/>
      <c r="H44" s="45"/>
    </row>
    <row r="45" spans="1:8" ht="14.5" customHeight="1">
      <c r="A45" s="47"/>
      <c r="B4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5" s="47" t="s">
        <v>11</v>
      </c>
      <c r="D45" s="47"/>
      <c r="E45" s="47" t="s">
        <v>48</v>
      </c>
      <c r="F45" s="47"/>
      <c r="G45" s="47"/>
      <c r="H45" s="45"/>
    </row>
    <row r="46" spans="1:8" ht="14.5" customHeight="1">
      <c r="A46" s="47"/>
      <c r="B4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6" s="47" t="s">
        <v>24</v>
      </c>
      <c r="D46" s="47" t="s">
        <v>27</v>
      </c>
      <c r="E46" s="47" t="s">
        <v>79</v>
      </c>
      <c r="F46" s="47" t="s">
        <v>82</v>
      </c>
      <c r="G46" s="47"/>
      <c r="H46" s="45"/>
    </row>
    <row r="47" spans="1:8" ht="14.5" customHeight="1">
      <c r="A47" s="47"/>
      <c r="B4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7" s="47" t="s">
        <v>22</v>
      </c>
      <c r="D47" s="47"/>
      <c r="E47" s="47" t="s">
        <v>59</v>
      </c>
      <c r="F47" s="47"/>
      <c r="G47" s="47"/>
      <c r="H47" s="45"/>
    </row>
    <row r="48" spans="1:8" ht="14.5" customHeight="1">
      <c r="A48" s="47"/>
      <c r="B4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8" s="47" t="s">
        <v>25</v>
      </c>
      <c r="D48" s="47" t="s">
        <v>23</v>
      </c>
      <c r="E48" s="47" t="s">
        <v>92</v>
      </c>
      <c r="F48" s="47" t="s">
        <v>71</v>
      </c>
      <c r="G48" s="47"/>
      <c r="H48" s="45"/>
    </row>
    <row r="49" spans="1:15" ht="14.5" customHeight="1">
      <c r="A49" s="47"/>
      <c r="B4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9" s="47" t="s">
        <v>15</v>
      </c>
      <c r="D49" s="47"/>
      <c r="E49" s="47" t="s">
        <v>93</v>
      </c>
      <c r="F49" s="47"/>
      <c r="G49" s="47"/>
      <c r="H49" s="45"/>
    </row>
    <row r="50" spans="1:15" ht="14.5" customHeight="1">
      <c r="A50" s="47"/>
      <c r="B5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0" s="47" t="s">
        <v>13</v>
      </c>
      <c r="D50" s="47" t="s">
        <v>14</v>
      </c>
      <c r="E50" s="47" t="s">
        <v>75</v>
      </c>
      <c r="F50" s="47" t="s">
        <v>44</v>
      </c>
      <c r="G50" s="47"/>
      <c r="H50" s="45"/>
    </row>
    <row r="51" spans="1:15" ht="14.5" customHeight="1" thickBot="1">
      <c r="A51" s="48"/>
      <c r="B5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1" s="48" t="s">
        <v>26</v>
      </c>
      <c r="D51" s="48"/>
      <c r="E51" s="48" t="s">
        <v>91</v>
      </c>
      <c r="F51" s="48"/>
      <c r="G51" s="48"/>
      <c r="H51" s="45"/>
    </row>
    <row r="52" spans="1:15" ht="14.5" customHeight="1">
      <c r="A52" s="51" t="s">
        <v>434</v>
      </c>
      <c r="B5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2" s="51" t="s">
        <v>16</v>
      </c>
      <c r="D52" s="51"/>
      <c r="E52" s="51" t="s">
        <v>67</v>
      </c>
      <c r="F52" s="51"/>
      <c r="G52" s="51">
        <f>COUNTA(C52:F61)</f>
        <v>28</v>
      </c>
      <c r="H52" s="45"/>
    </row>
    <row r="53" spans="1:15" ht="14.5" customHeight="1">
      <c r="A53" s="50"/>
      <c r="B5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3" s="50" t="s">
        <v>24</v>
      </c>
      <c r="D53" s="50"/>
      <c r="E53" s="50" t="s">
        <v>79</v>
      </c>
      <c r="F53" s="50"/>
      <c r="G53" s="50"/>
      <c r="H53" s="45"/>
    </row>
    <row r="54" spans="1:15" ht="14.5" customHeight="1">
      <c r="A54" s="47"/>
      <c r="B5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4" s="47" t="s">
        <v>29</v>
      </c>
      <c r="D54" s="47"/>
      <c r="E54" s="47" t="s">
        <v>83</v>
      </c>
      <c r="F54" s="47"/>
      <c r="G54" s="47"/>
      <c r="H54" s="45"/>
    </row>
    <row r="55" spans="1:15" ht="14.5" customHeight="1">
      <c r="A55" s="47"/>
      <c r="B5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5" s="47" t="s">
        <v>11</v>
      </c>
      <c r="D55" s="47" t="s">
        <v>19</v>
      </c>
      <c r="E55" s="47" t="s">
        <v>48</v>
      </c>
      <c r="F55" s="47" t="s">
        <v>80</v>
      </c>
      <c r="G55" s="47"/>
      <c r="H55" s="45"/>
    </row>
    <row r="56" spans="1:15" ht="14.5" customHeight="1">
      <c r="A56" s="47"/>
      <c r="B5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6" s="47" t="s">
        <v>17</v>
      </c>
      <c r="D56" s="47"/>
      <c r="E56" s="47" t="s">
        <v>55</v>
      </c>
      <c r="F56" s="47"/>
      <c r="G56" s="47"/>
      <c r="H56" s="45"/>
    </row>
    <row r="57" spans="1:15" ht="14.5" customHeight="1">
      <c r="A57" s="47"/>
      <c r="B5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7" s="47" t="s">
        <v>27</v>
      </c>
      <c r="D57" s="47" t="s">
        <v>18</v>
      </c>
      <c r="E57" s="47" t="s">
        <v>82</v>
      </c>
      <c r="F57" s="47" t="s">
        <v>81</v>
      </c>
      <c r="G57" s="47"/>
      <c r="H57" s="45"/>
    </row>
    <row r="58" spans="1:15" ht="14.5" customHeight="1">
      <c r="A58" s="47"/>
      <c r="B5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8" s="47" t="s">
        <v>20</v>
      </c>
      <c r="D58" s="47"/>
      <c r="E58" s="47" t="s">
        <v>49</v>
      </c>
      <c r="F58" s="47"/>
      <c r="G58" s="47"/>
      <c r="H58" s="45"/>
    </row>
    <row r="59" spans="1:15" ht="14.5" customHeight="1">
      <c r="A59" s="47"/>
      <c r="B5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9" s="47" t="s">
        <v>12</v>
      </c>
      <c r="D59" s="47" t="s">
        <v>28</v>
      </c>
      <c r="E59" s="47" t="s">
        <v>139</v>
      </c>
      <c r="F59" s="47" t="s">
        <v>332</v>
      </c>
      <c r="G59" s="47"/>
      <c r="H59" s="45"/>
    </row>
    <row r="60" spans="1:15" ht="14.5" customHeight="1">
      <c r="A60" s="47"/>
      <c r="B6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60" s="47" t="s">
        <v>10</v>
      </c>
      <c r="D60" s="47"/>
      <c r="E60" s="47" t="s">
        <v>70</v>
      </c>
      <c r="F60" s="47"/>
      <c r="G60" s="47"/>
      <c r="H60" s="45"/>
    </row>
    <row r="61" spans="1:15" ht="14.5" customHeight="1" thickBot="1">
      <c r="A61" s="52"/>
      <c r="B61" s="52"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61" s="52" t="s">
        <v>21</v>
      </c>
      <c r="D61" s="52" t="s">
        <v>30</v>
      </c>
      <c r="E61" s="52" t="s">
        <v>56</v>
      </c>
      <c r="F61" s="52" t="s">
        <v>150</v>
      </c>
      <c r="G61" s="52"/>
      <c r="H61" s="45"/>
    </row>
    <row r="62" spans="1:15" ht="14.5" customHeight="1">
      <c r="A62" s="45"/>
      <c r="B62" s="45"/>
      <c r="C62" s="45"/>
      <c r="D62" s="45"/>
      <c r="E62" s="45"/>
      <c r="F62" s="45"/>
      <c r="G62" s="45"/>
      <c r="H62" s="45"/>
    </row>
    <row r="63" spans="1:15" ht="20" customHeight="1">
      <c r="A63" s="136" t="s">
        <v>815</v>
      </c>
      <c r="B63" s="136"/>
      <c r="C63" s="136"/>
      <c r="D63" s="136"/>
      <c r="E63" s="136"/>
      <c r="F63" s="136"/>
      <c r="G63" s="136"/>
      <c r="H63" s="136"/>
      <c r="I63" s="136"/>
      <c r="J63" s="136"/>
      <c r="K63" s="136"/>
      <c r="L63" s="136"/>
      <c r="M63" s="136"/>
      <c r="N63" s="136"/>
      <c r="O63" s="136"/>
    </row>
    <row r="64" spans="1:15" ht="14.5" customHeight="1">
      <c r="A64" s="18"/>
      <c r="B64" s="19" t="s">
        <v>314</v>
      </c>
      <c r="C64" s="135" t="s">
        <v>760</v>
      </c>
      <c r="D64" s="135"/>
      <c r="E64" s="135"/>
      <c r="F64" s="135" t="s">
        <v>755</v>
      </c>
      <c r="G64" s="135"/>
      <c r="H64" s="18"/>
      <c r="I64" s="19" t="s">
        <v>314</v>
      </c>
      <c r="J64" s="135" t="s">
        <v>766</v>
      </c>
      <c r="K64" s="135"/>
      <c r="L64" s="135"/>
      <c r="M64" s="135" t="s">
        <v>755</v>
      </c>
      <c r="N64" s="135"/>
      <c r="O64" s="18"/>
    </row>
    <row r="65" spans="1:15" ht="14.5" customHeight="1">
      <c r="A65" s="18"/>
      <c r="B65" s="20">
        <v>1</v>
      </c>
      <c r="C65" s="134" t="s">
        <v>990</v>
      </c>
      <c r="D65" s="134"/>
      <c r="E65" s="134"/>
      <c r="F65" s="134" t="s">
        <v>840</v>
      </c>
      <c r="G65" s="134"/>
      <c r="H65" s="18"/>
      <c r="I65" s="20">
        <v>8</v>
      </c>
      <c r="J65" s="134" t="s">
        <v>991</v>
      </c>
      <c r="K65" s="134"/>
      <c r="L65" s="134"/>
      <c r="M65" s="134" t="s">
        <v>841</v>
      </c>
      <c r="N65" s="134"/>
      <c r="O65" s="18"/>
    </row>
    <row r="66" spans="1:15" ht="14.5" customHeight="1">
      <c r="A66" s="18"/>
      <c r="B66" s="20">
        <v>2</v>
      </c>
      <c r="C66" s="134" t="s">
        <v>992</v>
      </c>
      <c r="D66" s="134"/>
      <c r="E66" s="134"/>
      <c r="F66" s="134" t="s">
        <v>847</v>
      </c>
      <c r="G66" s="134"/>
      <c r="H66" s="18"/>
      <c r="I66" s="20">
        <v>9</v>
      </c>
      <c r="J66" s="134" t="s">
        <v>993</v>
      </c>
      <c r="K66" s="134"/>
      <c r="L66" s="134"/>
      <c r="M66" s="134" t="s">
        <v>847</v>
      </c>
      <c r="N66" s="134"/>
      <c r="O66" s="18"/>
    </row>
    <row r="67" spans="1:15" ht="14.5" customHeight="1">
      <c r="A67" s="18"/>
      <c r="B67" s="20">
        <v>3</v>
      </c>
      <c r="C67" s="134" t="s">
        <v>994</v>
      </c>
      <c r="D67" s="134"/>
      <c r="E67" s="134"/>
      <c r="F67" s="134" t="s">
        <v>847</v>
      </c>
      <c r="G67" s="134"/>
      <c r="H67" s="18"/>
      <c r="I67" s="20">
        <v>10</v>
      </c>
      <c r="J67" s="134" t="s">
        <v>995</v>
      </c>
      <c r="K67" s="134"/>
      <c r="L67" s="134"/>
      <c r="M67" s="134" t="s">
        <v>847</v>
      </c>
      <c r="N67" s="134"/>
      <c r="O67" s="18"/>
    </row>
    <row r="68" spans="1:15" ht="14.5" customHeight="1">
      <c r="A68" s="18"/>
      <c r="B68" s="20">
        <v>4</v>
      </c>
      <c r="C68" s="134" t="s">
        <v>996</v>
      </c>
      <c r="D68" s="134"/>
      <c r="E68" s="134"/>
      <c r="F68" s="134" t="s">
        <v>847</v>
      </c>
      <c r="G68" s="134"/>
      <c r="H68" s="18"/>
      <c r="I68" s="20">
        <v>11</v>
      </c>
      <c r="J68" s="134" t="s">
        <v>997</v>
      </c>
      <c r="K68" s="134"/>
      <c r="L68" s="134"/>
      <c r="M68" s="134" t="s">
        <v>847</v>
      </c>
      <c r="N68" s="134"/>
      <c r="O68" s="18"/>
    </row>
    <row r="69" spans="1:15" ht="14.5" customHeight="1">
      <c r="A69" s="18"/>
      <c r="B69" s="20">
        <v>5</v>
      </c>
      <c r="C69" s="134" t="s">
        <v>998</v>
      </c>
      <c r="D69" s="134"/>
      <c r="E69" s="134"/>
      <c r="F69" s="134" t="s">
        <v>847</v>
      </c>
      <c r="G69" s="134"/>
      <c r="H69" s="18"/>
      <c r="I69" s="20">
        <v>12</v>
      </c>
      <c r="J69" s="134" t="s">
        <v>999</v>
      </c>
      <c r="K69" s="134"/>
      <c r="L69" s="134"/>
      <c r="M69" s="134" t="s">
        <v>847</v>
      </c>
      <c r="N69" s="134"/>
      <c r="O69" s="18"/>
    </row>
    <row r="70" spans="1:15" ht="14.5" customHeight="1">
      <c r="A70" s="18"/>
      <c r="B70" s="20">
        <v>6</v>
      </c>
      <c r="C70" s="134" t="s">
        <v>1000</v>
      </c>
      <c r="D70" s="134"/>
      <c r="E70" s="134"/>
      <c r="F70" s="134" t="s">
        <v>847</v>
      </c>
      <c r="G70" s="134"/>
      <c r="H70" s="18"/>
      <c r="I70" s="20">
        <v>13</v>
      </c>
      <c r="J70" s="134" t="s">
        <v>1001</v>
      </c>
      <c r="K70" s="134"/>
      <c r="L70" s="134"/>
      <c r="M70" s="134" t="s">
        <v>847</v>
      </c>
      <c r="N70" s="134"/>
      <c r="O70" s="18"/>
    </row>
    <row r="71" spans="1:15" ht="14.5" customHeight="1">
      <c r="A71" s="18"/>
      <c r="B71" s="20">
        <v>7</v>
      </c>
      <c r="C71" s="134" t="s">
        <v>1002</v>
      </c>
      <c r="D71" s="134"/>
      <c r="E71" s="134"/>
      <c r="F71" s="134" t="s">
        <v>847</v>
      </c>
      <c r="G71" s="134"/>
      <c r="H71" s="18"/>
      <c r="I71" s="20">
        <v>14</v>
      </c>
      <c r="J71" s="134" t="s">
        <v>1016</v>
      </c>
      <c r="K71" s="134"/>
      <c r="L71" s="134"/>
      <c r="M71" s="134" t="s">
        <v>847</v>
      </c>
      <c r="N71" s="134"/>
      <c r="O71" s="18"/>
    </row>
    <row r="72" spans="1:15" ht="14.5" customHeight="1">
      <c r="A72" s="18"/>
      <c r="B72" s="18"/>
      <c r="C72" s="18"/>
      <c r="D72" s="18"/>
      <c r="E72" s="18"/>
      <c r="F72" s="18"/>
      <c r="G72" s="18"/>
      <c r="H72" s="18"/>
      <c r="I72" s="18"/>
      <c r="J72" s="18"/>
      <c r="K72" s="18"/>
      <c r="L72" s="18"/>
      <c r="M72" s="18"/>
      <c r="N72" s="18"/>
      <c r="O72" s="18"/>
    </row>
    <row r="73" spans="1:15" ht="14.5" customHeight="1">
      <c r="A73" s="18"/>
      <c r="B73" s="18"/>
      <c r="C73" s="18"/>
      <c r="D73" s="18"/>
      <c r="E73" s="18"/>
      <c r="F73" s="18"/>
      <c r="G73" s="18"/>
      <c r="H73" s="18"/>
      <c r="I73" s="18"/>
      <c r="J73" s="18"/>
      <c r="K73" s="18"/>
      <c r="L73" s="18"/>
      <c r="M73" s="18"/>
      <c r="N73" s="18"/>
      <c r="O73" s="18"/>
    </row>
    <row r="74" spans="1:15" ht="14.5" customHeight="1">
      <c r="A74" s="136" t="s">
        <v>816</v>
      </c>
      <c r="B74" s="136"/>
      <c r="C74" s="136"/>
      <c r="D74" s="136"/>
      <c r="E74" s="136"/>
      <c r="F74" s="136"/>
      <c r="G74" s="136"/>
      <c r="H74" s="136"/>
      <c r="I74" s="136"/>
      <c r="J74" s="136"/>
      <c r="K74" s="136"/>
      <c r="L74" s="136"/>
      <c r="M74" s="136"/>
      <c r="N74" s="136"/>
      <c r="O74" s="136"/>
    </row>
    <row r="75" spans="1:15" ht="14.5" customHeight="1">
      <c r="A75" s="18"/>
      <c r="B75" s="19" t="s">
        <v>314</v>
      </c>
      <c r="C75" s="135" t="s">
        <v>760</v>
      </c>
      <c r="D75" s="135"/>
      <c r="E75" s="135"/>
      <c r="F75" s="135" t="s">
        <v>755</v>
      </c>
      <c r="G75" s="135"/>
      <c r="H75" s="18"/>
      <c r="I75" s="19" t="s">
        <v>314</v>
      </c>
      <c r="J75" s="135" t="s">
        <v>766</v>
      </c>
      <c r="K75" s="135"/>
      <c r="L75" s="135"/>
      <c r="M75" s="135" t="s">
        <v>755</v>
      </c>
      <c r="N75" s="135"/>
      <c r="O75" s="18"/>
    </row>
    <row r="76" spans="1:15" ht="14.5" customHeight="1">
      <c r="A76" s="18"/>
      <c r="B76" s="20">
        <v>1</v>
      </c>
      <c r="C76" s="134" t="s">
        <v>926</v>
      </c>
      <c r="D76" s="134"/>
      <c r="E76" s="134"/>
      <c r="F76" s="134" t="s">
        <v>840</v>
      </c>
      <c r="G76" s="134"/>
      <c r="H76" s="18"/>
      <c r="I76" s="20">
        <v>8</v>
      </c>
      <c r="J76" s="134" t="s">
        <v>1020</v>
      </c>
      <c r="K76" s="134"/>
      <c r="L76" s="134"/>
      <c r="M76" s="134" t="s">
        <v>840</v>
      </c>
      <c r="N76" s="134"/>
      <c r="O76" s="18"/>
    </row>
    <row r="77" spans="1:15" ht="14.5" customHeight="1">
      <c r="A77" s="18"/>
      <c r="B77" s="20">
        <v>2</v>
      </c>
      <c r="C77" s="134" t="s">
        <v>927</v>
      </c>
      <c r="D77" s="134"/>
      <c r="E77" s="134"/>
      <c r="F77" s="134" t="s">
        <v>840</v>
      </c>
      <c r="G77" s="134"/>
      <c r="H77" s="18"/>
      <c r="I77" s="20">
        <v>9</v>
      </c>
      <c r="J77" s="134" t="s">
        <v>928</v>
      </c>
      <c r="K77" s="134"/>
      <c r="L77" s="134"/>
      <c r="M77" s="134" t="s">
        <v>840</v>
      </c>
      <c r="N77" s="134"/>
      <c r="O77" s="18"/>
    </row>
    <row r="78" spans="1:15" ht="14.5" customHeight="1">
      <c r="A78" s="18"/>
      <c r="B78" s="20">
        <v>3</v>
      </c>
      <c r="C78" s="134" t="s">
        <v>930</v>
      </c>
      <c r="D78" s="134"/>
      <c r="E78" s="134"/>
      <c r="F78" s="134" t="s">
        <v>841</v>
      </c>
      <c r="G78" s="134"/>
      <c r="H78" s="18"/>
      <c r="I78" s="20">
        <v>10</v>
      </c>
      <c r="J78" s="134" t="s">
        <v>929</v>
      </c>
      <c r="K78" s="134"/>
      <c r="L78" s="134"/>
      <c r="M78" s="134" t="s">
        <v>841</v>
      </c>
      <c r="N78" s="134"/>
      <c r="O78" s="18"/>
    </row>
    <row r="79" spans="1:15" ht="14.5" customHeight="1">
      <c r="A79" s="18"/>
      <c r="B79" s="20">
        <v>4</v>
      </c>
      <c r="C79" s="134" t="s">
        <v>1017</v>
      </c>
      <c r="D79" s="134"/>
      <c r="E79" s="134"/>
      <c r="F79" s="134" t="s">
        <v>841</v>
      </c>
      <c r="G79" s="134"/>
      <c r="H79" s="18"/>
      <c r="I79" s="20">
        <v>11</v>
      </c>
      <c r="J79" s="134" t="s">
        <v>1021</v>
      </c>
      <c r="K79" s="134"/>
      <c r="L79" s="134"/>
      <c r="M79" s="134" t="s">
        <v>841</v>
      </c>
      <c r="N79" s="134"/>
      <c r="O79" s="18"/>
    </row>
    <row r="80" spans="1:15" ht="14.5" customHeight="1">
      <c r="A80" s="18"/>
      <c r="B80" s="20">
        <v>5</v>
      </c>
      <c r="C80" s="134" t="s">
        <v>1018</v>
      </c>
      <c r="D80" s="134"/>
      <c r="E80" s="134"/>
      <c r="F80" s="134" t="s">
        <v>841</v>
      </c>
      <c r="G80" s="134"/>
      <c r="H80" s="18"/>
      <c r="I80" s="20">
        <v>12</v>
      </c>
      <c r="J80" s="134" t="s">
        <v>1022</v>
      </c>
      <c r="K80" s="134"/>
      <c r="L80" s="134"/>
      <c r="M80" s="134" t="s">
        <v>841</v>
      </c>
      <c r="N80" s="134"/>
      <c r="O80" s="18"/>
    </row>
    <row r="81" spans="1:15" ht="14.5" customHeight="1">
      <c r="A81" s="18"/>
      <c r="B81" s="20">
        <v>6</v>
      </c>
      <c r="C81" s="134" t="s">
        <v>932</v>
      </c>
      <c r="D81" s="134"/>
      <c r="E81" s="134"/>
      <c r="F81" s="134" t="s">
        <v>847</v>
      </c>
      <c r="G81" s="134"/>
      <c r="H81" s="18"/>
      <c r="I81" s="20">
        <v>13</v>
      </c>
      <c r="J81" s="134" t="s">
        <v>933</v>
      </c>
      <c r="K81" s="134"/>
      <c r="L81" s="134"/>
      <c r="M81" s="134" t="s">
        <v>847</v>
      </c>
      <c r="N81" s="134"/>
      <c r="O81" s="18"/>
    </row>
    <row r="82" spans="1:15" ht="14.5" customHeight="1">
      <c r="A82" s="18"/>
      <c r="B82" s="20">
        <v>7</v>
      </c>
      <c r="C82" s="134" t="s">
        <v>1019</v>
      </c>
      <c r="D82" s="134"/>
      <c r="E82" s="134"/>
      <c r="F82" s="134" t="s">
        <v>847</v>
      </c>
      <c r="G82" s="134"/>
      <c r="H82" s="18"/>
      <c r="I82" s="20">
        <v>14</v>
      </c>
      <c r="J82" s="134" t="s">
        <v>1023</v>
      </c>
      <c r="K82" s="134"/>
      <c r="L82" s="134"/>
      <c r="M82" s="134" t="s">
        <v>847</v>
      </c>
      <c r="N82" s="134"/>
      <c r="O82" s="18"/>
    </row>
    <row r="83" spans="1:15" ht="14.5" customHeight="1">
      <c r="A83" s="18"/>
      <c r="B83" s="18"/>
      <c r="C83" s="18"/>
      <c r="D83" s="18"/>
      <c r="E83" s="18"/>
      <c r="F83" s="18"/>
      <c r="G83" s="18"/>
      <c r="H83" s="18"/>
      <c r="I83" s="18"/>
      <c r="J83" s="18"/>
      <c r="K83" s="18"/>
      <c r="L83" s="18"/>
      <c r="M83" s="18"/>
      <c r="N83" s="18"/>
      <c r="O83" s="18"/>
    </row>
    <row r="84" spans="1:15" ht="14.5" customHeight="1">
      <c r="A84" s="18"/>
      <c r="B84" s="18"/>
      <c r="C84" s="18"/>
      <c r="D84" s="18"/>
      <c r="E84" s="18"/>
      <c r="F84" s="18"/>
      <c r="G84" s="18"/>
      <c r="H84" s="18"/>
      <c r="I84" s="18"/>
      <c r="J84" s="18"/>
      <c r="K84" s="18"/>
      <c r="L84" s="18"/>
      <c r="M84" s="18"/>
      <c r="N84" s="18"/>
      <c r="O84" s="18"/>
    </row>
    <row r="85" spans="1:15" ht="14.5" customHeight="1"/>
    <row r="86" spans="1:15" ht="14.5" customHeight="1"/>
    <row r="87" spans="1:15" ht="14.5" customHeight="1"/>
  </sheetData>
  <mergeCells count="69">
    <mergeCell ref="C65:E65"/>
    <mergeCell ref="F65:G65"/>
    <mergeCell ref="C66:E66"/>
    <mergeCell ref="F66:G66"/>
    <mergeCell ref="C67:E67"/>
    <mergeCell ref="F67:G67"/>
    <mergeCell ref="A1:H1"/>
    <mergeCell ref="C2:D2"/>
    <mergeCell ref="E2:F2"/>
    <mergeCell ref="A63:O63"/>
    <mergeCell ref="C64:E64"/>
    <mergeCell ref="F64:G64"/>
    <mergeCell ref="J70:L70"/>
    <mergeCell ref="M70:N70"/>
    <mergeCell ref="F68:G68"/>
    <mergeCell ref="C69:E69"/>
    <mergeCell ref="F69:G69"/>
    <mergeCell ref="C70:E70"/>
    <mergeCell ref="F70:G70"/>
    <mergeCell ref="C68:E68"/>
    <mergeCell ref="J67:L67"/>
    <mergeCell ref="M67:N67"/>
    <mergeCell ref="J68:L68"/>
    <mergeCell ref="M68:N68"/>
    <mergeCell ref="J69:L69"/>
    <mergeCell ref="M69:N69"/>
    <mergeCell ref="J64:L64"/>
    <mergeCell ref="M64:N64"/>
    <mergeCell ref="J65:L65"/>
    <mergeCell ref="M65:N65"/>
    <mergeCell ref="J66:L66"/>
    <mergeCell ref="M66:N66"/>
    <mergeCell ref="J71:L71"/>
    <mergeCell ref="M71:N71"/>
    <mergeCell ref="A74:O74"/>
    <mergeCell ref="C75:E75"/>
    <mergeCell ref="F75:G75"/>
    <mergeCell ref="C71:E71"/>
    <mergeCell ref="F71:G71"/>
    <mergeCell ref="C76:E76"/>
    <mergeCell ref="F76:G76"/>
    <mergeCell ref="C77:E77"/>
    <mergeCell ref="F77:G77"/>
    <mergeCell ref="C78:E78"/>
    <mergeCell ref="F78:G78"/>
    <mergeCell ref="J81:L81"/>
    <mergeCell ref="M81:N81"/>
    <mergeCell ref="C79:E79"/>
    <mergeCell ref="F79:G79"/>
    <mergeCell ref="C80:E80"/>
    <mergeCell ref="F80:G80"/>
    <mergeCell ref="C81:E81"/>
    <mergeCell ref="F81:G81"/>
    <mergeCell ref="J82:L82"/>
    <mergeCell ref="M82:N82"/>
    <mergeCell ref="C82:E82"/>
    <mergeCell ref="F82:G82"/>
    <mergeCell ref="J75:L75"/>
    <mergeCell ref="M75:N75"/>
    <mergeCell ref="J76:L76"/>
    <mergeCell ref="M76:N76"/>
    <mergeCell ref="J77:L77"/>
    <mergeCell ref="M77:N77"/>
    <mergeCell ref="J78:L78"/>
    <mergeCell ref="M78:N78"/>
    <mergeCell ref="J79:L79"/>
    <mergeCell ref="M79:N79"/>
    <mergeCell ref="J80:L80"/>
    <mergeCell ref="M80:N8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BB850-228D-4996-882E-A7AFD3C0F428}">
  <dimension ref="A1:O117"/>
  <sheetViews>
    <sheetView showGridLines="0" rightToLeft="1" workbookViewId="0">
      <pane ySplit="3" topLeftCell="A54" activePane="bottomLeft" state="frozen"/>
      <selection pane="bottomLeft" activeCell="F108" sqref="C108:G114"/>
    </sheetView>
  </sheetViews>
  <sheetFormatPr defaultRowHeight="14"/>
  <cols>
    <col min="1" max="1" width="15.83203125" customWidth="1"/>
    <col min="2" max="2" width="17.5" customWidth="1"/>
    <col min="3" max="8" width="13" customWidth="1"/>
    <col min="9" max="9" width="17.5" customWidth="1"/>
  </cols>
  <sheetData>
    <row r="1" spans="1:9" ht="26" customHeight="1">
      <c r="A1" s="119" t="s">
        <v>474</v>
      </c>
      <c r="B1" s="119"/>
      <c r="C1" s="119"/>
      <c r="D1" s="119"/>
      <c r="E1" s="119"/>
      <c r="F1" s="119"/>
      <c r="G1" s="119"/>
      <c r="H1" s="119"/>
      <c r="I1" s="119"/>
    </row>
    <row r="2" spans="1:9" ht="20" customHeight="1">
      <c r="A2" s="49"/>
      <c r="B2" s="49"/>
      <c r="C2" s="137" t="s">
        <v>475</v>
      </c>
      <c r="D2" s="137"/>
      <c r="E2" s="137" t="s">
        <v>476</v>
      </c>
      <c r="F2" s="137"/>
      <c r="G2" s="137"/>
      <c r="H2" s="137"/>
      <c r="I2" s="49"/>
    </row>
    <row r="3" spans="1:9" ht="32" customHeight="1" thickBot="1">
      <c r="A3" s="49" t="s">
        <v>426</v>
      </c>
      <c r="B3" s="49" t="s">
        <v>7</v>
      </c>
      <c r="C3" s="49" t="s">
        <v>8</v>
      </c>
      <c r="D3" s="49" t="s">
        <v>9</v>
      </c>
      <c r="E3" s="49" t="s">
        <v>8</v>
      </c>
      <c r="F3" s="49" t="s">
        <v>9</v>
      </c>
      <c r="G3" s="49" t="s">
        <v>84</v>
      </c>
      <c r="H3" s="49" t="s">
        <v>119</v>
      </c>
      <c r="I3" s="49" t="s">
        <v>427</v>
      </c>
    </row>
    <row r="4" spans="1:9"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29</v>
      </c>
      <c r="D4" s="51" t="s">
        <v>10</v>
      </c>
      <c r="E4" s="51" t="s">
        <v>71</v>
      </c>
      <c r="F4" s="51" t="s">
        <v>92</v>
      </c>
      <c r="G4" s="51" t="s">
        <v>59</v>
      </c>
      <c r="H4" s="51" t="s">
        <v>222</v>
      </c>
      <c r="I4" s="51">
        <f>COUNTA(C4:H12)</f>
        <v>30</v>
      </c>
    </row>
    <row r="5" spans="1:9"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18</v>
      </c>
      <c r="D5" s="50"/>
      <c r="E5" s="50"/>
      <c r="F5" s="50"/>
      <c r="G5" s="50"/>
      <c r="H5" s="50"/>
      <c r="I5" s="50"/>
    </row>
    <row r="6" spans="1:9"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17</v>
      </c>
      <c r="D6" s="47" t="s">
        <v>30</v>
      </c>
      <c r="E6" s="47" t="s">
        <v>477</v>
      </c>
      <c r="F6" s="47" t="s">
        <v>55</v>
      </c>
      <c r="G6" s="47" t="s">
        <v>67</v>
      </c>
      <c r="H6" s="47" t="s">
        <v>91</v>
      </c>
      <c r="I6" s="47"/>
    </row>
    <row r="7" spans="1:9"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23</v>
      </c>
      <c r="D7" s="47"/>
      <c r="E7" s="47"/>
      <c r="F7" s="47"/>
      <c r="G7" s="47"/>
      <c r="H7" s="47"/>
      <c r="I7" s="47"/>
    </row>
    <row r="8" spans="1:9"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20</v>
      </c>
      <c r="D8" s="47" t="s">
        <v>12</v>
      </c>
      <c r="E8" s="47" t="s">
        <v>332</v>
      </c>
      <c r="F8" s="47" t="s">
        <v>49</v>
      </c>
      <c r="G8" s="47" t="s">
        <v>139</v>
      </c>
      <c r="H8" s="47" t="s">
        <v>90</v>
      </c>
      <c r="I8" s="47"/>
    </row>
    <row r="9" spans="1:9"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27</v>
      </c>
      <c r="D9" s="47"/>
      <c r="E9" s="47"/>
      <c r="F9" s="47"/>
      <c r="G9" s="47"/>
      <c r="H9" s="47"/>
      <c r="I9" s="47"/>
    </row>
    <row r="10" spans="1:9"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24</v>
      </c>
      <c r="D10" s="47" t="s">
        <v>11</v>
      </c>
      <c r="E10" s="47" t="s">
        <v>81</v>
      </c>
      <c r="F10" s="47" t="s">
        <v>70</v>
      </c>
      <c r="G10" s="47" t="s">
        <v>150</v>
      </c>
      <c r="H10" s="47" t="s">
        <v>86</v>
      </c>
      <c r="I10" s="47"/>
    </row>
    <row r="11" spans="1:9"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13</v>
      </c>
      <c r="D11" s="47"/>
      <c r="E11" s="47"/>
      <c r="F11" s="47"/>
      <c r="G11" s="47"/>
      <c r="H11" s="47"/>
      <c r="I11" s="47"/>
    </row>
    <row r="12" spans="1:9"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28</v>
      </c>
      <c r="D12" s="48" t="s">
        <v>15</v>
      </c>
      <c r="E12" s="48"/>
      <c r="F12" s="48"/>
      <c r="G12" s="48"/>
      <c r="H12" s="48"/>
      <c r="I12" s="48"/>
    </row>
    <row r="13" spans="1:9"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14</v>
      </c>
      <c r="D13" s="51" t="s">
        <v>26</v>
      </c>
      <c r="E13" s="51" t="s">
        <v>48</v>
      </c>
      <c r="F13" s="51" t="s">
        <v>79</v>
      </c>
      <c r="G13" s="51" t="s">
        <v>75</v>
      </c>
      <c r="H13" s="51" t="s">
        <v>99</v>
      </c>
      <c r="I13" s="51">
        <f>COUNTA(C13:H21)</f>
        <v>30</v>
      </c>
    </row>
    <row r="14" spans="1:9"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16</v>
      </c>
      <c r="D14" s="50"/>
      <c r="E14" s="50"/>
      <c r="F14" s="50"/>
      <c r="G14" s="50"/>
      <c r="H14" s="50"/>
      <c r="I14" s="50"/>
    </row>
    <row r="15" spans="1:9"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21</v>
      </c>
      <c r="D15" s="47" t="s">
        <v>25</v>
      </c>
      <c r="E15" s="47" t="s">
        <v>56</v>
      </c>
      <c r="F15" s="47" t="s">
        <v>237</v>
      </c>
      <c r="G15" s="47" t="s">
        <v>93</v>
      </c>
      <c r="H15" s="47" t="s">
        <v>82</v>
      </c>
      <c r="I15" s="47"/>
    </row>
    <row r="16" spans="1:9"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19</v>
      </c>
      <c r="D16" s="47"/>
      <c r="E16" s="47"/>
      <c r="F16" s="47"/>
      <c r="G16" s="47"/>
      <c r="H16" s="47"/>
      <c r="I16" s="47"/>
    </row>
    <row r="17" spans="1:9"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28</v>
      </c>
      <c r="D17" s="47" t="s">
        <v>22</v>
      </c>
      <c r="E17" s="47" t="s">
        <v>44</v>
      </c>
      <c r="F17" s="47" t="s">
        <v>101</v>
      </c>
      <c r="G17" s="47" t="s">
        <v>83</v>
      </c>
      <c r="H17" s="47" t="s">
        <v>80</v>
      </c>
      <c r="I17" s="47"/>
    </row>
    <row r="18" spans="1:9"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10</v>
      </c>
      <c r="D18" s="47"/>
      <c r="E18" s="47"/>
      <c r="F18" s="47"/>
      <c r="G18" s="47"/>
      <c r="H18" s="47"/>
      <c r="I18" s="47"/>
    </row>
    <row r="19" spans="1:9"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12</v>
      </c>
      <c r="E19" s="47" t="s">
        <v>71</v>
      </c>
      <c r="F19" s="47" t="s">
        <v>49</v>
      </c>
      <c r="G19" s="47" t="s">
        <v>86</v>
      </c>
      <c r="H19" s="47" t="s">
        <v>91</v>
      </c>
      <c r="I19" s="47"/>
    </row>
    <row r="20" spans="1:9"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27</v>
      </c>
      <c r="D20" s="47"/>
      <c r="E20" s="47"/>
      <c r="F20" s="47"/>
      <c r="G20" s="47"/>
      <c r="H20" s="47"/>
      <c r="I20" s="47"/>
    </row>
    <row r="21" spans="1:9"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15</v>
      </c>
      <c r="D21" s="48" t="s">
        <v>17</v>
      </c>
      <c r="E21" s="48"/>
      <c r="F21" s="48"/>
      <c r="G21" s="48"/>
      <c r="H21" s="48"/>
      <c r="I21" s="48"/>
    </row>
    <row r="22" spans="1:9"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16</v>
      </c>
      <c r="D22" s="51"/>
      <c r="E22" s="51" t="s">
        <v>332</v>
      </c>
      <c r="F22" s="51" t="s">
        <v>55</v>
      </c>
      <c r="G22" s="51" t="s">
        <v>93</v>
      </c>
      <c r="H22" s="51" t="s">
        <v>90</v>
      </c>
      <c r="I22" s="51">
        <f>COUNTA(C22:H31)</f>
        <v>30</v>
      </c>
    </row>
    <row r="23" spans="1:9"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14</v>
      </c>
      <c r="D23" s="50"/>
      <c r="E23" s="50"/>
      <c r="F23" s="50"/>
      <c r="G23" s="50"/>
      <c r="H23" s="50"/>
      <c r="I23" s="50"/>
    </row>
    <row r="24" spans="1:9"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22</v>
      </c>
      <c r="D24" s="47" t="s">
        <v>26</v>
      </c>
      <c r="E24" s="47" t="s">
        <v>56</v>
      </c>
      <c r="F24" s="47" t="s">
        <v>79</v>
      </c>
      <c r="G24" s="47" t="s">
        <v>101</v>
      </c>
      <c r="H24" s="47" t="s">
        <v>82</v>
      </c>
      <c r="I24" s="47"/>
    </row>
    <row r="25" spans="1:9"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23</v>
      </c>
      <c r="D25" s="47"/>
      <c r="E25" s="47"/>
      <c r="F25" s="47"/>
      <c r="G25" s="47"/>
      <c r="H25" s="47"/>
      <c r="I25" s="47"/>
    </row>
    <row r="26" spans="1:9"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24</v>
      </c>
      <c r="D26" s="47"/>
      <c r="E26" s="47" t="s">
        <v>44</v>
      </c>
      <c r="F26" s="47" t="s">
        <v>59</v>
      </c>
      <c r="G26" s="47" t="s">
        <v>80</v>
      </c>
      <c r="H26" s="47" t="s">
        <v>99</v>
      </c>
      <c r="I26" s="47"/>
    </row>
    <row r="27" spans="1:9"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13</v>
      </c>
      <c r="D27" s="47" t="s">
        <v>30</v>
      </c>
      <c r="E27" s="47"/>
      <c r="F27" s="47"/>
      <c r="G27" s="47"/>
      <c r="H27" s="47"/>
      <c r="I27" s="47"/>
    </row>
    <row r="28" spans="1:9"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18</v>
      </c>
      <c r="D28" s="47"/>
      <c r="E28" s="47" t="s">
        <v>477</v>
      </c>
      <c r="F28" s="47" t="s">
        <v>70</v>
      </c>
      <c r="G28" s="47" t="s">
        <v>150</v>
      </c>
      <c r="H28" s="47" t="s">
        <v>139</v>
      </c>
      <c r="I28" s="47"/>
    </row>
    <row r="29" spans="1:9"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29</v>
      </c>
      <c r="D29" s="47" t="s">
        <v>20</v>
      </c>
      <c r="E29" s="47"/>
      <c r="F29" s="47"/>
      <c r="G29" s="47"/>
      <c r="H29" s="47"/>
      <c r="I29" s="47"/>
    </row>
    <row r="30" spans="1:9" ht="14.5" customHeight="1">
      <c r="A30" s="47"/>
      <c r="B3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7" t="s">
        <v>19</v>
      </c>
      <c r="D30" s="47"/>
      <c r="E30" s="47"/>
      <c r="F30" s="47"/>
      <c r="G30" s="47"/>
      <c r="H30" s="47"/>
      <c r="I30" s="47"/>
    </row>
    <row r="31" spans="1:9" ht="14.5" customHeight="1" thickBot="1">
      <c r="A31" s="48"/>
      <c r="B3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31" s="48" t="s">
        <v>21</v>
      </c>
      <c r="D31" s="48" t="s">
        <v>25</v>
      </c>
      <c r="E31" s="48"/>
      <c r="F31" s="48"/>
      <c r="G31" s="48"/>
      <c r="H31" s="48"/>
      <c r="I31" s="48"/>
    </row>
    <row r="32" spans="1:9"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26</v>
      </c>
      <c r="D32" s="51" t="s">
        <v>14</v>
      </c>
      <c r="E32" s="51" t="s">
        <v>48</v>
      </c>
      <c r="F32" s="51" t="s">
        <v>92</v>
      </c>
      <c r="G32" s="51" t="s">
        <v>75</v>
      </c>
      <c r="H32" s="51" t="s">
        <v>222</v>
      </c>
      <c r="I32" s="51">
        <f>COUNTA(C32:H41)</f>
        <v>30</v>
      </c>
    </row>
    <row r="33" spans="1:9"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13</v>
      </c>
      <c r="D33" s="50"/>
      <c r="E33" s="50"/>
      <c r="F33" s="50"/>
      <c r="G33" s="50"/>
      <c r="H33" s="50"/>
      <c r="I33" s="50"/>
    </row>
    <row r="34" spans="1:9"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20</v>
      </c>
      <c r="D34" s="47" t="s">
        <v>18</v>
      </c>
      <c r="E34" s="47" t="s">
        <v>81</v>
      </c>
      <c r="F34" s="47" t="s">
        <v>237</v>
      </c>
      <c r="G34" s="47" t="s">
        <v>67</v>
      </c>
      <c r="H34" s="47" t="s">
        <v>83</v>
      </c>
      <c r="I34" s="47"/>
    </row>
    <row r="35" spans="1:9"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29</v>
      </c>
      <c r="D35" s="47"/>
      <c r="E35" s="47"/>
      <c r="F35" s="47"/>
      <c r="G35" s="47"/>
      <c r="H35" s="47"/>
      <c r="I35" s="47"/>
    </row>
    <row r="36" spans="1:9"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15</v>
      </c>
      <c r="D36" s="47" t="s">
        <v>23</v>
      </c>
      <c r="E36" s="47" t="s">
        <v>477</v>
      </c>
      <c r="F36" s="47" t="s">
        <v>55</v>
      </c>
      <c r="G36" s="47" t="s">
        <v>150</v>
      </c>
      <c r="H36" s="47" t="s">
        <v>80</v>
      </c>
      <c r="I36" s="47"/>
    </row>
    <row r="37" spans="1:9"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25</v>
      </c>
      <c r="D37" s="47"/>
      <c r="E37" s="47"/>
      <c r="F37" s="47"/>
      <c r="G37" s="47"/>
      <c r="H37" s="47"/>
      <c r="I37" s="47"/>
    </row>
    <row r="38" spans="1:9"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22</v>
      </c>
      <c r="D38" s="47"/>
      <c r="E38" s="47" t="s">
        <v>71</v>
      </c>
      <c r="F38" s="47" t="s">
        <v>79</v>
      </c>
      <c r="G38" s="47" t="s">
        <v>59</v>
      </c>
      <c r="H38" s="47" t="s">
        <v>99</v>
      </c>
      <c r="I38" s="47"/>
    </row>
    <row r="39" spans="1:9"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19</v>
      </c>
      <c r="D39" s="47" t="s">
        <v>28</v>
      </c>
      <c r="E39" s="47"/>
      <c r="F39" s="47"/>
      <c r="G39" s="47"/>
      <c r="H39" s="47"/>
      <c r="I39" s="47"/>
    </row>
    <row r="40" spans="1:9" ht="14.5" customHeight="1">
      <c r="A40" s="47"/>
      <c r="B4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7" t="s">
        <v>17</v>
      </c>
      <c r="D40" s="47"/>
      <c r="E40" s="47"/>
      <c r="F40" s="47"/>
      <c r="G40" s="47"/>
      <c r="H40" s="47"/>
      <c r="I40" s="47"/>
    </row>
    <row r="41" spans="1:9" ht="14.5" customHeight="1" thickBot="1">
      <c r="A41" s="48"/>
      <c r="B4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41" s="48" t="s">
        <v>16</v>
      </c>
      <c r="D41" s="48"/>
      <c r="E41" s="48"/>
      <c r="F41" s="48"/>
      <c r="G41" s="48"/>
      <c r="H41" s="48"/>
      <c r="I41" s="48"/>
    </row>
    <row r="42" spans="1:9" ht="14.5" customHeight="1">
      <c r="A42" s="51" t="s">
        <v>432</v>
      </c>
      <c r="B4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2" s="51" t="s">
        <v>21</v>
      </c>
      <c r="D42" s="51"/>
      <c r="E42" s="51" t="s">
        <v>44</v>
      </c>
      <c r="F42" s="51" t="s">
        <v>67</v>
      </c>
      <c r="G42" s="51" t="s">
        <v>83</v>
      </c>
      <c r="H42" s="51" t="s">
        <v>222</v>
      </c>
      <c r="I42" s="51">
        <f>COUNTA(C42:H51)</f>
        <v>30</v>
      </c>
    </row>
    <row r="43" spans="1:9" ht="14.5" customHeight="1">
      <c r="A43" s="50"/>
      <c r="B4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3" s="50" t="s">
        <v>30</v>
      </c>
      <c r="D43" s="50"/>
      <c r="E43" s="50"/>
      <c r="F43" s="50"/>
      <c r="G43" s="50"/>
      <c r="H43" s="50"/>
      <c r="I43" s="50"/>
    </row>
    <row r="44" spans="1:9" ht="14.5" customHeight="1">
      <c r="A44" s="47"/>
      <c r="B4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4" s="47" t="s">
        <v>10</v>
      </c>
      <c r="D44" s="47" t="s">
        <v>12</v>
      </c>
      <c r="E44" s="47" t="s">
        <v>332</v>
      </c>
      <c r="F44" s="47" t="s">
        <v>49</v>
      </c>
      <c r="G44" s="47" t="s">
        <v>139</v>
      </c>
      <c r="H44" s="47" t="s">
        <v>90</v>
      </c>
      <c r="I44" s="47"/>
    </row>
    <row r="45" spans="1:9" ht="14.5" customHeight="1">
      <c r="A45" s="47"/>
      <c r="B4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5" s="47" t="s">
        <v>11</v>
      </c>
      <c r="D45" s="47"/>
      <c r="E45" s="47"/>
      <c r="F45" s="47"/>
      <c r="G45" s="47"/>
      <c r="H45" s="47"/>
      <c r="I45" s="47"/>
    </row>
    <row r="46" spans="1:9" ht="14.5" customHeight="1">
      <c r="A46" s="47"/>
      <c r="B4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6" s="47" t="s">
        <v>24</v>
      </c>
      <c r="D46" s="47" t="s">
        <v>27</v>
      </c>
      <c r="E46" s="47" t="s">
        <v>81</v>
      </c>
      <c r="F46" s="47" t="s">
        <v>92</v>
      </c>
      <c r="G46" s="47" t="s">
        <v>101</v>
      </c>
      <c r="H46" s="47" t="s">
        <v>75</v>
      </c>
      <c r="I46" s="47"/>
    </row>
    <row r="47" spans="1:9" ht="14.5" customHeight="1">
      <c r="A47" s="47"/>
      <c r="B4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7" s="47" t="s">
        <v>22</v>
      </c>
      <c r="D47" s="47"/>
      <c r="E47" s="47"/>
      <c r="F47" s="47"/>
      <c r="G47" s="47"/>
      <c r="H47" s="47"/>
      <c r="I47" s="47"/>
    </row>
    <row r="48" spans="1:9" ht="14.5" customHeight="1">
      <c r="A48" s="47"/>
      <c r="B4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8" s="47" t="s">
        <v>25</v>
      </c>
      <c r="D48" s="47" t="s">
        <v>23</v>
      </c>
      <c r="E48" s="47" t="s">
        <v>56</v>
      </c>
      <c r="F48" s="47" t="s">
        <v>237</v>
      </c>
      <c r="G48" s="47" t="s">
        <v>93</v>
      </c>
      <c r="H48" s="47" t="s">
        <v>82</v>
      </c>
      <c r="I48" s="47"/>
    </row>
    <row r="49" spans="1:9" ht="14.5" customHeight="1">
      <c r="A49" s="47"/>
      <c r="B4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9" s="47" t="s">
        <v>15</v>
      </c>
      <c r="D49" s="47"/>
      <c r="E49" s="47"/>
      <c r="F49" s="47"/>
      <c r="G49" s="47"/>
      <c r="H49" s="47"/>
      <c r="I49" s="47"/>
    </row>
    <row r="50" spans="1:9" ht="14.5" customHeight="1">
      <c r="A50" s="47"/>
      <c r="B5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0" s="47" t="s">
        <v>13</v>
      </c>
      <c r="D50" s="47" t="s">
        <v>14</v>
      </c>
      <c r="E50" s="47"/>
      <c r="F50" s="47"/>
      <c r="G50" s="47"/>
      <c r="H50" s="47"/>
      <c r="I50" s="47"/>
    </row>
    <row r="51" spans="1:9" ht="14.5" customHeight="1" thickBot="1">
      <c r="A51" s="48"/>
      <c r="B5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1" s="48" t="s">
        <v>26</v>
      </c>
      <c r="D51" s="48"/>
      <c r="E51" s="48"/>
      <c r="F51" s="48"/>
      <c r="G51" s="48"/>
      <c r="H51" s="48"/>
      <c r="I51" s="48"/>
    </row>
    <row r="52" spans="1:9" ht="14.5" customHeight="1">
      <c r="A52" s="51" t="s">
        <v>434</v>
      </c>
      <c r="B5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2" s="51" t="s">
        <v>16</v>
      </c>
      <c r="D52" s="51"/>
      <c r="E52" s="51" t="s">
        <v>48</v>
      </c>
      <c r="F52" s="51" t="s">
        <v>70</v>
      </c>
      <c r="G52" s="51" t="s">
        <v>86</v>
      </c>
      <c r="H52" s="51" t="s">
        <v>91</v>
      </c>
      <c r="I52" s="51">
        <f>COUNTA(C52:H61)</f>
        <v>30</v>
      </c>
    </row>
    <row r="53" spans="1:9" ht="14.5" customHeight="1">
      <c r="A53" s="50"/>
      <c r="B5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3" s="50" t="s">
        <v>24</v>
      </c>
      <c r="D53" s="50"/>
      <c r="E53" s="50"/>
      <c r="F53" s="50"/>
      <c r="G53" s="50"/>
      <c r="H53" s="50"/>
      <c r="I53" s="50"/>
    </row>
    <row r="54" spans="1:9" ht="14.5" customHeight="1">
      <c r="A54" s="47"/>
      <c r="B5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4" s="47" t="s">
        <v>29</v>
      </c>
      <c r="D54" s="47"/>
      <c r="E54" s="47" t="s">
        <v>56</v>
      </c>
      <c r="F54" s="47" t="s">
        <v>79</v>
      </c>
      <c r="G54" s="47" t="s">
        <v>67</v>
      </c>
      <c r="H54" s="47" t="s">
        <v>99</v>
      </c>
      <c r="I54" s="47"/>
    </row>
    <row r="55" spans="1:9" ht="14.5" customHeight="1">
      <c r="A55" s="47"/>
      <c r="B5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5" s="47" t="s">
        <v>11</v>
      </c>
      <c r="D55" s="47" t="s">
        <v>19</v>
      </c>
      <c r="E55" s="47"/>
      <c r="F55" s="47"/>
      <c r="G55" s="47"/>
      <c r="H55" s="47"/>
      <c r="I55" s="47"/>
    </row>
    <row r="56" spans="1:9" ht="14.5" customHeight="1">
      <c r="A56" s="47"/>
      <c r="B5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6" s="47" t="s">
        <v>17</v>
      </c>
      <c r="D56" s="47"/>
      <c r="E56" s="47" t="s">
        <v>332</v>
      </c>
      <c r="F56" s="47" t="s">
        <v>55</v>
      </c>
      <c r="G56" s="47" t="s">
        <v>93</v>
      </c>
      <c r="H56" s="47" t="s">
        <v>90</v>
      </c>
      <c r="I56" s="47"/>
    </row>
    <row r="57" spans="1:9" ht="14.5" customHeight="1">
      <c r="A57" s="47"/>
      <c r="B5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7" s="47" t="s">
        <v>27</v>
      </c>
      <c r="D57" s="47" t="s">
        <v>18</v>
      </c>
      <c r="E57" s="47"/>
      <c r="F57" s="47"/>
      <c r="G57" s="47"/>
      <c r="H57" s="47"/>
      <c r="I57" s="47"/>
    </row>
    <row r="58" spans="1:9" ht="14.5" customHeight="1">
      <c r="A58" s="47"/>
      <c r="B5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8" s="47" t="s">
        <v>20</v>
      </c>
      <c r="D58" s="47"/>
      <c r="E58" s="47" t="s">
        <v>71</v>
      </c>
      <c r="F58" s="47" t="s">
        <v>49</v>
      </c>
      <c r="G58" s="47" t="s">
        <v>83</v>
      </c>
      <c r="H58" s="47" t="s">
        <v>222</v>
      </c>
      <c r="I58" s="47"/>
    </row>
    <row r="59" spans="1:9" ht="14.5" customHeight="1">
      <c r="A59" s="47"/>
      <c r="B5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9" s="47" t="s">
        <v>12</v>
      </c>
      <c r="D59" s="47" t="s">
        <v>28</v>
      </c>
      <c r="E59" s="47"/>
      <c r="F59" s="47"/>
      <c r="G59" s="47"/>
      <c r="H59" s="47"/>
      <c r="I59" s="47"/>
    </row>
    <row r="60" spans="1:9" ht="14.5" customHeight="1">
      <c r="A60" s="47"/>
      <c r="B6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60" s="47" t="s">
        <v>10</v>
      </c>
      <c r="D60" s="47"/>
      <c r="E60" s="47"/>
      <c r="F60" s="47"/>
      <c r="G60" s="47"/>
      <c r="H60" s="47"/>
      <c r="I60" s="47"/>
    </row>
    <row r="61" spans="1:9" ht="14.5" customHeight="1" thickBot="1">
      <c r="A61" s="48"/>
      <c r="B6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61" s="48" t="s">
        <v>21</v>
      </c>
      <c r="D61" s="48" t="s">
        <v>30</v>
      </c>
      <c r="E61" s="48"/>
      <c r="F61" s="48"/>
      <c r="G61" s="48"/>
      <c r="H61" s="48"/>
      <c r="I61" s="48"/>
    </row>
    <row r="62" spans="1:9" ht="14.5" customHeight="1">
      <c r="A62" s="51" t="s">
        <v>435</v>
      </c>
      <c r="B6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2" s="51"/>
      <c r="D62" s="51"/>
      <c r="E62" s="51" t="s">
        <v>48</v>
      </c>
      <c r="F62" s="51" t="s">
        <v>92</v>
      </c>
      <c r="G62" s="51" t="s">
        <v>86</v>
      </c>
      <c r="H62" s="51" t="s">
        <v>80</v>
      </c>
      <c r="I62" s="51">
        <f>COUNTA(C62:H68)</f>
        <v>16</v>
      </c>
    </row>
    <row r="63" spans="1:9" ht="14.5" customHeight="1">
      <c r="A63" s="50"/>
      <c r="B6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3" s="50"/>
      <c r="D63" s="50"/>
      <c r="E63" s="50"/>
      <c r="F63" s="50"/>
      <c r="G63" s="50"/>
      <c r="H63" s="50"/>
      <c r="I63" s="50"/>
    </row>
    <row r="64" spans="1:9" ht="14.5" customHeight="1">
      <c r="A64" s="47"/>
      <c r="B6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4" s="47"/>
      <c r="D64" s="47"/>
      <c r="E64" s="47" t="s">
        <v>81</v>
      </c>
      <c r="F64" s="47" t="s">
        <v>237</v>
      </c>
      <c r="G64" s="47" t="s">
        <v>59</v>
      </c>
      <c r="H64" s="47" t="s">
        <v>82</v>
      </c>
      <c r="I64" s="47"/>
    </row>
    <row r="65" spans="1:15" ht="14.5" customHeight="1">
      <c r="A65" s="47"/>
      <c r="B6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5" s="47"/>
      <c r="D65" s="47"/>
      <c r="E65" s="47"/>
      <c r="F65" s="47"/>
      <c r="G65" s="47"/>
      <c r="H65" s="47"/>
      <c r="I65" s="47"/>
    </row>
    <row r="66" spans="1:15" ht="14.5" customHeight="1">
      <c r="A66" s="47"/>
      <c r="B6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6" s="47"/>
      <c r="D66" s="47"/>
      <c r="E66" s="47" t="s">
        <v>44</v>
      </c>
      <c r="F66" s="47" t="s">
        <v>101</v>
      </c>
      <c r="G66" s="47" t="s">
        <v>75</v>
      </c>
      <c r="H66" s="47" t="s">
        <v>91</v>
      </c>
      <c r="I66" s="47"/>
    </row>
    <row r="67" spans="1:15" ht="14.5" customHeight="1">
      <c r="A67" s="47"/>
      <c r="B6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7" s="47"/>
      <c r="D67" s="47"/>
      <c r="E67" s="47"/>
      <c r="F67" s="47"/>
      <c r="G67" s="47"/>
      <c r="H67" s="47"/>
      <c r="I67" s="47"/>
    </row>
    <row r="68" spans="1:15" ht="14.5" customHeight="1" thickBot="1">
      <c r="A68" s="52"/>
      <c r="B68" s="52"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8" s="52"/>
      <c r="D68" s="52"/>
      <c r="E68" s="52" t="s">
        <v>477</v>
      </c>
      <c r="F68" s="52" t="s">
        <v>70</v>
      </c>
      <c r="G68" s="52" t="s">
        <v>150</v>
      </c>
      <c r="H68" s="52" t="s">
        <v>139</v>
      </c>
      <c r="I68" s="52"/>
    </row>
    <row r="69" spans="1:15" ht="14.5" customHeight="1">
      <c r="A69" s="45"/>
      <c r="B69" s="45"/>
      <c r="C69" s="45"/>
      <c r="D69" s="45"/>
      <c r="E69" s="45"/>
      <c r="F69" s="45"/>
      <c r="G69" s="45"/>
      <c r="H69" s="45"/>
      <c r="I69" s="45"/>
    </row>
    <row r="70" spans="1:15" ht="20" customHeight="1">
      <c r="A70" s="136" t="s">
        <v>817</v>
      </c>
      <c r="B70" s="136"/>
      <c r="C70" s="136"/>
      <c r="D70" s="136"/>
      <c r="E70" s="136"/>
      <c r="F70" s="136"/>
      <c r="G70" s="136"/>
      <c r="H70" s="136"/>
      <c r="I70" s="136"/>
      <c r="J70" s="136"/>
      <c r="K70" s="136"/>
      <c r="L70" s="136"/>
      <c r="M70" s="136"/>
      <c r="N70" s="136"/>
      <c r="O70" s="136"/>
    </row>
    <row r="71" spans="1:15" ht="14.5" customHeight="1">
      <c r="A71" s="18"/>
      <c r="B71" s="19" t="s">
        <v>314</v>
      </c>
      <c r="C71" s="135" t="s">
        <v>760</v>
      </c>
      <c r="D71" s="135"/>
      <c r="E71" s="135"/>
      <c r="F71" s="135" t="s">
        <v>755</v>
      </c>
      <c r="G71" s="135"/>
      <c r="H71" s="18"/>
      <c r="I71" s="19" t="s">
        <v>314</v>
      </c>
      <c r="J71" s="135" t="s">
        <v>767</v>
      </c>
      <c r="K71" s="135"/>
      <c r="L71" s="135"/>
      <c r="M71" s="135" t="s">
        <v>755</v>
      </c>
      <c r="N71" s="135"/>
      <c r="O71" s="18"/>
    </row>
    <row r="72" spans="1:15" ht="14.5" customHeight="1">
      <c r="A72" s="18"/>
      <c r="B72" s="20">
        <v>1</v>
      </c>
      <c r="C72" s="134" t="s">
        <v>1024</v>
      </c>
      <c r="D72" s="134"/>
      <c r="E72" s="134"/>
      <c r="F72" s="134" t="s">
        <v>840</v>
      </c>
      <c r="G72" s="134"/>
      <c r="H72" s="18"/>
      <c r="I72" s="20">
        <v>8</v>
      </c>
      <c r="J72" s="134" t="s">
        <v>1031</v>
      </c>
      <c r="K72" s="134"/>
      <c r="L72" s="134"/>
      <c r="M72" s="134" t="s">
        <v>841</v>
      </c>
      <c r="N72" s="134"/>
      <c r="O72" s="18"/>
    </row>
    <row r="73" spans="1:15" ht="14.5" customHeight="1">
      <c r="A73" s="18"/>
      <c r="B73" s="20">
        <v>2</v>
      </c>
      <c r="C73" s="134" t="s">
        <v>1025</v>
      </c>
      <c r="D73" s="134"/>
      <c r="E73" s="134"/>
      <c r="F73" s="134" t="s">
        <v>841</v>
      </c>
      <c r="G73" s="134"/>
      <c r="H73" s="18"/>
      <c r="I73" s="20">
        <v>9</v>
      </c>
      <c r="J73" s="134" t="s">
        <v>1032</v>
      </c>
      <c r="K73" s="134"/>
      <c r="L73" s="134"/>
      <c r="M73" s="134" t="s">
        <v>841</v>
      </c>
      <c r="N73" s="134"/>
      <c r="O73" s="18"/>
    </row>
    <row r="74" spans="1:15" ht="14.5" customHeight="1">
      <c r="A74" s="18"/>
      <c r="B74" s="20">
        <v>3</v>
      </c>
      <c r="C74" s="134" t="s">
        <v>1026</v>
      </c>
      <c r="D74" s="134"/>
      <c r="E74" s="134"/>
      <c r="F74" s="134" t="s">
        <v>847</v>
      </c>
      <c r="G74" s="134"/>
      <c r="H74" s="18"/>
      <c r="I74" s="20">
        <v>10</v>
      </c>
      <c r="J74" s="134" t="s">
        <v>1033</v>
      </c>
      <c r="K74" s="134"/>
      <c r="L74" s="134"/>
      <c r="M74" s="134" t="s">
        <v>847</v>
      </c>
      <c r="N74" s="134"/>
      <c r="O74" s="18"/>
    </row>
    <row r="75" spans="1:15" ht="14.5" customHeight="1">
      <c r="A75" s="18"/>
      <c r="B75" s="20">
        <v>4</v>
      </c>
      <c r="C75" s="134" t="s">
        <v>1027</v>
      </c>
      <c r="D75" s="134"/>
      <c r="E75" s="134"/>
      <c r="F75" s="134" t="s">
        <v>847</v>
      </c>
      <c r="G75" s="134"/>
      <c r="H75" s="18"/>
      <c r="I75" s="20">
        <v>11</v>
      </c>
      <c r="J75" s="134" t="s">
        <v>1034</v>
      </c>
      <c r="K75" s="134"/>
      <c r="L75" s="134"/>
      <c r="M75" s="134" t="s">
        <v>847</v>
      </c>
      <c r="N75" s="134"/>
      <c r="O75" s="18"/>
    </row>
    <row r="76" spans="1:15" ht="14.5" customHeight="1">
      <c r="A76" s="18"/>
      <c r="B76" s="20">
        <v>5</v>
      </c>
      <c r="C76" s="134" t="s">
        <v>1028</v>
      </c>
      <c r="D76" s="134"/>
      <c r="E76" s="134"/>
      <c r="F76" s="134" t="s">
        <v>847</v>
      </c>
      <c r="G76" s="134"/>
      <c r="H76" s="18"/>
      <c r="I76" s="20">
        <v>12</v>
      </c>
      <c r="J76" s="134" t="s">
        <v>1035</v>
      </c>
      <c r="K76" s="134"/>
      <c r="L76" s="134"/>
      <c r="M76" s="134" t="s">
        <v>847</v>
      </c>
      <c r="N76" s="134"/>
      <c r="O76" s="18"/>
    </row>
    <row r="77" spans="1:15" ht="14.5" customHeight="1">
      <c r="A77" s="18"/>
      <c r="B77" s="20">
        <v>6</v>
      </c>
      <c r="C77" s="134" t="s">
        <v>1029</v>
      </c>
      <c r="D77" s="134"/>
      <c r="E77" s="134"/>
      <c r="F77" s="134" t="s">
        <v>847</v>
      </c>
      <c r="G77" s="134"/>
      <c r="H77" s="18"/>
      <c r="I77" s="20">
        <v>13</v>
      </c>
      <c r="J77" s="134" t="s">
        <v>1036</v>
      </c>
      <c r="K77" s="134"/>
      <c r="L77" s="134"/>
      <c r="M77" s="134" t="s">
        <v>847</v>
      </c>
      <c r="N77" s="134"/>
      <c r="O77" s="18"/>
    </row>
    <row r="78" spans="1:15" ht="14.5" customHeight="1">
      <c r="A78" s="18"/>
      <c r="B78" s="20">
        <v>7</v>
      </c>
      <c r="C78" s="134" t="s">
        <v>1030</v>
      </c>
      <c r="D78" s="134"/>
      <c r="E78" s="134"/>
      <c r="F78" s="134" t="s">
        <v>847</v>
      </c>
      <c r="G78" s="134"/>
      <c r="H78" s="18"/>
      <c r="I78" s="20">
        <v>14</v>
      </c>
      <c r="J78" s="134" t="s">
        <v>1037</v>
      </c>
      <c r="K78" s="134"/>
      <c r="L78" s="134"/>
      <c r="M78" s="134" t="s">
        <v>847</v>
      </c>
      <c r="N78" s="134"/>
      <c r="O78" s="18"/>
    </row>
    <row r="79" spans="1:15" ht="14.5" customHeight="1">
      <c r="A79" s="18"/>
      <c r="B79" s="18"/>
      <c r="C79" s="18"/>
      <c r="D79" s="18"/>
      <c r="E79" s="18"/>
      <c r="F79" s="18"/>
      <c r="G79" s="18"/>
      <c r="H79" s="18"/>
      <c r="I79" s="20">
        <v>15</v>
      </c>
      <c r="J79" s="134" t="s">
        <v>1038</v>
      </c>
      <c r="K79" s="134"/>
      <c r="L79" s="134"/>
      <c r="M79" s="134" t="s">
        <v>847</v>
      </c>
      <c r="N79" s="134"/>
      <c r="O79" s="18"/>
    </row>
    <row r="80" spans="1:15" ht="14.5" customHeight="1">
      <c r="A80" s="18"/>
      <c r="B80" s="18"/>
      <c r="C80" s="18"/>
      <c r="D80" s="18"/>
      <c r="E80" s="18"/>
      <c r="F80" s="18"/>
      <c r="G80" s="18"/>
      <c r="H80" s="18"/>
      <c r="I80" s="18"/>
      <c r="J80" s="18"/>
      <c r="K80" s="18"/>
      <c r="L80" s="18"/>
      <c r="M80" s="18"/>
      <c r="N80" s="18"/>
      <c r="O80" s="18"/>
    </row>
    <row r="81" spans="1:15" ht="14.5" customHeight="1">
      <c r="A81" s="18"/>
      <c r="B81" s="18"/>
      <c r="C81" s="18"/>
      <c r="D81" s="18"/>
      <c r="E81" s="18"/>
      <c r="F81" s="18"/>
      <c r="G81" s="18"/>
      <c r="H81" s="18"/>
      <c r="I81" s="18"/>
      <c r="J81" s="18"/>
      <c r="K81" s="18"/>
      <c r="L81" s="18"/>
      <c r="M81" s="18"/>
      <c r="N81" s="18"/>
      <c r="O81" s="18"/>
    </row>
    <row r="82" spans="1:15" ht="14.5" customHeight="1">
      <c r="A82" s="136" t="s">
        <v>818</v>
      </c>
      <c r="B82" s="136"/>
      <c r="C82" s="136"/>
      <c r="D82" s="136"/>
      <c r="E82" s="136"/>
      <c r="F82" s="136"/>
      <c r="G82" s="136"/>
      <c r="H82" s="136"/>
      <c r="I82" s="136"/>
      <c r="J82" s="136"/>
      <c r="K82" s="136"/>
      <c r="L82" s="136"/>
      <c r="M82" s="136"/>
      <c r="N82" s="136"/>
      <c r="O82" s="136"/>
    </row>
    <row r="83" spans="1:15" ht="14.5" customHeight="1">
      <c r="A83" s="18"/>
      <c r="B83" s="19" t="s">
        <v>314</v>
      </c>
      <c r="C83" s="135" t="s">
        <v>760</v>
      </c>
      <c r="D83" s="135"/>
      <c r="E83" s="135"/>
      <c r="F83" s="135" t="s">
        <v>755</v>
      </c>
      <c r="G83" s="135"/>
      <c r="H83" s="18"/>
      <c r="I83" s="19" t="s">
        <v>314</v>
      </c>
      <c r="J83" s="135" t="s">
        <v>767</v>
      </c>
      <c r="K83" s="135"/>
      <c r="L83" s="135"/>
      <c r="M83" s="135" t="s">
        <v>755</v>
      </c>
      <c r="N83" s="135"/>
      <c r="O83" s="18"/>
    </row>
    <row r="84" spans="1:15" ht="14.5" customHeight="1">
      <c r="A84" s="18"/>
      <c r="B84" s="20">
        <v>1</v>
      </c>
      <c r="C84" s="152" t="s">
        <v>944</v>
      </c>
      <c r="D84" s="152"/>
      <c r="E84" s="152"/>
      <c r="F84" s="152" t="s">
        <v>840</v>
      </c>
      <c r="G84" s="152"/>
      <c r="H84" s="18"/>
      <c r="I84" s="20">
        <v>8</v>
      </c>
      <c r="J84" s="152" t="s">
        <v>943</v>
      </c>
      <c r="K84" s="152"/>
      <c r="L84" s="152"/>
      <c r="M84" s="152" t="s">
        <v>840</v>
      </c>
      <c r="N84" s="152"/>
      <c r="O84" s="18"/>
    </row>
    <row r="85" spans="1:15" ht="14.5" customHeight="1">
      <c r="A85" s="18"/>
      <c r="B85" s="20">
        <v>2</v>
      </c>
      <c r="C85" s="152" t="s">
        <v>946</v>
      </c>
      <c r="D85" s="152"/>
      <c r="E85" s="152"/>
      <c r="F85" s="152" t="s">
        <v>840</v>
      </c>
      <c r="G85" s="152"/>
      <c r="H85" s="18"/>
      <c r="I85" s="20">
        <v>9</v>
      </c>
      <c r="J85" s="152" t="s">
        <v>945</v>
      </c>
      <c r="K85" s="152"/>
      <c r="L85" s="152"/>
      <c r="M85" s="152" t="s">
        <v>840</v>
      </c>
      <c r="N85" s="152"/>
      <c r="O85" s="18"/>
    </row>
    <row r="86" spans="1:15" ht="14.5" customHeight="1">
      <c r="A86" s="18"/>
      <c r="B86" s="20">
        <v>3</v>
      </c>
      <c r="C86" s="134" t="s">
        <v>1039</v>
      </c>
      <c r="D86" s="134"/>
      <c r="E86" s="134"/>
      <c r="F86" s="134" t="s">
        <v>841</v>
      </c>
      <c r="G86" s="134"/>
      <c r="H86" s="18"/>
      <c r="I86" s="20">
        <v>10</v>
      </c>
      <c r="J86" s="152" t="s">
        <v>947</v>
      </c>
      <c r="K86" s="152"/>
      <c r="L86" s="152"/>
      <c r="M86" s="152" t="s">
        <v>840</v>
      </c>
      <c r="N86" s="152"/>
      <c r="O86" s="18"/>
    </row>
    <row r="87" spans="1:15" ht="14.5" customHeight="1">
      <c r="A87" s="18"/>
      <c r="B87" s="20">
        <v>4</v>
      </c>
      <c r="C87" s="134" t="s">
        <v>1040</v>
      </c>
      <c r="D87" s="134"/>
      <c r="E87" s="134"/>
      <c r="F87" s="134" t="s">
        <v>841</v>
      </c>
      <c r="G87" s="134"/>
      <c r="H87" s="18"/>
      <c r="I87" s="20">
        <v>11</v>
      </c>
      <c r="J87" s="134" t="s">
        <v>948</v>
      </c>
      <c r="K87" s="134"/>
      <c r="L87" s="134"/>
      <c r="M87" s="134" t="s">
        <v>841</v>
      </c>
      <c r="N87" s="134"/>
      <c r="O87" s="18"/>
    </row>
    <row r="88" spans="1:15" ht="14.5" customHeight="1">
      <c r="A88" s="18"/>
      <c r="B88" s="20">
        <v>5</v>
      </c>
      <c r="C88" s="134" t="s">
        <v>950</v>
      </c>
      <c r="D88" s="134"/>
      <c r="E88" s="134"/>
      <c r="F88" s="134" t="s">
        <v>841</v>
      </c>
      <c r="G88" s="134"/>
      <c r="H88" s="18"/>
      <c r="I88" s="20">
        <v>12</v>
      </c>
      <c r="J88" s="134" t="s">
        <v>1042</v>
      </c>
      <c r="K88" s="134"/>
      <c r="L88" s="134"/>
      <c r="M88" s="134" t="s">
        <v>841</v>
      </c>
      <c r="N88" s="134"/>
      <c r="O88" s="18"/>
    </row>
    <row r="89" spans="1:15" ht="14.5" customHeight="1">
      <c r="A89" s="18"/>
      <c r="B89" s="20">
        <v>6</v>
      </c>
      <c r="C89" s="134" t="s">
        <v>1041</v>
      </c>
      <c r="D89" s="134"/>
      <c r="E89" s="134"/>
      <c r="F89" s="134" t="s">
        <v>841</v>
      </c>
      <c r="G89" s="134"/>
      <c r="H89" s="18"/>
      <c r="I89" s="20">
        <v>13</v>
      </c>
      <c r="J89" s="134" t="s">
        <v>1043</v>
      </c>
      <c r="K89" s="134"/>
      <c r="L89" s="134"/>
      <c r="M89" s="134" t="s">
        <v>841</v>
      </c>
      <c r="N89" s="134"/>
      <c r="O89" s="18"/>
    </row>
    <row r="90" spans="1:15" ht="14.5" customHeight="1">
      <c r="A90" s="18"/>
      <c r="B90" s="20">
        <v>7</v>
      </c>
      <c r="C90" s="134" t="s">
        <v>952</v>
      </c>
      <c r="D90" s="134"/>
      <c r="E90" s="134"/>
      <c r="F90" s="134" t="s">
        <v>841</v>
      </c>
      <c r="G90" s="134"/>
      <c r="H90" s="18"/>
      <c r="I90" s="20">
        <v>14</v>
      </c>
      <c r="J90" s="134" t="s">
        <v>1044</v>
      </c>
      <c r="K90" s="134"/>
      <c r="L90" s="134"/>
      <c r="M90" s="134" t="s">
        <v>841</v>
      </c>
      <c r="N90" s="134"/>
      <c r="O90" s="18"/>
    </row>
    <row r="91" spans="1:15" ht="14.5" customHeight="1">
      <c r="A91" s="18"/>
      <c r="B91" s="18"/>
      <c r="C91" s="18"/>
      <c r="D91" s="18"/>
      <c r="E91" s="18"/>
      <c r="F91" s="18"/>
      <c r="G91" s="18"/>
      <c r="H91" s="18"/>
      <c r="I91" s="20">
        <v>15</v>
      </c>
      <c r="J91" s="134" t="s">
        <v>1045</v>
      </c>
      <c r="K91" s="134"/>
      <c r="L91" s="134"/>
      <c r="M91" s="134" t="s">
        <v>841</v>
      </c>
      <c r="N91" s="134"/>
      <c r="O91" s="18"/>
    </row>
    <row r="92" spans="1:15" ht="14.5" customHeight="1">
      <c r="A92" s="18"/>
      <c r="B92" s="18"/>
      <c r="C92" s="18"/>
      <c r="D92" s="18"/>
      <c r="E92" s="18"/>
      <c r="F92" s="18"/>
      <c r="G92" s="18"/>
      <c r="H92" s="18"/>
      <c r="I92" s="18"/>
      <c r="J92" s="18"/>
      <c r="K92" s="18"/>
      <c r="L92" s="18"/>
      <c r="M92" s="18"/>
      <c r="N92" s="18"/>
      <c r="O92" s="18"/>
    </row>
    <row r="93" spans="1:15" ht="14.5" customHeight="1">
      <c r="A93" s="18"/>
      <c r="B93" s="18"/>
      <c r="C93" s="18"/>
      <c r="D93" s="18"/>
      <c r="E93" s="18"/>
      <c r="F93" s="18"/>
      <c r="G93" s="18"/>
      <c r="H93" s="18"/>
      <c r="I93" s="18"/>
      <c r="J93" s="18"/>
      <c r="K93" s="18"/>
      <c r="L93" s="18"/>
      <c r="M93" s="18"/>
      <c r="N93" s="18"/>
      <c r="O93" s="18"/>
    </row>
    <row r="94" spans="1:15" ht="14.5" customHeight="1">
      <c r="A94" s="136" t="s">
        <v>819</v>
      </c>
      <c r="B94" s="136"/>
      <c r="C94" s="136"/>
      <c r="D94" s="136"/>
      <c r="E94" s="136"/>
      <c r="F94" s="136"/>
      <c r="G94" s="136"/>
      <c r="H94" s="136"/>
      <c r="I94" s="136"/>
      <c r="J94" s="136"/>
      <c r="K94" s="136"/>
      <c r="L94" s="136"/>
      <c r="M94" s="136"/>
      <c r="N94" s="136"/>
      <c r="O94" s="136"/>
    </row>
    <row r="95" spans="1:15" ht="14.5" customHeight="1">
      <c r="A95" s="18"/>
      <c r="B95" s="19" t="s">
        <v>314</v>
      </c>
      <c r="C95" s="135" t="s">
        <v>760</v>
      </c>
      <c r="D95" s="135"/>
      <c r="E95" s="135"/>
      <c r="F95" s="135" t="s">
        <v>755</v>
      </c>
      <c r="G95" s="135"/>
      <c r="H95" s="18"/>
      <c r="I95" s="19" t="s">
        <v>314</v>
      </c>
      <c r="J95" s="135" t="s">
        <v>767</v>
      </c>
      <c r="K95" s="135"/>
      <c r="L95" s="135"/>
      <c r="M95" s="135" t="s">
        <v>755</v>
      </c>
      <c r="N95" s="135"/>
      <c r="O95" s="18"/>
    </row>
    <row r="96" spans="1:15" ht="14.5">
      <c r="A96" s="18"/>
      <c r="B96" s="20">
        <v>1</v>
      </c>
      <c r="C96" s="152" t="s">
        <v>972</v>
      </c>
      <c r="D96" s="152"/>
      <c r="E96" s="152"/>
      <c r="F96" s="152" t="s">
        <v>840</v>
      </c>
      <c r="G96" s="152"/>
      <c r="H96" s="18"/>
      <c r="I96" s="153">
        <v>8</v>
      </c>
      <c r="J96" s="152" t="s">
        <v>973</v>
      </c>
      <c r="K96" s="152"/>
      <c r="L96" s="152"/>
      <c r="M96" s="152" t="s">
        <v>840</v>
      </c>
      <c r="N96" s="152"/>
      <c r="O96" s="18"/>
    </row>
    <row r="97" spans="1:15" ht="14.5">
      <c r="A97" s="18"/>
      <c r="B97" s="20">
        <v>2</v>
      </c>
      <c r="C97" s="152" t="s">
        <v>975</v>
      </c>
      <c r="D97" s="152"/>
      <c r="E97" s="152"/>
      <c r="F97" s="152" t="s">
        <v>840</v>
      </c>
      <c r="G97" s="152"/>
      <c r="H97" s="18"/>
      <c r="I97" s="153">
        <v>9</v>
      </c>
      <c r="J97" s="152" t="s">
        <v>974</v>
      </c>
      <c r="K97" s="152"/>
      <c r="L97" s="152"/>
      <c r="M97" s="152" t="s">
        <v>840</v>
      </c>
      <c r="N97" s="152"/>
      <c r="O97" s="18"/>
    </row>
    <row r="98" spans="1:15" ht="14.5">
      <c r="A98" s="18"/>
      <c r="B98" s="20">
        <v>3</v>
      </c>
      <c r="C98" s="152" t="s">
        <v>977</v>
      </c>
      <c r="D98" s="152"/>
      <c r="E98" s="152"/>
      <c r="F98" s="152" t="s">
        <v>840</v>
      </c>
      <c r="G98" s="152"/>
      <c r="H98" s="18"/>
      <c r="I98" s="153">
        <v>10</v>
      </c>
      <c r="J98" s="152" t="s">
        <v>976</v>
      </c>
      <c r="K98" s="152"/>
      <c r="L98" s="152"/>
      <c r="M98" s="152" t="s">
        <v>840</v>
      </c>
      <c r="N98" s="152"/>
      <c r="O98" s="18"/>
    </row>
    <row r="99" spans="1:15" ht="14.5">
      <c r="A99" s="18"/>
      <c r="B99" s="20">
        <v>4</v>
      </c>
      <c r="C99" s="152" t="s">
        <v>979</v>
      </c>
      <c r="D99" s="152"/>
      <c r="E99" s="152"/>
      <c r="F99" s="152" t="s">
        <v>840</v>
      </c>
      <c r="G99" s="152"/>
      <c r="H99" s="18"/>
      <c r="I99" s="153">
        <v>11</v>
      </c>
      <c r="J99" s="152" t="s">
        <v>978</v>
      </c>
      <c r="K99" s="152"/>
      <c r="L99" s="152"/>
      <c r="M99" s="152" t="s">
        <v>840</v>
      </c>
      <c r="N99" s="152"/>
      <c r="O99" s="18"/>
    </row>
    <row r="100" spans="1:15" ht="14.5">
      <c r="A100" s="18"/>
      <c r="B100" s="20">
        <v>5</v>
      </c>
      <c r="C100" s="152" t="s">
        <v>1046</v>
      </c>
      <c r="D100" s="152"/>
      <c r="E100" s="152"/>
      <c r="F100" s="152" t="s">
        <v>841</v>
      </c>
      <c r="G100" s="152"/>
      <c r="H100" s="18"/>
      <c r="I100" s="153">
        <v>12</v>
      </c>
      <c r="J100" s="152" t="s">
        <v>980</v>
      </c>
      <c r="K100" s="152"/>
      <c r="L100" s="152"/>
      <c r="M100" s="152" t="s">
        <v>841</v>
      </c>
      <c r="N100" s="152"/>
      <c r="O100" s="18"/>
    </row>
    <row r="101" spans="1:15" ht="14.5">
      <c r="A101" s="18"/>
      <c r="B101" s="20">
        <v>6</v>
      </c>
      <c r="C101" s="152" t="s">
        <v>1047</v>
      </c>
      <c r="D101" s="152"/>
      <c r="E101" s="152"/>
      <c r="F101" s="152" t="s">
        <v>841</v>
      </c>
      <c r="G101" s="152"/>
      <c r="H101" s="18"/>
      <c r="I101" s="153">
        <v>13</v>
      </c>
      <c r="J101" s="152" t="s">
        <v>981</v>
      </c>
      <c r="K101" s="152"/>
      <c r="L101" s="152"/>
      <c r="M101" s="152" t="s">
        <v>841</v>
      </c>
      <c r="N101" s="152"/>
      <c r="O101" s="18"/>
    </row>
    <row r="102" spans="1:15" ht="14.5">
      <c r="A102" s="18"/>
      <c r="B102" s="20">
        <v>7</v>
      </c>
      <c r="C102" s="152" t="s">
        <v>982</v>
      </c>
      <c r="D102" s="152"/>
      <c r="E102" s="152"/>
      <c r="F102" s="152" t="s">
        <v>847</v>
      </c>
      <c r="G102" s="152"/>
      <c r="H102" s="18"/>
      <c r="I102" s="153">
        <v>14</v>
      </c>
      <c r="J102" s="152" t="s">
        <v>1048</v>
      </c>
      <c r="K102" s="152"/>
      <c r="L102" s="152"/>
      <c r="M102" s="152" t="s">
        <v>847</v>
      </c>
      <c r="N102" s="152"/>
      <c r="O102" s="18"/>
    </row>
    <row r="103" spans="1:15" ht="14.5">
      <c r="A103" s="18"/>
      <c r="B103" s="18"/>
      <c r="C103" s="18"/>
      <c r="D103" s="18"/>
      <c r="E103" s="18"/>
      <c r="F103" s="18"/>
      <c r="G103" s="18"/>
      <c r="H103" s="18"/>
      <c r="I103" s="153">
        <v>15</v>
      </c>
      <c r="J103" s="152" t="s">
        <v>983</v>
      </c>
      <c r="K103" s="152"/>
      <c r="L103" s="152"/>
      <c r="M103" s="152" t="s">
        <v>847</v>
      </c>
      <c r="N103" s="152"/>
      <c r="O103" s="18"/>
    </row>
    <row r="104" spans="1:15" ht="14.5">
      <c r="A104" s="18"/>
      <c r="B104" s="18"/>
      <c r="C104" s="18"/>
      <c r="D104" s="18"/>
      <c r="E104" s="18"/>
      <c r="F104" s="18"/>
      <c r="G104" s="18"/>
      <c r="H104" s="18"/>
      <c r="I104" s="18"/>
      <c r="J104" s="18"/>
      <c r="K104" s="18"/>
      <c r="L104" s="18"/>
      <c r="M104" s="18"/>
      <c r="N104" s="18"/>
      <c r="O104" s="18"/>
    </row>
    <row r="105" spans="1:15" ht="14.5">
      <c r="A105" s="18"/>
      <c r="B105" s="18"/>
      <c r="C105" s="18"/>
      <c r="D105" s="18"/>
      <c r="E105" s="18"/>
      <c r="F105" s="18"/>
      <c r="G105" s="18"/>
      <c r="H105" s="18"/>
      <c r="I105" s="18"/>
      <c r="J105" s="18"/>
      <c r="K105" s="18"/>
      <c r="L105" s="18"/>
      <c r="M105" s="18"/>
      <c r="N105" s="18"/>
      <c r="O105" s="18"/>
    </row>
    <row r="106" spans="1:15" ht="15.5">
      <c r="A106" s="136" t="s">
        <v>820</v>
      </c>
      <c r="B106" s="136"/>
      <c r="C106" s="136"/>
      <c r="D106" s="136"/>
      <c r="E106" s="136"/>
      <c r="F106" s="136"/>
      <c r="G106" s="136"/>
      <c r="H106" s="136"/>
      <c r="I106" s="136"/>
      <c r="J106" s="136"/>
      <c r="K106" s="136"/>
      <c r="L106" s="136"/>
      <c r="M106" s="136"/>
      <c r="N106" s="136"/>
      <c r="O106" s="136"/>
    </row>
    <row r="107" spans="1:15" ht="14.5">
      <c r="A107" s="18"/>
      <c r="B107" s="19" t="s">
        <v>314</v>
      </c>
      <c r="C107" s="135" t="s">
        <v>760</v>
      </c>
      <c r="D107" s="135"/>
      <c r="E107" s="135"/>
      <c r="F107" s="135" t="s">
        <v>755</v>
      </c>
      <c r="G107" s="135"/>
      <c r="H107" s="18"/>
      <c r="I107" s="19" t="s">
        <v>314</v>
      </c>
      <c r="J107" s="135" t="s">
        <v>767</v>
      </c>
      <c r="K107" s="135"/>
      <c r="L107" s="135"/>
      <c r="M107" s="135" t="s">
        <v>755</v>
      </c>
      <c r="N107" s="135"/>
      <c r="O107" s="18"/>
    </row>
    <row r="108" spans="1:15" ht="14.5">
      <c r="A108" s="18"/>
      <c r="B108" s="20">
        <v>1</v>
      </c>
      <c r="C108" s="152" t="s">
        <v>1003</v>
      </c>
      <c r="D108" s="152"/>
      <c r="E108" s="152"/>
      <c r="F108" s="152" t="s">
        <v>840</v>
      </c>
      <c r="G108" s="152"/>
      <c r="H108" s="18"/>
      <c r="I108" s="153">
        <v>8</v>
      </c>
      <c r="J108" s="152" t="s">
        <v>1005</v>
      </c>
      <c r="K108" s="152"/>
      <c r="L108" s="152"/>
      <c r="M108" s="152" t="s">
        <v>840</v>
      </c>
      <c r="N108" s="152"/>
      <c r="O108" s="18"/>
    </row>
    <row r="109" spans="1:15" ht="14.5">
      <c r="A109" s="18"/>
      <c r="B109" s="20">
        <v>2</v>
      </c>
      <c r="C109" s="152" t="s">
        <v>1004</v>
      </c>
      <c r="D109" s="152"/>
      <c r="E109" s="152"/>
      <c r="F109" s="152" t="s">
        <v>840</v>
      </c>
      <c r="G109" s="152"/>
      <c r="H109" s="18"/>
      <c r="I109" s="153">
        <v>9</v>
      </c>
      <c r="J109" s="152" t="s">
        <v>1050</v>
      </c>
      <c r="K109" s="152"/>
      <c r="L109" s="152"/>
      <c r="M109" s="152" t="s">
        <v>841</v>
      </c>
      <c r="N109" s="152"/>
      <c r="O109" s="18"/>
    </row>
    <row r="110" spans="1:15" ht="14.5">
      <c r="A110" s="18"/>
      <c r="B110" s="20">
        <v>3</v>
      </c>
      <c r="C110" s="152" t="s">
        <v>1006</v>
      </c>
      <c r="D110" s="152"/>
      <c r="E110" s="152"/>
      <c r="F110" s="152" t="s">
        <v>841</v>
      </c>
      <c r="G110" s="152"/>
      <c r="H110" s="18"/>
      <c r="I110" s="153">
        <v>10</v>
      </c>
      <c r="J110" s="152" t="s">
        <v>1007</v>
      </c>
      <c r="K110" s="152"/>
      <c r="L110" s="152"/>
      <c r="M110" s="152" t="s">
        <v>841</v>
      </c>
      <c r="N110" s="152"/>
      <c r="O110" s="18"/>
    </row>
    <row r="111" spans="1:15" ht="14.5">
      <c r="A111" s="18"/>
      <c r="B111" s="20">
        <v>4</v>
      </c>
      <c r="C111" s="152" t="s">
        <v>1008</v>
      </c>
      <c r="D111" s="152"/>
      <c r="E111" s="152"/>
      <c r="F111" s="152" t="s">
        <v>841</v>
      </c>
      <c r="G111" s="152"/>
      <c r="H111" s="18"/>
      <c r="I111" s="153">
        <v>11</v>
      </c>
      <c r="J111" s="152" t="s">
        <v>1009</v>
      </c>
      <c r="K111" s="152"/>
      <c r="L111" s="152"/>
      <c r="M111" s="152" t="s">
        <v>841</v>
      </c>
      <c r="N111" s="152"/>
      <c r="O111" s="18"/>
    </row>
    <row r="112" spans="1:15" ht="14.5">
      <c r="A112" s="18"/>
      <c r="B112" s="20">
        <v>5</v>
      </c>
      <c r="C112" s="152" t="s">
        <v>1013</v>
      </c>
      <c r="D112" s="152"/>
      <c r="E112" s="152"/>
      <c r="F112" s="152" t="s">
        <v>847</v>
      </c>
      <c r="G112" s="152"/>
      <c r="H112" s="18"/>
      <c r="I112" s="153">
        <v>12</v>
      </c>
      <c r="J112" s="152" t="s">
        <v>1010</v>
      </c>
      <c r="K112" s="152"/>
      <c r="L112" s="152"/>
      <c r="M112" s="152" t="s">
        <v>847</v>
      </c>
      <c r="N112" s="152"/>
      <c r="O112" s="18"/>
    </row>
    <row r="113" spans="1:15" ht="14.5">
      <c r="A113" s="18"/>
      <c r="B113" s="20">
        <v>6</v>
      </c>
      <c r="C113" s="152" t="s">
        <v>1049</v>
      </c>
      <c r="D113" s="152"/>
      <c r="E113" s="152"/>
      <c r="F113" s="152" t="s">
        <v>847</v>
      </c>
      <c r="G113" s="152"/>
      <c r="H113" s="18"/>
      <c r="I113" s="153">
        <v>13</v>
      </c>
      <c r="J113" s="152" t="s">
        <v>1011</v>
      </c>
      <c r="K113" s="152"/>
      <c r="L113" s="152"/>
      <c r="M113" s="152" t="s">
        <v>847</v>
      </c>
      <c r="N113" s="152"/>
      <c r="O113" s="18"/>
    </row>
    <row r="114" spans="1:15" ht="14.5">
      <c r="A114" s="18"/>
      <c r="B114" s="20">
        <v>7</v>
      </c>
      <c r="C114" s="152" t="s">
        <v>1015</v>
      </c>
      <c r="D114" s="152"/>
      <c r="E114" s="152"/>
      <c r="F114" s="152" t="s">
        <v>847</v>
      </c>
      <c r="G114" s="152"/>
      <c r="H114" s="18"/>
      <c r="I114" s="153">
        <v>14</v>
      </c>
      <c r="J114" s="152" t="s">
        <v>1012</v>
      </c>
      <c r="K114" s="152"/>
      <c r="L114" s="152"/>
      <c r="M114" s="152" t="s">
        <v>847</v>
      </c>
      <c r="N114" s="152"/>
      <c r="O114" s="18"/>
    </row>
    <row r="115" spans="1:15" ht="14.5">
      <c r="A115" s="18"/>
      <c r="B115" s="18"/>
      <c r="C115" s="18"/>
      <c r="D115" s="18"/>
      <c r="E115" s="18"/>
      <c r="F115" s="18"/>
      <c r="G115" s="18"/>
      <c r="H115" s="18"/>
      <c r="I115" s="153">
        <v>15</v>
      </c>
      <c r="J115" s="152" t="s">
        <v>1014</v>
      </c>
      <c r="K115" s="152"/>
      <c r="L115" s="152"/>
      <c r="M115" s="152" t="s">
        <v>847</v>
      </c>
      <c r="N115" s="152"/>
      <c r="O115" s="18"/>
    </row>
    <row r="116" spans="1:15" ht="14.5">
      <c r="A116" s="18"/>
      <c r="B116" s="18"/>
      <c r="C116" s="18"/>
      <c r="D116" s="18"/>
      <c r="E116" s="18"/>
      <c r="F116" s="18"/>
      <c r="G116" s="18"/>
      <c r="H116" s="18"/>
      <c r="I116" s="18"/>
      <c r="J116" s="18"/>
      <c r="K116" s="18"/>
      <c r="L116" s="18"/>
      <c r="M116" s="18"/>
      <c r="N116" s="18"/>
      <c r="O116" s="18"/>
    </row>
    <row r="117" spans="1:15" ht="14.5">
      <c r="A117" s="18"/>
      <c r="B117" s="18"/>
      <c r="C117" s="18"/>
      <c r="D117" s="18"/>
      <c r="E117" s="18"/>
      <c r="F117" s="18"/>
      <c r="G117" s="18"/>
      <c r="H117" s="18"/>
      <c r="I117" s="18"/>
      <c r="J117" s="18"/>
      <c r="K117" s="18"/>
      <c r="L117" s="18"/>
      <c r="M117" s="18"/>
      <c r="N117" s="18"/>
      <c r="O117" s="18"/>
    </row>
  </sheetData>
  <mergeCells count="143">
    <mergeCell ref="C77:E77"/>
    <mergeCell ref="F77:G77"/>
    <mergeCell ref="A1:I1"/>
    <mergeCell ref="C2:D2"/>
    <mergeCell ref="E2:H2"/>
    <mergeCell ref="A70:O70"/>
    <mergeCell ref="C71:E71"/>
    <mergeCell ref="F71:G71"/>
    <mergeCell ref="C72:E72"/>
    <mergeCell ref="F72:G72"/>
    <mergeCell ref="C73:E73"/>
    <mergeCell ref="F73:G73"/>
    <mergeCell ref="C74:E74"/>
    <mergeCell ref="F74:G74"/>
    <mergeCell ref="C75:E75"/>
    <mergeCell ref="J78:L78"/>
    <mergeCell ref="M78:N78"/>
    <mergeCell ref="J79:L79"/>
    <mergeCell ref="M79:N79"/>
    <mergeCell ref="A82:O82"/>
    <mergeCell ref="C78:E78"/>
    <mergeCell ref="F78:G78"/>
    <mergeCell ref="J71:L71"/>
    <mergeCell ref="M71:N71"/>
    <mergeCell ref="J72:L72"/>
    <mergeCell ref="M72:N72"/>
    <mergeCell ref="J73:L73"/>
    <mergeCell ref="M73:N73"/>
    <mergeCell ref="J74:L74"/>
    <mergeCell ref="M74:N74"/>
    <mergeCell ref="J75:L75"/>
    <mergeCell ref="M75:N75"/>
    <mergeCell ref="J76:L76"/>
    <mergeCell ref="M76:N76"/>
    <mergeCell ref="J77:L77"/>
    <mergeCell ref="M77:N77"/>
    <mergeCell ref="F75:G75"/>
    <mergeCell ref="C76:E76"/>
    <mergeCell ref="F76:G76"/>
    <mergeCell ref="M83:N83"/>
    <mergeCell ref="J84:L84"/>
    <mergeCell ref="M84:N84"/>
    <mergeCell ref="J85:L85"/>
    <mergeCell ref="M85:N85"/>
    <mergeCell ref="C89:E89"/>
    <mergeCell ref="F89:G89"/>
    <mergeCell ref="C90:E90"/>
    <mergeCell ref="F90:G90"/>
    <mergeCell ref="J83:L83"/>
    <mergeCell ref="J86:L86"/>
    <mergeCell ref="J89:L89"/>
    <mergeCell ref="C86:E86"/>
    <mergeCell ref="F86:G86"/>
    <mergeCell ref="C87:E87"/>
    <mergeCell ref="F87:G87"/>
    <mergeCell ref="C88:E88"/>
    <mergeCell ref="F88:G88"/>
    <mergeCell ref="C83:E83"/>
    <mergeCell ref="F83:G83"/>
    <mergeCell ref="C84:E84"/>
    <mergeCell ref="F84:G84"/>
    <mergeCell ref="C85:E85"/>
    <mergeCell ref="F85:G85"/>
    <mergeCell ref="M89:N89"/>
    <mergeCell ref="J90:L90"/>
    <mergeCell ref="M90:N90"/>
    <mergeCell ref="J91:L91"/>
    <mergeCell ref="M91:N91"/>
    <mergeCell ref="M86:N86"/>
    <mergeCell ref="J87:L87"/>
    <mergeCell ref="M87:N87"/>
    <mergeCell ref="J88:L88"/>
    <mergeCell ref="M88:N88"/>
    <mergeCell ref="A94:O94"/>
    <mergeCell ref="C95:E95"/>
    <mergeCell ref="F95:G95"/>
    <mergeCell ref="C96:E96"/>
    <mergeCell ref="F96:G96"/>
    <mergeCell ref="J95:L95"/>
    <mergeCell ref="M95:N95"/>
    <mergeCell ref="J96:L96"/>
    <mergeCell ref="M96:N96"/>
    <mergeCell ref="J97:L97"/>
    <mergeCell ref="M97:N97"/>
    <mergeCell ref="J98:L98"/>
    <mergeCell ref="M98:N98"/>
    <mergeCell ref="J99:L99"/>
    <mergeCell ref="M99:N99"/>
    <mergeCell ref="C100:E100"/>
    <mergeCell ref="F100:G100"/>
    <mergeCell ref="C101:E101"/>
    <mergeCell ref="F101:G101"/>
    <mergeCell ref="C97:E97"/>
    <mergeCell ref="F97:G97"/>
    <mergeCell ref="C98:E98"/>
    <mergeCell ref="F98:G98"/>
    <mergeCell ref="C99:E99"/>
    <mergeCell ref="F99:G99"/>
    <mergeCell ref="M103:N103"/>
    <mergeCell ref="A106:O106"/>
    <mergeCell ref="C107:E107"/>
    <mergeCell ref="F107:G107"/>
    <mergeCell ref="J100:L100"/>
    <mergeCell ref="M100:N100"/>
    <mergeCell ref="J101:L101"/>
    <mergeCell ref="M101:N101"/>
    <mergeCell ref="J102:L102"/>
    <mergeCell ref="M102:N102"/>
    <mergeCell ref="C102:E102"/>
    <mergeCell ref="F102:G102"/>
    <mergeCell ref="C113:E113"/>
    <mergeCell ref="F113:G113"/>
    <mergeCell ref="C108:E108"/>
    <mergeCell ref="F108:G108"/>
    <mergeCell ref="C109:E109"/>
    <mergeCell ref="F109:G109"/>
    <mergeCell ref="C110:E110"/>
    <mergeCell ref="F110:G110"/>
    <mergeCell ref="J103:L103"/>
    <mergeCell ref="J114:L114"/>
    <mergeCell ref="M114:N114"/>
    <mergeCell ref="J115:L115"/>
    <mergeCell ref="M115:N115"/>
    <mergeCell ref="C114:E114"/>
    <mergeCell ref="F114:G114"/>
    <mergeCell ref="J107:L107"/>
    <mergeCell ref="M107:N107"/>
    <mergeCell ref="J108:L108"/>
    <mergeCell ref="M108:N108"/>
    <mergeCell ref="J109:L109"/>
    <mergeCell ref="M109:N109"/>
    <mergeCell ref="J110:L110"/>
    <mergeCell ref="M110:N110"/>
    <mergeCell ref="J111:L111"/>
    <mergeCell ref="M111:N111"/>
    <mergeCell ref="J112:L112"/>
    <mergeCell ref="M112:N112"/>
    <mergeCell ref="J113:L113"/>
    <mergeCell ref="M113:N113"/>
    <mergeCell ref="C111:E111"/>
    <mergeCell ref="F111:G111"/>
    <mergeCell ref="C112:E112"/>
    <mergeCell ref="F112:G1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8FE9-6946-428A-9BEF-63DF40DFC4F3}">
  <dimension ref="A1:O89"/>
  <sheetViews>
    <sheetView showGridLines="0" rightToLeft="1" zoomScale="73" zoomScaleNormal="54" workbookViewId="0">
      <pane ySplit="3" topLeftCell="A43" activePane="bottomLeft" state="frozen"/>
      <selection pane="bottomLeft" activeCell="J59" sqref="J59:L59"/>
    </sheetView>
  </sheetViews>
  <sheetFormatPr defaultRowHeight="14"/>
  <cols>
    <col min="1" max="1" width="15.83203125" customWidth="1"/>
    <col min="2" max="2" width="17.5" customWidth="1"/>
    <col min="3" max="10" width="13" customWidth="1"/>
    <col min="11" max="11" width="17.5" customWidth="1"/>
    <col min="12" max="18" width="13" customWidth="1"/>
  </cols>
  <sheetData>
    <row r="1" spans="1:11" ht="26" customHeight="1">
      <c r="A1" s="133" t="s">
        <v>455</v>
      </c>
      <c r="B1" s="133"/>
      <c r="C1" s="133"/>
      <c r="D1" s="133"/>
      <c r="E1" s="133"/>
      <c r="F1" s="133"/>
      <c r="G1" s="133"/>
      <c r="H1" s="133"/>
      <c r="I1" s="133"/>
      <c r="J1" s="133"/>
      <c r="K1" s="133"/>
    </row>
    <row r="2" spans="1:11" ht="20" customHeight="1">
      <c r="A2" s="42"/>
      <c r="B2" s="42"/>
      <c r="C2" s="138" t="s">
        <v>438</v>
      </c>
      <c r="D2" s="138"/>
      <c r="E2" s="138"/>
      <c r="F2" s="138"/>
      <c r="G2" s="138" t="s">
        <v>439</v>
      </c>
      <c r="H2" s="138"/>
      <c r="I2" s="138"/>
      <c r="J2" s="138"/>
      <c r="K2" s="42"/>
    </row>
    <row r="3" spans="1:11" ht="32" customHeight="1" thickBot="1">
      <c r="A3" s="21" t="s">
        <v>426</v>
      </c>
      <c r="B3" s="21" t="s">
        <v>7</v>
      </c>
      <c r="C3" s="21" t="s">
        <v>8</v>
      </c>
      <c r="D3" s="21" t="s">
        <v>9</v>
      </c>
      <c r="E3" s="21" t="s">
        <v>84</v>
      </c>
      <c r="F3" s="21" t="s">
        <v>119</v>
      </c>
      <c r="G3" s="21" t="s">
        <v>8</v>
      </c>
      <c r="H3" s="21" t="s">
        <v>9</v>
      </c>
      <c r="I3" s="21" t="s">
        <v>84</v>
      </c>
      <c r="J3" s="21" t="s">
        <v>119</v>
      </c>
      <c r="K3" s="21" t="s">
        <v>427</v>
      </c>
    </row>
    <row r="4" spans="1:11" ht="14.5" customHeight="1">
      <c r="A4" s="23" t="s">
        <v>428</v>
      </c>
      <c r="B4"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23" t="s">
        <v>23</v>
      </c>
      <c r="D4" s="23" t="s">
        <v>25</v>
      </c>
      <c r="E4" s="23" t="s">
        <v>22</v>
      </c>
      <c r="F4" s="23" t="s">
        <v>31</v>
      </c>
      <c r="G4" s="23" t="s">
        <v>79</v>
      </c>
      <c r="H4" s="23" t="s">
        <v>101</v>
      </c>
      <c r="I4" s="23" t="s">
        <v>75</v>
      </c>
      <c r="J4" s="23" t="s">
        <v>85</v>
      </c>
      <c r="K4" s="23">
        <f>COUNTA(C4:J10)</f>
        <v>32</v>
      </c>
    </row>
    <row r="5" spans="1:11" ht="14.5" customHeight="1">
      <c r="A5" s="22"/>
      <c r="B5"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22"/>
      <c r="D5" s="22"/>
      <c r="E5" s="22"/>
      <c r="F5" s="22"/>
      <c r="G5" s="22"/>
      <c r="H5" s="22"/>
      <c r="I5" s="22"/>
      <c r="J5" s="22"/>
      <c r="K5" s="22"/>
    </row>
    <row r="6" spans="1:11" ht="14.5" customHeight="1">
      <c r="A6" s="20"/>
      <c r="B6"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20" t="s">
        <v>32</v>
      </c>
      <c r="D6" s="20" t="s">
        <v>17</v>
      </c>
      <c r="E6" s="20" t="s">
        <v>16</v>
      </c>
      <c r="F6" s="20" t="s">
        <v>26</v>
      </c>
      <c r="G6" s="20" t="s">
        <v>100</v>
      </c>
      <c r="H6" s="20" t="s">
        <v>67</v>
      </c>
      <c r="I6" s="20" t="s">
        <v>139</v>
      </c>
      <c r="J6" s="20" t="s">
        <v>99</v>
      </c>
      <c r="K6" s="20"/>
    </row>
    <row r="7" spans="1:11" ht="14.5" customHeight="1">
      <c r="A7" s="20"/>
      <c r="B7"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20"/>
      <c r="D7" s="20"/>
      <c r="E7" s="20"/>
      <c r="F7" s="20"/>
      <c r="G7" s="20"/>
      <c r="H7" s="20"/>
      <c r="I7" s="20"/>
      <c r="J7" s="20"/>
      <c r="K7" s="20"/>
    </row>
    <row r="8" spans="1:11" ht="14.5" customHeight="1">
      <c r="A8" s="20"/>
      <c r="B8"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20" t="s">
        <v>28</v>
      </c>
      <c r="D8" s="20" t="s">
        <v>20</v>
      </c>
      <c r="E8" s="20" t="s">
        <v>12</v>
      </c>
      <c r="F8" s="20" t="s">
        <v>37</v>
      </c>
      <c r="G8" s="20" t="s">
        <v>237</v>
      </c>
      <c r="H8" s="20" t="s">
        <v>59</v>
      </c>
      <c r="I8" s="20" t="s">
        <v>82</v>
      </c>
      <c r="J8" s="20" t="s">
        <v>98</v>
      </c>
      <c r="K8" s="20"/>
    </row>
    <row r="9" spans="1:11" ht="14.5" customHeight="1">
      <c r="A9" s="20"/>
      <c r="B9"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20"/>
      <c r="D9" s="20"/>
      <c r="E9" s="20"/>
      <c r="F9" s="20"/>
      <c r="G9" s="20"/>
      <c r="H9" s="20"/>
      <c r="I9" s="20"/>
      <c r="J9" s="20"/>
      <c r="K9" s="20"/>
    </row>
    <row r="10" spans="1:11" ht="14.5" customHeight="1" thickBot="1">
      <c r="A10" s="24"/>
      <c r="B10"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24" t="s">
        <v>18</v>
      </c>
      <c r="D10" s="24" t="s">
        <v>10</v>
      </c>
      <c r="E10" s="24" t="s">
        <v>30</v>
      </c>
      <c r="F10" s="24" t="s">
        <v>35</v>
      </c>
      <c r="G10" s="24" t="s">
        <v>92</v>
      </c>
      <c r="H10" s="24" t="s">
        <v>93</v>
      </c>
      <c r="I10" s="24" t="s">
        <v>86</v>
      </c>
      <c r="J10" s="24" t="s">
        <v>224</v>
      </c>
      <c r="K10" s="24"/>
    </row>
    <row r="11" spans="1:11" ht="14.5" customHeight="1">
      <c r="A11" s="23" t="s">
        <v>429</v>
      </c>
      <c r="B11"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1" s="23" t="s">
        <v>11</v>
      </c>
      <c r="D11" s="23" t="s">
        <v>24</v>
      </c>
      <c r="E11" s="23" t="s">
        <v>13</v>
      </c>
      <c r="F11" s="23" t="s">
        <v>33</v>
      </c>
      <c r="G11" s="23" t="s">
        <v>55</v>
      </c>
      <c r="H11" s="23" t="s">
        <v>150</v>
      </c>
      <c r="I11" s="23" t="s">
        <v>80</v>
      </c>
      <c r="J11" s="23" t="s">
        <v>88</v>
      </c>
      <c r="K11" s="23">
        <f>COUNTA(C11:J17)</f>
        <v>32</v>
      </c>
    </row>
    <row r="12" spans="1:11" ht="14.5" customHeight="1">
      <c r="A12" s="22"/>
      <c r="B12"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2" s="22"/>
      <c r="D12" s="22"/>
      <c r="E12" s="22"/>
      <c r="F12" s="22"/>
      <c r="G12" s="22"/>
      <c r="H12" s="22"/>
      <c r="I12" s="22"/>
      <c r="J12" s="22"/>
      <c r="K12" s="22"/>
    </row>
    <row r="13" spans="1:11" ht="14.5" customHeight="1">
      <c r="A13" s="20"/>
      <c r="B13"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3" s="20" t="s">
        <v>21</v>
      </c>
      <c r="D13" s="20" t="s">
        <v>34</v>
      </c>
      <c r="E13" s="20" t="s">
        <v>15</v>
      </c>
      <c r="F13" s="20" t="s">
        <v>27</v>
      </c>
      <c r="G13" s="20" t="s">
        <v>70</v>
      </c>
      <c r="H13" s="20" t="s">
        <v>87</v>
      </c>
      <c r="I13" s="20" t="s">
        <v>83</v>
      </c>
      <c r="J13" s="20" t="s">
        <v>222</v>
      </c>
      <c r="K13" s="20"/>
    </row>
    <row r="14" spans="1:11" ht="14.5" customHeight="1">
      <c r="A14" s="20"/>
      <c r="B14"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4" s="20"/>
      <c r="D14" s="20"/>
      <c r="E14" s="20"/>
      <c r="F14" s="20"/>
      <c r="G14" s="20"/>
      <c r="H14" s="20"/>
      <c r="I14" s="20"/>
      <c r="J14" s="20"/>
      <c r="K14" s="20"/>
    </row>
    <row r="15" spans="1:11" ht="14.5" customHeight="1">
      <c r="A15" s="20"/>
      <c r="B15"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5" s="20" t="s">
        <v>14</v>
      </c>
      <c r="D15" s="20" t="s">
        <v>36</v>
      </c>
      <c r="E15" s="20" t="s">
        <v>29</v>
      </c>
      <c r="F15" s="20" t="s">
        <v>19</v>
      </c>
      <c r="G15" s="20" t="s">
        <v>49</v>
      </c>
      <c r="H15" s="20" t="s">
        <v>89</v>
      </c>
      <c r="I15" s="20" t="s">
        <v>90</v>
      </c>
      <c r="J15" s="20" t="s">
        <v>91</v>
      </c>
      <c r="K15" s="20"/>
    </row>
    <row r="16" spans="1:11" ht="14.5" customHeight="1">
      <c r="A16" s="20"/>
      <c r="B16"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6" s="20"/>
      <c r="D16" s="20"/>
      <c r="E16" s="20"/>
      <c r="F16" s="20"/>
      <c r="G16" s="20"/>
      <c r="H16" s="20"/>
      <c r="I16" s="20"/>
      <c r="J16" s="20"/>
      <c r="K16" s="20"/>
    </row>
    <row r="17" spans="1:11" ht="14.5" customHeight="1" thickBot="1">
      <c r="A17" s="24"/>
      <c r="B17"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7" s="24" t="s">
        <v>23</v>
      </c>
      <c r="D17" s="24" t="s">
        <v>20</v>
      </c>
      <c r="E17" s="24" t="s">
        <v>35</v>
      </c>
      <c r="F17" s="24" t="s">
        <v>26</v>
      </c>
      <c r="G17" s="24" t="s">
        <v>79</v>
      </c>
      <c r="H17" s="24" t="s">
        <v>59</v>
      </c>
      <c r="I17" s="24" t="s">
        <v>224</v>
      </c>
      <c r="J17" s="24" t="s">
        <v>99</v>
      </c>
      <c r="K17" s="24"/>
    </row>
    <row r="18" spans="1:11" ht="14.5" customHeight="1">
      <c r="A18" s="23" t="s">
        <v>430</v>
      </c>
      <c r="B18"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8" s="23" t="s">
        <v>28</v>
      </c>
      <c r="D18" s="23" t="s">
        <v>17</v>
      </c>
      <c r="E18" s="23" t="s">
        <v>15</v>
      </c>
      <c r="F18" s="23" t="s">
        <v>37</v>
      </c>
      <c r="G18" s="23" t="s">
        <v>237</v>
      </c>
      <c r="H18" s="23" t="s">
        <v>67</v>
      </c>
      <c r="I18" s="23" t="s">
        <v>83</v>
      </c>
      <c r="J18" s="23" t="s">
        <v>98</v>
      </c>
      <c r="K18" s="23">
        <f>COUNTA(C18:J24)</f>
        <v>32</v>
      </c>
    </row>
    <row r="19" spans="1:11" ht="14.5" customHeight="1">
      <c r="A19" s="22"/>
      <c r="B19"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9" s="22"/>
      <c r="D19" s="22"/>
      <c r="E19" s="22"/>
      <c r="F19" s="22"/>
      <c r="G19" s="22"/>
      <c r="H19" s="22"/>
      <c r="I19" s="22"/>
      <c r="J19" s="22"/>
      <c r="K19" s="22"/>
    </row>
    <row r="20" spans="1:11" ht="14.5" customHeight="1">
      <c r="A20" s="20"/>
      <c r="B20"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0" s="20" t="s">
        <v>21</v>
      </c>
      <c r="D20" s="20" t="s">
        <v>24</v>
      </c>
      <c r="E20" s="20" t="s">
        <v>36</v>
      </c>
      <c r="F20" s="20" t="s">
        <v>27</v>
      </c>
      <c r="G20" s="20" t="s">
        <v>70</v>
      </c>
      <c r="H20" s="20" t="s">
        <v>150</v>
      </c>
      <c r="I20" s="20" t="s">
        <v>89</v>
      </c>
      <c r="J20" s="20" t="s">
        <v>222</v>
      </c>
      <c r="K20" s="20"/>
    </row>
    <row r="21" spans="1:11" ht="14.5" customHeight="1">
      <c r="A21" s="20"/>
      <c r="B21"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1" s="20"/>
      <c r="D21" s="20"/>
      <c r="E21" s="20"/>
      <c r="F21" s="20"/>
      <c r="G21" s="20"/>
      <c r="H21" s="20"/>
      <c r="I21" s="20"/>
      <c r="J21" s="20"/>
      <c r="K21" s="20"/>
    </row>
    <row r="22" spans="1:11" ht="14.5" customHeight="1">
      <c r="A22" s="20"/>
      <c r="B22"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2" s="20" t="s">
        <v>14</v>
      </c>
      <c r="D22" s="20" t="s">
        <v>22</v>
      </c>
      <c r="E22" s="20" t="s">
        <v>19</v>
      </c>
      <c r="F22" s="20" t="s">
        <v>33</v>
      </c>
      <c r="G22" s="20" t="s">
        <v>49</v>
      </c>
      <c r="H22" s="20" t="s">
        <v>75</v>
      </c>
      <c r="I22" s="20" t="s">
        <v>91</v>
      </c>
      <c r="J22" s="20" t="s">
        <v>88</v>
      </c>
      <c r="K22" s="20"/>
    </row>
    <row r="23" spans="1:11" ht="14.5" customHeight="1">
      <c r="A23" s="20"/>
      <c r="B23"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3" s="20"/>
      <c r="D23" s="20"/>
      <c r="E23" s="20"/>
      <c r="F23" s="20"/>
      <c r="G23" s="20"/>
      <c r="H23" s="20"/>
      <c r="I23" s="20"/>
      <c r="J23" s="20"/>
      <c r="K23" s="20"/>
    </row>
    <row r="24" spans="1:11" ht="14.5" customHeight="1" thickBot="1">
      <c r="A24" s="24"/>
      <c r="B24"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4" s="24" t="s">
        <v>32</v>
      </c>
      <c r="D24" s="24" t="s">
        <v>10</v>
      </c>
      <c r="E24" s="24" t="s">
        <v>30</v>
      </c>
      <c r="F24" s="24" t="s">
        <v>12</v>
      </c>
      <c r="G24" s="24" t="s">
        <v>100</v>
      </c>
      <c r="H24" s="24" t="s">
        <v>93</v>
      </c>
      <c r="I24" s="24" t="s">
        <v>86</v>
      </c>
      <c r="J24" s="24" t="s">
        <v>82</v>
      </c>
      <c r="K24" s="24"/>
    </row>
    <row r="25" spans="1:11" ht="14.5" customHeight="1">
      <c r="A25" s="23" t="s">
        <v>431</v>
      </c>
      <c r="B25"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5" s="23" t="s">
        <v>11</v>
      </c>
      <c r="D25" s="23" t="s">
        <v>25</v>
      </c>
      <c r="E25" s="23" t="s">
        <v>13</v>
      </c>
      <c r="F25" s="23" t="s">
        <v>31</v>
      </c>
      <c r="G25" s="23" t="s">
        <v>55</v>
      </c>
      <c r="H25" s="23" t="s">
        <v>101</v>
      </c>
      <c r="I25" s="23" t="s">
        <v>80</v>
      </c>
      <c r="J25" s="23" t="s">
        <v>85</v>
      </c>
      <c r="K25" s="23">
        <f>COUNTA(C25:J31)</f>
        <v>32</v>
      </c>
    </row>
    <row r="26" spans="1:11" ht="14.5" customHeight="1">
      <c r="A26" s="22"/>
      <c r="B26"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6" s="22"/>
      <c r="D26" s="22"/>
      <c r="E26" s="22"/>
      <c r="F26" s="22"/>
      <c r="G26" s="22"/>
      <c r="H26" s="22"/>
      <c r="I26" s="22"/>
      <c r="J26" s="22"/>
      <c r="K26" s="22"/>
    </row>
    <row r="27" spans="1:11" ht="14.5" customHeight="1">
      <c r="A27" s="20"/>
      <c r="B27"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7" s="20" t="s">
        <v>18</v>
      </c>
      <c r="D27" s="20" t="s">
        <v>34</v>
      </c>
      <c r="E27" s="20" t="s">
        <v>16</v>
      </c>
      <c r="F27" s="20" t="s">
        <v>29</v>
      </c>
      <c r="G27" s="20" t="s">
        <v>92</v>
      </c>
      <c r="H27" s="20" t="s">
        <v>87</v>
      </c>
      <c r="I27" s="20" t="s">
        <v>139</v>
      </c>
      <c r="J27" s="20" t="s">
        <v>90</v>
      </c>
      <c r="K27" s="20"/>
    </row>
    <row r="28" spans="1:11" ht="14.5" customHeight="1">
      <c r="A28" s="20"/>
      <c r="B28"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8" s="20"/>
      <c r="D28" s="20"/>
      <c r="E28" s="20"/>
      <c r="F28" s="20"/>
      <c r="G28" s="20"/>
      <c r="H28" s="20"/>
      <c r="I28" s="20"/>
      <c r="J28" s="20"/>
      <c r="K28" s="20"/>
    </row>
    <row r="29" spans="1:11" ht="14.5" customHeight="1">
      <c r="A29" s="20"/>
      <c r="B29"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9" s="20" t="s">
        <v>32</v>
      </c>
      <c r="D29" s="20" t="s">
        <v>17</v>
      </c>
      <c r="E29" s="20" t="s">
        <v>30</v>
      </c>
      <c r="F29" s="20" t="s">
        <v>19</v>
      </c>
      <c r="G29" s="20" t="s">
        <v>100</v>
      </c>
      <c r="H29" s="20" t="s">
        <v>67</v>
      </c>
      <c r="I29" s="20" t="s">
        <v>86</v>
      </c>
      <c r="J29" s="20" t="s">
        <v>91</v>
      </c>
      <c r="K29" s="20"/>
    </row>
    <row r="30" spans="1:11" ht="14.5" customHeight="1">
      <c r="A30" s="20"/>
      <c r="B30"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0" s="20"/>
      <c r="D30" s="20"/>
      <c r="E30" s="20"/>
      <c r="F30" s="20"/>
      <c r="G30" s="20"/>
      <c r="H30" s="20"/>
      <c r="I30" s="20"/>
      <c r="J30" s="20"/>
      <c r="K30" s="20"/>
    </row>
    <row r="31" spans="1:11" ht="14.5" customHeight="1" thickBot="1">
      <c r="A31" s="24"/>
      <c r="B31"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1" s="24" t="s">
        <v>23</v>
      </c>
      <c r="D31" s="24" t="s">
        <v>24</v>
      </c>
      <c r="E31" s="24" t="s">
        <v>22</v>
      </c>
      <c r="F31" s="24" t="s">
        <v>33</v>
      </c>
      <c r="G31" s="24" t="s">
        <v>79</v>
      </c>
      <c r="H31" s="24" t="s">
        <v>150</v>
      </c>
      <c r="I31" s="24" t="s">
        <v>75</v>
      </c>
      <c r="J31" s="24" t="s">
        <v>88</v>
      </c>
      <c r="K31" s="24"/>
    </row>
    <row r="32" spans="1:11" ht="14.5" customHeight="1">
      <c r="A32" s="23" t="s">
        <v>432</v>
      </c>
      <c r="B32"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23" t="s">
        <v>14</v>
      </c>
      <c r="D32" s="23" t="s">
        <v>16</v>
      </c>
      <c r="E32" s="23" t="s">
        <v>29</v>
      </c>
      <c r="F32" s="23" t="s">
        <v>31</v>
      </c>
      <c r="G32" s="23" t="s">
        <v>49</v>
      </c>
      <c r="H32" s="23" t="s">
        <v>139</v>
      </c>
      <c r="I32" s="23" t="s">
        <v>90</v>
      </c>
      <c r="J32" s="23" t="s">
        <v>85</v>
      </c>
      <c r="K32" s="23">
        <f>COUNTA(C32:J38)</f>
        <v>32</v>
      </c>
    </row>
    <row r="33" spans="1:11" ht="14.5" customHeight="1">
      <c r="A33" s="22"/>
      <c r="B33"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22"/>
      <c r="D33" s="22"/>
      <c r="E33" s="22"/>
      <c r="F33" s="22"/>
      <c r="G33" s="22"/>
      <c r="H33" s="22"/>
      <c r="I33" s="22"/>
      <c r="J33" s="22"/>
      <c r="K33" s="22"/>
    </row>
    <row r="34" spans="1:11" ht="14.5" customHeight="1">
      <c r="A34" s="20"/>
      <c r="B34"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20" t="s">
        <v>28</v>
      </c>
      <c r="D34" s="20" t="s">
        <v>20</v>
      </c>
      <c r="E34" s="20" t="s">
        <v>12</v>
      </c>
      <c r="F34" s="20" t="s">
        <v>37</v>
      </c>
      <c r="G34" s="20" t="s">
        <v>237</v>
      </c>
      <c r="H34" s="20" t="s">
        <v>59</v>
      </c>
      <c r="I34" s="20" t="s">
        <v>82</v>
      </c>
      <c r="J34" s="20" t="s">
        <v>98</v>
      </c>
      <c r="K34" s="20"/>
    </row>
    <row r="35" spans="1:11" ht="14.5" customHeight="1">
      <c r="A35" s="20"/>
      <c r="B35"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20"/>
      <c r="D35" s="20"/>
      <c r="E35" s="20"/>
      <c r="F35" s="20"/>
      <c r="G35" s="20"/>
      <c r="H35" s="20"/>
      <c r="I35" s="20"/>
      <c r="J35" s="20"/>
      <c r="K35" s="20"/>
    </row>
    <row r="36" spans="1:11" ht="14.5" customHeight="1">
      <c r="A36" s="20"/>
      <c r="B36"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20" t="s">
        <v>18</v>
      </c>
      <c r="D36" s="20" t="s">
        <v>25</v>
      </c>
      <c r="E36" s="20" t="s">
        <v>36</v>
      </c>
      <c r="F36" s="20" t="s">
        <v>13</v>
      </c>
      <c r="G36" s="20" t="s">
        <v>92</v>
      </c>
      <c r="H36" s="20" t="s">
        <v>101</v>
      </c>
      <c r="I36" s="20" t="s">
        <v>89</v>
      </c>
      <c r="J36" s="20" t="s">
        <v>80</v>
      </c>
      <c r="K36" s="20"/>
    </row>
    <row r="37" spans="1:11" ht="14.5" customHeight="1">
      <c r="A37" s="20"/>
      <c r="B37"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20"/>
      <c r="D37" s="20"/>
      <c r="E37" s="20"/>
      <c r="F37" s="20"/>
      <c r="G37" s="20"/>
      <c r="H37" s="20"/>
      <c r="I37" s="20"/>
      <c r="J37" s="20"/>
      <c r="K37" s="20"/>
    </row>
    <row r="38" spans="1:11" ht="14.5" customHeight="1" thickBot="1">
      <c r="A38" s="24"/>
      <c r="B38"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24" t="s">
        <v>21</v>
      </c>
      <c r="D38" s="24" t="s">
        <v>34</v>
      </c>
      <c r="E38" s="24" t="s">
        <v>15</v>
      </c>
      <c r="F38" s="24" t="s">
        <v>27</v>
      </c>
      <c r="G38" s="24" t="s">
        <v>70</v>
      </c>
      <c r="H38" s="24" t="s">
        <v>87</v>
      </c>
      <c r="I38" s="24" t="s">
        <v>83</v>
      </c>
      <c r="J38" s="24" t="s">
        <v>222</v>
      </c>
      <c r="K38" s="24"/>
    </row>
    <row r="39" spans="1:11" ht="14.5" customHeight="1">
      <c r="A39" s="23" t="s">
        <v>434</v>
      </c>
      <c r="B39"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9" s="23" t="s">
        <v>11</v>
      </c>
      <c r="D39" s="23" t="s">
        <v>10</v>
      </c>
      <c r="E39" s="23" t="s">
        <v>35</v>
      </c>
      <c r="F39" s="23" t="s">
        <v>26</v>
      </c>
      <c r="G39" s="23" t="s">
        <v>55</v>
      </c>
      <c r="H39" s="23" t="s">
        <v>93</v>
      </c>
      <c r="I39" s="23" t="s">
        <v>224</v>
      </c>
      <c r="J39" s="23" t="s">
        <v>99</v>
      </c>
      <c r="K39" s="23">
        <f>COUNTA(C39:J45)</f>
        <v>32</v>
      </c>
    </row>
    <row r="40" spans="1:11" ht="14.5" customHeight="1">
      <c r="A40" s="22"/>
      <c r="B40"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0" s="22"/>
      <c r="D40" s="22"/>
      <c r="E40" s="22"/>
      <c r="F40" s="22"/>
      <c r="G40" s="22"/>
      <c r="H40" s="22"/>
      <c r="I40" s="22"/>
      <c r="J40" s="22"/>
      <c r="K40" s="22"/>
    </row>
    <row r="41" spans="1:11" ht="14.5" customHeight="1">
      <c r="A41" s="20"/>
      <c r="B41"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1" s="20" t="s">
        <v>21</v>
      </c>
      <c r="D41" s="20" t="s">
        <v>24</v>
      </c>
      <c r="E41" s="20" t="s">
        <v>16</v>
      </c>
      <c r="F41" s="20" t="s">
        <v>33</v>
      </c>
      <c r="G41" s="20" t="s">
        <v>70</v>
      </c>
      <c r="H41" s="20" t="s">
        <v>150</v>
      </c>
      <c r="I41" s="20" t="s">
        <v>139</v>
      </c>
      <c r="J41" s="20" t="s">
        <v>88</v>
      </c>
      <c r="K41" s="20"/>
    </row>
    <row r="42" spans="1:11" ht="14.5" customHeight="1">
      <c r="A42" s="20"/>
      <c r="B42"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2" s="20"/>
      <c r="D42" s="20"/>
      <c r="E42" s="20"/>
      <c r="F42" s="20"/>
      <c r="G42" s="20"/>
      <c r="H42" s="20"/>
      <c r="I42" s="20"/>
      <c r="J42" s="20"/>
      <c r="K42" s="20"/>
    </row>
    <row r="43" spans="1:11" ht="14.5" customHeight="1">
      <c r="A43" s="20"/>
      <c r="B43"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3" s="20" t="s">
        <v>28</v>
      </c>
      <c r="D43" s="20" t="s">
        <v>17</v>
      </c>
      <c r="E43" s="20" t="s">
        <v>15</v>
      </c>
      <c r="F43" s="20" t="s">
        <v>37</v>
      </c>
      <c r="G43" s="20" t="s">
        <v>237</v>
      </c>
      <c r="H43" s="20" t="s">
        <v>67</v>
      </c>
      <c r="I43" s="20" t="s">
        <v>83</v>
      </c>
      <c r="J43" s="20" t="s">
        <v>98</v>
      </c>
      <c r="K43" s="20"/>
    </row>
    <row r="44" spans="1:11" ht="14.5" customHeight="1">
      <c r="A44" s="20"/>
      <c r="B44" s="20"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4" s="20"/>
      <c r="D44" s="20"/>
      <c r="E44" s="20"/>
      <c r="F44" s="20"/>
      <c r="G44" s="20"/>
      <c r="H44" s="20"/>
      <c r="I44" s="20"/>
      <c r="J44" s="20"/>
      <c r="K44" s="20"/>
    </row>
    <row r="45" spans="1:11" ht="14.5" customHeight="1" thickBot="1">
      <c r="A45" s="24"/>
      <c r="B45" s="24"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5" s="24" t="s">
        <v>23</v>
      </c>
      <c r="D45" s="24" t="s">
        <v>20</v>
      </c>
      <c r="E45" s="24" t="s">
        <v>29</v>
      </c>
      <c r="F45" s="24" t="s">
        <v>31</v>
      </c>
      <c r="G45" s="24" t="s">
        <v>79</v>
      </c>
      <c r="H45" s="24" t="s">
        <v>59</v>
      </c>
      <c r="I45" s="24" t="s">
        <v>90</v>
      </c>
      <c r="J45" s="24" t="s">
        <v>85</v>
      </c>
      <c r="K45" s="24"/>
    </row>
    <row r="46" spans="1:11" ht="14.5" customHeight="1">
      <c r="A46" s="23" t="s">
        <v>435</v>
      </c>
      <c r="B46" s="23"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6" s="23" t="s">
        <v>11</v>
      </c>
      <c r="D46" s="23" t="s">
        <v>25</v>
      </c>
      <c r="E46" s="23" t="s">
        <v>35</v>
      </c>
      <c r="F46" s="23" t="s">
        <v>19</v>
      </c>
      <c r="G46" s="23" t="s">
        <v>55</v>
      </c>
      <c r="H46" s="23" t="s">
        <v>101</v>
      </c>
      <c r="I46" s="23" t="s">
        <v>224</v>
      </c>
      <c r="J46" s="23" t="s">
        <v>91</v>
      </c>
      <c r="K46" s="23">
        <f>COUNTA(C46:J52)</f>
        <v>32</v>
      </c>
    </row>
    <row r="47" spans="1:11" ht="14.5" customHeight="1">
      <c r="A47" s="22"/>
      <c r="B47" s="22"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7" s="22"/>
      <c r="D47" s="22"/>
      <c r="E47" s="22"/>
      <c r="F47" s="22"/>
      <c r="G47" s="22"/>
      <c r="H47" s="22"/>
      <c r="I47" s="22"/>
      <c r="J47" s="22"/>
      <c r="K47" s="22"/>
    </row>
    <row r="48" spans="1:11" ht="14.5" customHeight="1">
      <c r="A48" s="20"/>
      <c r="B48" s="20"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8" s="20" t="s">
        <v>18</v>
      </c>
      <c r="D48" s="20" t="s">
        <v>34</v>
      </c>
      <c r="E48" s="20" t="s">
        <v>22</v>
      </c>
      <c r="F48" s="20" t="s">
        <v>27</v>
      </c>
      <c r="G48" s="20" t="s">
        <v>92</v>
      </c>
      <c r="H48" s="20" t="s">
        <v>87</v>
      </c>
      <c r="I48" s="20" t="s">
        <v>75</v>
      </c>
      <c r="J48" s="20" t="s">
        <v>222</v>
      </c>
      <c r="K48" s="20"/>
    </row>
    <row r="49" spans="1:15" ht="14.5" customHeight="1">
      <c r="A49" s="20"/>
      <c r="B49" s="20"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9" s="20"/>
      <c r="D49" s="20"/>
      <c r="E49" s="20"/>
      <c r="F49" s="20"/>
      <c r="G49" s="20"/>
      <c r="H49" s="20"/>
      <c r="I49" s="20"/>
      <c r="J49" s="20"/>
      <c r="K49" s="20"/>
    </row>
    <row r="50" spans="1:15" ht="14.5" customHeight="1">
      <c r="A50" s="20"/>
      <c r="B50" s="20"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0" s="20" t="s">
        <v>14</v>
      </c>
      <c r="D50" s="20" t="s">
        <v>36</v>
      </c>
      <c r="E50" s="20" t="s">
        <v>13</v>
      </c>
      <c r="F50" s="20" t="s">
        <v>26</v>
      </c>
      <c r="G50" s="20" t="s">
        <v>49</v>
      </c>
      <c r="H50" s="20" t="s">
        <v>89</v>
      </c>
      <c r="I50" s="20" t="s">
        <v>80</v>
      </c>
      <c r="J50" s="20" t="s">
        <v>99</v>
      </c>
      <c r="K50" s="20"/>
    </row>
    <row r="51" spans="1:15" ht="14.5" customHeight="1">
      <c r="A51" s="24"/>
      <c r="B51" s="24"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1" s="24"/>
      <c r="D51" s="24"/>
      <c r="E51" s="24"/>
      <c r="F51" s="24"/>
      <c r="G51" s="24"/>
      <c r="H51" s="24"/>
      <c r="I51" s="24"/>
      <c r="J51" s="24"/>
      <c r="K51" s="24"/>
    </row>
    <row r="52" spans="1:15" ht="14.5" customHeight="1" thickBot="1">
      <c r="A52" s="43"/>
      <c r="B52" s="43"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2" s="43" t="s">
        <v>32</v>
      </c>
      <c r="D52" s="43" t="s">
        <v>10</v>
      </c>
      <c r="E52" s="43" t="s">
        <v>30</v>
      </c>
      <c r="F52" s="43" t="s">
        <v>12</v>
      </c>
      <c r="G52" s="43" t="s">
        <v>100</v>
      </c>
      <c r="H52" s="43" t="s">
        <v>93</v>
      </c>
      <c r="I52" s="43" t="s">
        <v>86</v>
      </c>
      <c r="J52" s="43" t="s">
        <v>82</v>
      </c>
      <c r="K52" s="43"/>
    </row>
    <row r="53" spans="1:15" ht="14.5" customHeight="1">
      <c r="A53" s="18"/>
      <c r="B53" s="18"/>
      <c r="C53" s="18"/>
      <c r="D53" s="18"/>
      <c r="E53" s="18"/>
      <c r="F53" s="18"/>
      <c r="G53" s="18"/>
      <c r="H53" s="18"/>
      <c r="I53" s="18"/>
      <c r="J53" s="18"/>
      <c r="K53" s="18"/>
    </row>
    <row r="54" spans="1:15" ht="14.5" customHeight="1">
      <c r="A54" s="136" t="s">
        <v>821</v>
      </c>
      <c r="B54" s="136"/>
      <c r="C54" s="136"/>
      <c r="D54" s="136"/>
      <c r="E54" s="136"/>
      <c r="F54" s="136"/>
      <c r="G54" s="136"/>
      <c r="H54" s="136"/>
      <c r="I54" s="136"/>
      <c r="J54" s="136"/>
      <c r="K54" s="136"/>
      <c r="L54" s="136"/>
      <c r="M54" s="136"/>
      <c r="N54" s="136"/>
      <c r="O54" s="136"/>
    </row>
    <row r="55" spans="1:15" ht="14.5" customHeight="1">
      <c r="A55" s="18"/>
      <c r="B55" s="19" t="s">
        <v>314</v>
      </c>
      <c r="C55" s="135" t="s">
        <v>761</v>
      </c>
      <c r="D55" s="135"/>
      <c r="E55" s="135"/>
      <c r="F55" s="135" t="s">
        <v>755</v>
      </c>
      <c r="G55" s="135"/>
      <c r="H55" s="18"/>
      <c r="I55" s="19" t="s">
        <v>314</v>
      </c>
      <c r="J55" s="135" t="s">
        <v>768</v>
      </c>
      <c r="K55" s="135"/>
      <c r="L55" s="135"/>
      <c r="M55" s="135" t="s">
        <v>755</v>
      </c>
      <c r="N55" s="135"/>
      <c r="O55" s="18"/>
    </row>
    <row r="56" spans="1:15" ht="14.5" customHeight="1">
      <c r="A56" s="18"/>
      <c r="B56" s="20">
        <v>1</v>
      </c>
      <c r="C56" s="134" t="s">
        <v>1061</v>
      </c>
      <c r="D56" s="134"/>
      <c r="E56" s="134"/>
      <c r="F56" s="134" t="s">
        <v>840</v>
      </c>
      <c r="G56" s="134"/>
      <c r="H56" s="18"/>
      <c r="I56" s="20">
        <v>9</v>
      </c>
      <c r="J56" s="134" t="s">
        <v>1059</v>
      </c>
      <c r="K56" s="134"/>
      <c r="L56" s="134"/>
      <c r="M56" s="134" t="s">
        <v>840</v>
      </c>
      <c r="N56" s="134"/>
      <c r="O56" s="18"/>
    </row>
    <row r="57" spans="1:15" ht="14.5" customHeight="1">
      <c r="A57" s="18"/>
      <c r="B57" s="20">
        <v>2</v>
      </c>
      <c r="C57" s="134" t="s">
        <v>1052</v>
      </c>
      <c r="D57" s="134"/>
      <c r="E57" s="134"/>
      <c r="F57" s="134" t="s">
        <v>840</v>
      </c>
      <c r="G57" s="134"/>
      <c r="H57" s="18"/>
      <c r="I57" s="20">
        <v>10</v>
      </c>
      <c r="J57" s="134" t="s">
        <v>1060</v>
      </c>
      <c r="K57" s="134"/>
      <c r="L57" s="134"/>
      <c r="M57" s="134" t="s">
        <v>840</v>
      </c>
      <c r="N57" s="134"/>
      <c r="O57" s="18"/>
    </row>
    <row r="58" spans="1:15" ht="14.5" customHeight="1">
      <c r="A58" s="18"/>
      <c r="B58" s="20">
        <v>3</v>
      </c>
      <c r="C58" s="134" t="s">
        <v>1053</v>
      </c>
      <c r="D58" s="134"/>
      <c r="E58" s="134"/>
      <c r="F58" s="134" t="s">
        <v>840</v>
      </c>
      <c r="G58" s="134"/>
      <c r="H58" s="18"/>
      <c r="I58" s="20">
        <v>11</v>
      </c>
      <c r="J58" s="134" t="s">
        <v>1051</v>
      </c>
      <c r="K58" s="134"/>
      <c r="L58" s="134"/>
      <c r="M58" s="134" t="s">
        <v>840</v>
      </c>
      <c r="N58" s="134"/>
      <c r="O58" s="18"/>
    </row>
    <row r="59" spans="1:15" ht="14.5" customHeight="1">
      <c r="A59" s="18"/>
      <c r="B59" s="20">
        <v>4</v>
      </c>
      <c r="C59" s="134" t="s">
        <v>1054</v>
      </c>
      <c r="D59" s="134"/>
      <c r="E59" s="134"/>
      <c r="F59" s="134" t="s">
        <v>840</v>
      </c>
      <c r="G59" s="134"/>
      <c r="H59" s="18"/>
      <c r="I59" s="20">
        <v>12</v>
      </c>
      <c r="J59" s="134" t="s">
        <v>1062</v>
      </c>
      <c r="K59" s="134"/>
      <c r="L59" s="134"/>
      <c r="M59" s="134" t="s">
        <v>841</v>
      </c>
      <c r="N59" s="134"/>
      <c r="O59" s="18"/>
    </row>
    <row r="60" spans="1:15" ht="14.5" customHeight="1">
      <c r="A60" s="18"/>
      <c r="B60" s="20">
        <v>5</v>
      </c>
      <c r="C60" s="134" t="s">
        <v>1055</v>
      </c>
      <c r="D60" s="134"/>
      <c r="E60" s="134"/>
      <c r="F60" s="134" t="s">
        <v>841</v>
      </c>
      <c r="G60" s="134"/>
      <c r="H60" s="18"/>
      <c r="I60" s="20">
        <v>13</v>
      </c>
      <c r="J60" s="134" t="s">
        <v>1063</v>
      </c>
      <c r="K60" s="134"/>
      <c r="L60" s="134"/>
      <c r="M60" s="134" t="s">
        <v>841</v>
      </c>
      <c r="N60" s="134"/>
      <c r="O60" s="18"/>
    </row>
    <row r="61" spans="1:15" ht="14.5" customHeight="1">
      <c r="A61" s="18"/>
      <c r="B61" s="20">
        <v>6</v>
      </c>
      <c r="C61" s="134" t="s">
        <v>1056</v>
      </c>
      <c r="D61" s="134"/>
      <c r="E61" s="134"/>
      <c r="F61" s="134" t="s">
        <v>841</v>
      </c>
      <c r="G61" s="134"/>
      <c r="H61" s="18"/>
      <c r="I61" s="20">
        <v>14</v>
      </c>
      <c r="J61" s="134" t="s">
        <v>1064</v>
      </c>
      <c r="K61" s="134"/>
      <c r="L61" s="134"/>
      <c r="M61" s="134" t="s">
        <v>841</v>
      </c>
      <c r="N61" s="134"/>
      <c r="O61" s="18"/>
    </row>
    <row r="62" spans="1:15" ht="14.5" customHeight="1">
      <c r="A62" s="18"/>
      <c r="B62" s="20">
        <v>7</v>
      </c>
      <c r="C62" s="134" t="s">
        <v>1057</v>
      </c>
      <c r="D62" s="134"/>
      <c r="E62" s="134"/>
      <c r="F62" s="134" t="s">
        <v>847</v>
      </c>
      <c r="G62" s="134"/>
      <c r="H62" s="18"/>
      <c r="I62" s="20">
        <v>15</v>
      </c>
      <c r="J62" s="134" t="s">
        <v>1065</v>
      </c>
      <c r="K62" s="134"/>
      <c r="L62" s="134"/>
      <c r="M62" s="134" t="s">
        <v>847</v>
      </c>
      <c r="N62" s="134"/>
      <c r="O62" s="18"/>
    </row>
    <row r="63" spans="1:15" ht="14.5" customHeight="1">
      <c r="A63" s="18"/>
      <c r="B63" s="20">
        <v>8</v>
      </c>
      <c r="C63" s="134" t="s">
        <v>1058</v>
      </c>
      <c r="D63" s="134"/>
      <c r="E63" s="134"/>
      <c r="F63" s="134" t="s">
        <v>847</v>
      </c>
      <c r="G63" s="134"/>
      <c r="H63" s="18"/>
      <c r="I63" s="20">
        <v>16</v>
      </c>
      <c r="J63" s="134" t="s">
        <v>1066</v>
      </c>
      <c r="K63" s="134"/>
      <c r="L63" s="134"/>
      <c r="M63" s="134" t="s">
        <v>847</v>
      </c>
      <c r="N63" s="134"/>
      <c r="O63" s="18"/>
    </row>
    <row r="64" spans="1:15" ht="14.5" customHeight="1">
      <c r="A64" s="18"/>
      <c r="B64" s="18"/>
      <c r="C64" s="18"/>
      <c r="D64" s="18"/>
      <c r="E64" s="18"/>
      <c r="F64" s="18"/>
      <c r="G64" s="18"/>
      <c r="H64" s="18"/>
      <c r="I64" s="18"/>
      <c r="J64" s="18"/>
      <c r="K64" s="18"/>
      <c r="L64" s="18"/>
      <c r="M64" s="18"/>
      <c r="N64" s="18"/>
      <c r="O64" s="18"/>
    </row>
    <row r="65" spans="1:15" ht="14.5" customHeight="1">
      <c r="A65" s="18"/>
      <c r="B65" s="18"/>
      <c r="C65" s="18"/>
      <c r="D65" s="18"/>
      <c r="E65" s="18"/>
      <c r="F65" s="18"/>
      <c r="G65" s="18"/>
      <c r="H65" s="18"/>
      <c r="I65" s="18"/>
      <c r="J65" s="18"/>
      <c r="K65" s="18"/>
      <c r="L65" s="18"/>
      <c r="M65" s="18"/>
      <c r="N65" s="18"/>
      <c r="O65" s="18"/>
    </row>
    <row r="66" spans="1:15" ht="14.5" customHeight="1">
      <c r="A66" s="136" t="s">
        <v>822</v>
      </c>
      <c r="B66" s="136"/>
      <c r="C66" s="136"/>
      <c r="D66" s="136"/>
      <c r="E66" s="136"/>
      <c r="F66" s="136"/>
      <c r="G66" s="136"/>
      <c r="H66" s="136"/>
      <c r="I66" s="136"/>
      <c r="J66" s="136"/>
      <c r="K66" s="136"/>
      <c r="L66" s="136"/>
      <c r="M66" s="136"/>
      <c r="N66" s="136"/>
      <c r="O66" s="136"/>
    </row>
    <row r="67" spans="1:15" ht="14.5">
      <c r="A67" s="18"/>
      <c r="B67" s="19" t="s">
        <v>314</v>
      </c>
      <c r="C67" s="135" t="s">
        <v>761</v>
      </c>
      <c r="D67" s="135"/>
      <c r="E67" s="135"/>
      <c r="F67" s="135" t="s">
        <v>755</v>
      </c>
      <c r="G67" s="135"/>
      <c r="H67" s="18"/>
      <c r="I67" s="19" t="s">
        <v>314</v>
      </c>
      <c r="J67" s="135" t="s">
        <v>768</v>
      </c>
      <c r="K67" s="135"/>
      <c r="L67" s="135"/>
      <c r="M67" s="135" t="s">
        <v>755</v>
      </c>
      <c r="N67" s="135"/>
      <c r="O67" s="18"/>
    </row>
    <row r="68" spans="1:15" ht="22" customHeight="1">
      <c r="A68" s="18"/>
      <c r="B68" s="20">
        <v>1</v>
      </c>
      <c r="C68" s="134" t="s">
        <v>1067</v>
      </c>
      <c r="D68" s="134"/>
      <c r="E68" s="134"/>
      <c r="F68" s="134" t="s">
        <v>840</v>
      </c>
      <c r="G68" s="134"/>
      <c r="H68" s="18"/>
      <c r="I68" s="20">
        <v>9</v>
      </c>
      <c r="J68" s="134" t="s">
        <v>1068</v>
      </c>
      <c r="K68" s="134"/>
      <c r="L68" s="134"/>
      <c r="M68" s="134" t="s">
        <v>840</v>
      </c>
      <c r="N68" s="134"/>
      <c r="O68" s="18"/>
    </row>
    <row r="69" spans="1:15" ht="14.5">
      <c r="A69" s="18"/>
      <c r="B69" s="20">
        <v>2</v>
      </c>
      <c r="C69" s="134" t="s">
        <v>1075</v>
      </c>
      <c r="D69" s="134"/>
      <c r="E69" s="134"/>
      <c r="F69" s="134" t="s">
        <v>840</v>
      </c>
      <c r="G69" s="134"/>
      <c r="H69" s="18"/>
      <c r="I69" s="20">
        <v>10</v>
      </c>
      <c r="J69" s="134" t="s">
        <v>1069</v>
      </c>
      <c r="K69" s="134"/>
      <c r="L69" s="134"/>
      <c r="M69" s="134" t="s">
        <v>840</v>
      </c>
      <c r="N69" s="134"/>
      <c r="O69" s="18"/>
    </row>
    <row r="70" spans="1:15" ht="14.5">
      <c r="A70" s="18"/>
      <c r="B70" s="20">
        <v>3</v>
      </c>
      <c r="C70" s="134" t="s">
        <v>1076</v>
      </c>
      <c r="D70" s="134"/>
      <c r="E70" s="134"/>
      <c r="F70" s="134" t="s">
        <v>840</v>
      </c>
      <c r="G70" s="134"/>
      <c r="H70" s="18"/>
      <c r="I70" s="20">
        <v>11</v>
      </c>
      <c r="J70" s="134" t="s">
        <v>1077</v>
      </c>
      <c r="K70" s="134"/>
      <c r="L70" s="134"/>
      <c r="M70" s="134" t="s">
        <v>841</v>
      </c>
      <c r="N70" s="134"/>
      <c r="O70" s="18"/>
    </row>
    <row r="71" spans="1:15" ht="14.5">
      <c r="A71" s="18"/>
      <c r="B71" s="20">
        <v>4</v>
      </c>
      <c r="C71" s="134" t="s">
        <v>1070</v>
      </c>
      <c r="D71" s="134"/>
      <c r="E71" s="134"/>
      <c r="F71" s="134" t="s">
        <v>841</v>
      </c>
      <c r="G71" s="134"/>
      <c r="H71" s="18"/>
      <c r="I71" s="20">
        <v>12</v>
      </c>
      <c r="J71" s="134" t="s">
        <v>1078</v>
      </c>
      <c r="K71" s="134"/>
      <c r="L71" s="134"/>
      <c r="M71" s="134" t="s">
        <v>841</v>
      </c>
      <c r="N71" s="134"/>
      <c r="O71" s="18"/>
    </row>
    <row r="72" spans="1:15" ht="14.5">
      <c r="A72" s="18"/>
      <c r="B72" s="20">
        <v>5</v>
      </c>
      <c r="C72" s="134" t="s">
        <v>1071</v>
      </c>
      <c r="D72" s="134"/>
      <c r="E72" s="134"/>
      <c r="F72" s="134" t="s">
        <v>841</v>
      </c>
      <c r="G72" s="134"/>
      <c r="H72" s="18"/>
      <c r="I72" s="20">
        <v>13</v>
      </c>
      <c r="J72" s="134" t="s">
        <v>1079</v>
      </c>
      <c r="K72" s="134"/>
      <c r="L72" s="134"/>
      <c r="M72" s="134" t="s">
        <v>841</v>
      </c>
      <c r="N72" s="134"/>
      <c r="O72" s="18"/>
    </row>
    <row r="73" spans="1:15" ht="14.5">
      <c r="A73" s="18"/>
      <c r="B73" s="20">
        <v>6</v>
      </c>
      <c r="C73" s="134" t="s">
        <v>1072</v>
      </c>
      <c r="D73" s="134"/>
      <c r="E73" s="134"/>
      <c r="F73" s="134" t="s">
        <v>841</v>
      </c>
      <c r="G73" s="134"/>
      <c r="H73" s="18"/>
      <c r="I73" s="20">
        <v>14</v>
      </c>
      <c r="J73" s="134" t="s">
        <v>1080</v>
      </c>
      <c r="K73" s="134"/>
      <c r="L73" s="134"/>
      <c r="M73" s="134" t="s">
        <v>841</v>
      </c>
      <c r="N73" s="134"/>
      <c r="O73" s="18"/>
    </row>
    <row r="74" spans="1:15" ht="14.5">
      <c r="A74" s="18"/>
      <c r="B74" s="20">
        <v>7</v>
      </c>
      <c r="C74" s="134" t="s">
        <v>1073</v>
      </c>
      <c r="D74" s="134"/>
      <c r="E74" s="134"/>
      <c r="F74" s="134" t="s">
        <v>841</v>
      </c>
      <c r="G74" s="134"/>
      <c r="H74" s="18"/>
      <c r="I74" s="20">
        <v>15</v>
      </c>
      <c r="J74" s="134" t="s">
        <v>1081</v>
      </c>
      <c r="K74" s="134"/>
      <c r="L74" s="134"/>
      <c r="M74" s="134" t="s">
        <v>841</v>
      </c>
      <c r="N74" s="134"/>
      <c r="O74" s="18"/>
    </row>
    <row r="75" spans="1:15" ht="14.5">
      <c r="A75" s="18"/>
      <c r="B75" s="20">
        <v>8</v>
      </c>
      <c r="C75" s="134" t="s">
        <v>1074</v>
      </c>
      <c r="D75" s="134"/>
      <c r="E75" s="134"/>
      <c r="F75" s="134" t="s">
        <v>841</v>
      </c>
      <c r="G75" s="134"/>
      <c r="H75" s="18"/>
      <c r="I75" s="20">
        <v>16</v>
      </c>
      <c r="J75" s="134" t="s">
        <v>1082</v>
      </c>
      <c r="K75" s="134"/>
      <c r="L75" s="134"/>
      <c r="M75" s="134" t="s">
        <v>841</v>
      </c>
      <c r="N75" s="134"/>
      <c r="O75" s="18"/>
    </row>
    <row r="76" spans="1:15" ht="14.5">
      <c r="A76" s="18"/>
      <c r="B76" s="18"/>
      <c r="C76" s="18"/>
      <c r="D76" s="18"/>
      <c r="E76" s="18"/>
      <c r="F76" s="18"/>
      <c r="G76" s="18"/>
      <c r="H76" s="18"/>
      <c r="I76" s="18"/>
      <c r="J76" s="18"/>
      <c r="K76" s="18"/>
      <c r="L76" s="18"/>
      <c r="M76" s="18"/>
      <c r="N76" s="18"/>
      <c r="O76" s="18"/>
    </row>
    <row r="77" spans="1:15" ht="14.5">
      <c r="A77" s="18"/>
      <c r="B77" s="18"/>
      <c r="C77" s="18"/>
      <c r="D77" s="18"/>
      <c r="E77" s="18"/>
      <c r="F77" s="18"/>
      <c r="G77" s="18"/>
      <c r="H77" s="18"/>
      <c r="I77" s="18"/>
      <c r="J77" s="18"/>
      <c r="K77" s="18"/>
      <c r="L77" s="18"/>
      <c r="M77" s="18"/>
      <c r="N77" s="18"/>
      <c r="O77" s="18"/>
    </row>
    <row r="78" spans="1:15" ht="15.5">
      <c r="A78" s="136" t="s">
        <v>823</v>
      </c>
      <c r="B78" s="136"/>
      <c r="C78" s="136"/>
      <c r="D78" s="136"/>
      <c r="E78" s="136"/>
      <c r="F78" s="136"/>
      <c r="G78" s="136"/>
      <c r="H78" s="136"/>
      <c r="I78" s="136"/>
      <c r="J78" s="136"/>
      <c r="K78" s="136"/>
      <c r="L78" s="136"/>
      <c r="M78" s="136"/>
      <c r="N78" s="136"/>
      <c r="O78" s="136"/>
    </row>
    <row r="79" spans="1:15" ht="14.5">
      <c r="A79" s="18"/>
      <c r="B79" s="19" t="s">
        <v>314</v>
      </c>
      <c r="C79" s="135" t="s">
        <v>761</v>
      </c>
      <c r="D79" s="135"/>
      <c r="E79" s="135"/>
      <c r="F79" s="135" t="s">
        <v>755</v>
      </c>
      <c r="G79" s="135"/>
      <c r="H79" s="18"/>
      <c r="I79" s="19" t="s">
        <v>314</v>
      </c>
      <c r="J79" s="135" t="s">
        <v>768</v>
      </c>
      <c r="K79" s="135"/>
      <c r="L79" s="135"/>
      <c r="M79" s="135" t="s">
        <v>755</v>
      </c>
      <c r="N79" s="135"/>
      <c r="O79" s="18"/>
    </row>
    <row r="80" spans="1:15" ht="14.5">
      <c r="A80" s="18"/>
      <c r="B80" s="20">
        <v>1</v>
      </c>
      <c r="C80" s="134" t="s">
        <v>1024</v>
      </c>
      <c r="D80" s="134"/>
      <c r="E80" s="134"/>
      <c r="F80" s="134" t="s">
        <v>840</v>
      </c>
      <c r="G80" s="134"/>
      <c r="H80" s="18"/>
      <c r="I80" s="20">
        <v>9</v>
      </c>
      <c r="J80" s="134" t="s">
        <v>1031</v>
      </c>
      <c r="K80" s="134"/>
      <c r="L80" s="134"/>
      <c r="M80" s="134" t="s">
        <v>841</v>
      </c>
      <c r="N80" s="134"/>
      <c r="O80" s="18"/>
    </row>
    <row r="81" spans="1:15" ht="14.5">
      <c r="A81" s="18"/>
      <c r="B81" s="20">
        <v>2</v>
      </c>
      <c r="C81" s="134" t="s">
        <v>1032</v>
      </c>
      <c r="D81" s="134"/>
      <c r="E81" s="134"/>
      <c r="F81" s="134" t="s">
        <v>841</v>
      </c>
      <c r="G81" s="134"/>
      <c r="H81" s="18"/>
      <c r="I81" s="20">
        <v>10</v>
      </c>
      <c r="J81" s="134" t="s">
        <v>1025</v>
      </c>
      <c r="K81" s="134"/>
      <c r="L81" s="134"/>
      <c r="M81" s="134" t="s">
        <v>841</v>
      </c>
      <c r="N81" s="134"/>
      <c r="O81" s="18"/>
    </row>
    <row r="82" spans="1:15" ht="14.5">
      <c r="A82" s="18"/>
      <c r="B82" s="20">
        <v>3</v>
      </c>
      <c r="C82" s="134" t="s">
        <v>1033</v>
      </c>
      <c r="D82" s="134"/>
      <c r="E82" s="134"/>
      <c r="F82" s="134" t="s">
        <v>847</v>
      </c>
      <c r="G82" s="134"/>
      <c r="H82" s="18"/>
      <c r="I82" s="20">
        <v>11</v>
      </c>
      <c r="J82" s="134" t="s">
        <v>1034</v>
      </c>
      <c r="K82" s="134"/>
      <c r="L82" s="134"/>
      <c r="M82" s="134" t="s">
        <v>847</v>
      </c>
      <c r="N82" s="134"/>
      <c r="O82" s="18"/>
    </row>
    <row r="83" spans="1:15" ht="14.5">
      <c r="A83" s="18"/>
      <c r="B83" s="20">
        <v>4</v>
      </c>
      <c r="C83" s="134" t="s">
        <v>1035</v>
      </c>
      <c r="D83" s="134"/>
      <c r="E83" s="134"/>
      <c r="F83" s="134" t="s">
        <v>847</v>
      </c>
      <c r="G83" s="134"/>
      <c r="H83" s="18"/>
      <c r="I83" s="20">
        <v>12</v>
      </c>
      <c r="J83" s="134" t="s">
        <v>1026</v>
      </c>
      <c r="K83" s="134"/>
      <c r="L83" s="134"/>
      <c r="M83" s="134" t="s">
        <v>847</v>
      </c>
      <c r="N83" s="134"/>
      <c r="O83" s="18"/>
    </row>
    <row r="84" spans="1:15" ht="14.5">
      <c r="A84" s="18"/>
      <c r="B84" s="20">
        <v>5</v>
      </c>
      <c r="C84" s="134" t="s">
        <v>1036</v>
      </c>
      <c r="D84" s="134"/>
      <c r="E84" s="134"/>
      <c r="F84" s="134" t="s">
        <v>847</v>
      </c>
      <c r="G84" s="134"/>
      <c r="H84" s="18"/>
      <c r="I84" s="20">
        <v>13</v>
      </c>
      <c r="J84" s="134" t="s">
        <v>1027</v>
      </c>
      <c r="K84" s="134"/>
      <c r="L84" s="134"/>
      <c r="M84" s="134" t="s">
        <v>847</v>
      </c>
      <c r="N84" s="134"/>
      <c r="O84" s="18"/>
    </row>
    <row r="85" spans="1:15" ht="14.5">
      <c r="A85" s="18"/>
      <c r="B85" s="20">
        <v>6</v>
      </c>
      <c r="C85" s="134" t="s">
        <v>1037</v>
      </c>
      <c r="D85" s="134"/>
      <c r="E85" s="134"/>
      <c r="F85" s="134" t="s">
        <v>847</v>
      </c>
      <c r="G85" s="134"/>
      <c r="H85" s="18"/>
      <c r="I85" s="20">
        <v>14</v>
      </c>
      <c r="J85" s="134" t="s">
        <v>1028</v>
      </c>
      <c r="K85" s="134"/>
      <c r="L85" s="134"/>
      <c r="M85" s="134" t="s">
        <v>847</v>
      </c>
      <c r="N85" s="134"/>
      <c r="O85" s="18"/>
    </row>
    <row r="86" spans="1:15" ht="14.5">
      <c r="A86" s="18"/>
      <c r="B86" s="20">
        <v>7</v>
      </c>
      <c r="C86" s="134" t="s">
        <v>1038</v>
      </c>
      <c r="D86" s="134"/>
      <c r="E86" s="134"/>
      <c r="F86" s="134" t="s">
        <v>847</v>
      </c>
      <c r="G86" s="134"/>
      <c r="H86" s="18"/>
      <c r="I86" s="20">
        <v>15</v>
      </c>
      <c r="J86" s="134" t="s">
        <v>1029</v>
      </c>
      <c r="K86" s="134"/>
      <c r="L86" s="134"/>
      <c r="M86" s="134" t="s">
        <v>847</v>
      </c>
      <c r="N86" s="134"/>
      <c r="O86" s="18"/>
    </row>
    <row r="87" spans="1:15" ht="14.5">
      <c r="A87" s="18"/>
      <c r="B87" s="20">
        <v>8</v>
      </c>
      <c r="C87" s="134" t="s">
        <v>1083</v>
      </c>
      <c r="D87" s="134"/>
      <c r="E87" s="134"/>
      <c r="F87" s="134" t="s">
        <v>847</v>
      </c>
      <c r="G87" s="134"/>
      <c r="H87" s="18"/>
      <c r="I87" s="20">
        <v>16</v>
      </c>
      <c r="J87" s="134" t="s">
        <v>1030</v>
      </c>
      <c r="K87" s="134"/>
      <c r="L87" s="134"/>
      <c r="M87" s="134" t="s">
        <v>847</v>
      </c>
      <c r="N87" s="134"/>
      <c r="O87" s="18"/>
    </row>
    <row r="88" spans="1:15" ht="14.5">
      <c r="A88" s="18"/>
      <c r="B88" s="18"/>
      <c r="C88" s="18"/>
      <c r="D88" s="18"/>
      <c r="E88" s="18"/>
      <c r="F88" s="18"/>
      <c r="G88" s="18"/>
      <c r="H88" s="18"/>
      <c r="I88" s="18"/>
      <c r="J88" s="18"/>
      <c r="K88" s="18"/>
      <c r="L88" s="18"/>
      <c r="M88" s="18"/>
      <c r="N88" s="18"/>
      <c r="O88" s="18"/>
    </row>
    <row r="89" spans="1:15" ht="14.5">
      <c r="A89" s="18"/>
      <c r="B89" s="18"/>
      <c r="C89" s="18"/>
      <c r="D89" s="18"/>
      <c r="E89" s="18"/>
      <c r="F89" s="18"/>
      <c r="G89" s="18"/>
      <c r="H89" s="18"/>
      <c r="I89" s="18"/>
      <c r="J89" s="18"/>
      <c r="K89" s="18"/>
      <c r="L89" s="18"/>
      <c r="M89" s="18"/>
      <c r="N89" s="18"/>
      <c r="O89" s="18"/>
    </row>
  </sheetData>
  <mergeCells count="114">
    <mergeCell ref="F59:G59"/>
    <mergeCell ref="C60:E60"/>
    <mergeCell ref="F60:G60"/>
    <mergeCell ref="C61:E61"/>
    <mergeCell ref="F61:G61"/>
    <mergeCell ref="A1:K1"/>
    <mergeCell ref="C2:F2"/>
    <mergeCell ref="G2:J2"/>
    <mergeCell ref="A54:O54"/>
    <mergeCell ref="C55:E55"/>
    <mergeCell ref="F55:G55"/>
    <mergeCell ref="C56:E56"/>
    <mergeCell ref="F56:G56"/>
    <mergeCell ref="C57:E57"/>
    <mergeCell ref="F57:G57"/>
    <mergeCell ref="C58:E58"/>
    <mergeCell ref="F58:G58"/>
    <mergeCell ref="C59:E59"/>
    <mergeCell ref="M58:N58"/>
    <mergeCell ref="J59:L59"/>
    <mergeCell ref="M59:N59"/>
    <mergeCell ref="J60:L60"/>
    <mergeCell ref="M60:N60"/>
    <mergeCell ref="M55:N55"/>
    <mergeCell ref="J56:L56"/>
    <mergeCell ref="M56:N56"/>
    <mergeCell ref="J57:L57"/>
    <mergeCell ref="M57:N57"/>
    <mergeCell ref="J55:L55"/>
    <mergeCell ref="J58:L58"/>
    <mergeCell ref="A66:O66"/>
    <mergeCell ref="C67:E67"/>
    <mergeCell ref="F67:G67"/>
    <mergeCell ref="C68:E68"/>
    <mergeCell ref="F68:G68"/>
    <mergeCell ref="M61:N61"/>
    <mergeCell ref="J62:L62"/>
    <mergeCell ref="M62:N62"/>
    <mergeCell ref="J63:L63"/>
    <mergeCell ref="M63:N63"/>
    <mergeCell ref="C62:E62"/>
    <mergeCell ref="F62:G62"/>
    <mergeCell ref="C63:E63"/>
    <mergeCell ref="F63:G63"/>
    <mergeCell ref="J61:L61"/>
    <mergeCell ref="F73:G73"/>
    <mergeCell ref="C74:E74"/>
    <mergeCell ref="F74:G74"/>
    <mergeCell ref="C69:E69"/>
    <mergeCell ref="F69:G69"/>
    <mergeCell ref="C70:E70"/>
    <mergeCell ref="F70:G70"/>
    <mergeCell ref="C71:E71"/>
    <mergeCell ref="F71:G71"/>
    <mergeCell ref="J74:L74"/>
    <mergeCell ref="M74:N74"/>
    <mergeCell ref="J75:L75"/>
    <mergeCell ref="M75:N75"/>
    <mergeCell ref="A78:O78"/>
    <mergeCell ref="C75:E75"/>
    <mergeCell ref="F75:G75"/>
    <mergeCell ref="J67:L67"/>
    <mergeCell ref="M67:N67"/>
    <mergeCell ref="J68:L68"/>
    <mergeCell ref="M68:N68"/>
    <mergeCell ref="J69:L69"/>
    <mergeCell ref="M69:N69"/>
    <mergeCell ref="J70:L70"/>
    <mergeCell ref="M70:N70"/>
    <mergeCell ref="J71:L71"/>
    <mergeCell ref="M71:N71"/>
    <mergeCell ref="J72:L72"/>
    <mergeCell ref="M72:N72"/>
    <mergeCell ref="J73:L73"/>
    <mergeCell ref="M73:N73"/>
    <mergeCell ref="C72:E72"/>
    <mergeCell ref="F72:G72"/>
    <mergeCell ref="C73:E73"/>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J79:L79"/>
    <mergeCell ref="M79:N79"/>
    <mergeCell ref="J80:L80"/>
    <mergeCell ref="M80:N80"/>
    <mergeCell ref="J81:L81"/>
    <mergeCell ref="M81:N81"/>
    <mergeCell ref="C85:E85"/>
    <mergeCell ref="F85:G85"/>
    <mergeCell ref="C86:E86"/>
    <mergeCell ref="F86:G86"/>
    <mergeCell ref="J85:L85"/>
    <mergeCell ref="M85:N85"/>
    <mergeCell ref="J86:L86"/>
    <mergeCell ref="M86:N86"/>
    <mergeCell ref="J87:L87"/>
    <mergeCell ref="M87:N87"/>
    <mergeCell ref="J82:L82"/>
    <mergeCell ref="M82:N82"/>
    <mergeCell ref="J83:L83"/>
    <mergeCell ref="M83:N83"/>
    <mergeCell ref="J84:L84"/>
    <mergeCell ref="M84:N8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48B9-C056-4CDE-B279-EDF7B41789C0}">
  <dimension ref="A1:O95"/>
  <sheetViews>
    <sheetView showGridLines="0" rightToLeft="1" topLeftCell="B1" workbookViewId="0">
      <pane ySplit="3" topLeftCell="A59" activePane="bottomLeft" state="frozen"/>
      <selection pane="bottomLeft" activeCell="M70" sqref="I70:N78"/>
    </sheetView>
  </sheetViews>
  <sheetFormatPr defaultRowHeight="14"/>
  <cols>
    <col min="1" max="1" width="15.83203125" customWidth="1"/>
    <col min="2" max="2" width="17.5" customWidth="1"/>
    <col min="3" max="9" width="13" customWidth="1"/>
    <col min="10" max="10" width="17.5" customWidth="1"/>
  </cols>
  <sheetData>
    <row r="1" spans="1:10" ht="26" customHeight="1">
      <c r="A1" s="119" t="s">
        <v>440</v>
      </c>
      <c r="B1" s="119"/>
      <c r="C1" s="119"/>
      <c r="D1" s="119"/>
      <c r="E1" s="119"/>
      <c r="F1" s="119"/>
      <c r="G1" s="119"/>
      <c r="H1" s="119"/>
      <c r="I1" s="119"/>
      <c r="J1" s="119"/>
    </row>
    <row r="2" spans="1:10" ht="20" customHeight="1">
      <c r="A2" s="49"/>
      <c r="B2" s="49"/>
      <c r="C2" s="137" t="s">
        <v>438</v>
      </c>
      <c r="D2" s="137"/>
      <c r="E2" s="137"/>
      <c r="F2" s="137"/>
      <c r="G2" s="137" t="s">
        <v>441</v>
      </c>
      <c r="H2" s="137"/>
      <c r="I2" s="137"/>
      <c r="J2" s="49"/>
    </row>
    <row r="3" spans="1:10" ht="32" customHeight="1" thickBot="1">
      <c r="A3" s="49" t="s">
        <v>426</v>
      </c>
      <c r="B3" s="49" t="s">
        <v>7</v>
      </c>
      <c r="C3" s="49" t="s">
        <v>8</v>
      </c>
      <c r="D3" s="49" t="s">
        <v>9</v>
      </c>
      <c r="E3" s="49" t="s">
        <v>84</v>
      </c>
      <c r="F3" s="49" t="s">
        <v>119</v>
      </c>
      <c r="G3" s="49" t="s">
        <v>8</v>
      </c>
      <c r="H3" s="49" t="s">
        <v>9</v>
      </c>
      <c r="I3" s="49" t="s">
        <v>84</v>
      </c>
      <c r="J3" s="49" t="s">
        <v>427</v>
      </c>
    </row>
    <row r="4" spans="1:10"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23</v>
      </c>
      <c r="D4" s="51" t="s">
        <v>25</v>
      </c>
      <c r="E4" s="51" t="s">
        <v>22</v>
      </c>
      <c r="F4" s="51" t="s">
        <v>31</v>
      </c>
      <c r="G4" s="51" t="s">
        <v>83</v>
      </c>
      <c r="H4" s="51" t="s">
        <v>88</v>
      </c>
      <c r="I4" s="51"/>
      <c r="J4" s="51">
        <f>COUNTA(C4:I12)</f>
        <v>34</v>
      </c>
    </row>
    <row r="5" spans="1:10"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c r="D5" s="50"/>
      <c r="E5" s="50"/>
      <c r="F5" s="50"/>
      <c r="G5" s="50" t="s">
        <v>95</v>
      </c>
      <c r="H5" s="50" t="s">
        <v>93</v>
      </c>
      <c r="I5" s="50"/>
      <c r="J5" s="50"/>
    </row>
    <row r="6" spans="1:10"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32</v>
      </c>
      <c r="D6" s="47" t="s">
        <v>17</v>
      </c>
      <c r="E6" s="47" t="s">
        <v>16</v>
      </c>
      <c r="F6" s="47" t="s">
        <v>26</v>
      </c>
      <c r="G6" s="47" t="s">
        <v>99</v>
      </c>
      <c r="H6" s="47" t="s">
        <v>224</v>
      </c>
      <c r="I6" s="47"/>
      <c r="J6" s="47"/>
    </row>
    <row r="7" spans="1:10"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c r="D7" s="47"/>
      <c r="E7" s="47"/>
      <c r="F7" s="47"/>
      <c r="G7" s="47" t="s">
        <v>59</v>
      </c>
      <c r="H7" s="47" t="s">
        <v>94</v>
      </c>
      <c r="I7" s="47"/>
      <c r="J7" s="47"/>
    </row>
    <row r="8" spans="1:10"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28</v>
      </c>
      <c r="D8" s="47" t="s">
        <v>20</v>
      </c>
      <c r="E8" s="47" t="s">
        <v>12</v>
      </c>
      <c r="F8" s="47" t="s">
        <v>37</v>
      </c>
      <c r="G8" s="47" t="s">
        <v>100</v>
      </c>
      <c r="H8" s="47" t="s">
        <v>82</v>
      </c>
      <c r="I8" s="47"/>
      <c r="J8" s="47"/>
    </row>
    <row r="9" spans="1:10"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c r="D9" s="47"/>
      <c r="E9" s="47"/>
      <c r="F9" s="47"/>
      <c r="G9" s="47" t="s">
        <v>113</v>
      </c>
      <c r="H9" s="47" t="s">
        <v>86</v>
      </c>
      <c r="I9" s="47"/>
      <c r="J9" s="47"/>
    </row>
    <row r="10" spans="1:10"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18</v>
      </c>
      <c r="D10" s="47" t="s">
        <v>10</v>
      </c>
      <c r="E10" s="47" t="s">
        <v>30</v>
      </c>
      <c r="F10" s="47" t="s">
        <v>35</v>
      </c>
      <c r="G10" s="47" t="s">
        <v>92</v>
      </c>
      <c r="H10" s="47" t="s">
        <v>80</v>
      </c>
      <c r="I10" s="47"/>
      <c r="J10" s="47"/>
    </row>
    <row r="11" spans="1:10"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c r="D11" s="47"/>
      <c r="E11" s="47"/>
      <c r="F11" s="47"/>
      <c r="G11" s="47" t="s">
        <v>87</v>
      </c>
      <c r="H11" s="47"/>
      <c r="I11" s="47"/>
      <c r="J11" s="47"/>
    </row>
    <row r="12" spans="1:10"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c r="D12" s="48"/>
      <c r="E12" s="48"/>
      <c r="F12" s="48"/>
      <c r="G12" s="48" t="s">
        <v>139</v>
      </c>
      <c r="H12" s="48" t="s">
        <v>70</v>
      </c>
      <c r="I12" s="48" t="s">
        <v>142</v>
      </c>
      <c r="J12" s="48"/>
    </row>
    <row r="13" spans="1:10"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11</v>
      </c>
      <c r="D13" s="51" t="s">
        <v>24</v>
      </c>
      <c r="E13" s="51" t="s">
        <v>13</v>
      </c>
      <c r="F13" s="51" t="s">
        <v>33</v>
      </c>
      <c r="G13" s="51" t="s">
        <v>237</v>
      </c>
      <c r="H13" s="51"/>
      <c r="I13" s="51"/>
      <c r="J13" s="51">
        <f>COUNTA(C13:I22)</f>
        <v>34</v>
      </c>
    </row>
    <row r="14" spans="1:10"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c r="D14" s="50"/>
      <c r="E14" s="50"/>
      <c r="F14" s="50"/>
      <c r="G14" s="50" t="s">
        <v>98</v>
      </c>
      <c r="H14" s="50"/>
      <c r="I14" s="50"/>
      <c r="J14" s="50"/>
    </row>
    <row r="15" spans="1:10"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21</v>
      </c>
      <c r="D15" s="47" t="s">
        <v>34</v>
      </c>
      <c r="E15" s="47" t="s">
        <v>15</v>
      </c>
      <c r="F15" s="47" t="s">
        <v>27</v>
      </c>
      <c r="G15" s="47" t="s">
        <v>75</v>
      </c>
      <c r="H15" s="47" t="s">
        <v>112</v>
      </c>
      <c r="I15" s="47"/>
      <c r="J15" s="47"/>
    </row>
    <row r="16" spans="1:10"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c r="D16" s="47"/>
      <c r="E16" s="47"/>
      <c r="F16" s="47"/>
      <c r="G16" s="47" t="s">
        <v>49</v>
      </c>
      <c r="H16" s="47" t="s">
        <v>222</v>
      </c>
      <c r="I16" s="47"/>
      <c r="J16" s="47"/>
    </row>
    <row r="17" spans="1:10"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14</v>
      </c>
      <c r="D17" s="47" t="s">
        <v>36</v>
      </c>
      <c r="E17" s="47" t="s">
        <v>29</v>
      </c>
      <c r="F17" s="47" t="s">
        <v>19</v>
      </c>
      <c r="G17" s="47" t="s">
        <v>97</v>
      </c>
      <c r="H17" s="47" t="s">
        <v>89</v>
      </c>
      <c r="I17" s="47"/>
      <c r="J17" s="47"/>
    </row>
    <row r="18" spans="1:10"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c r="D18" s="47"/>
      <c r="E18" s="47"/>
      <c r="F18" s="47"/>
      <c r="G18" s="47" t="s">
        <v>91</v>
      </c>
      <c r="H18" s="47" t="s">
        <v>101</v>
      </c>
      <c r="I18" s="47"/>
      <c r="J18" s="47"/>
    </row>
    <row r="19" spans="1:10"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23</v>
      </c>
      <c r="D19" s="47" t="s">
        <v>20</v>
      </c>
      <c r="E19" s="47" t="s">
        <v>35</v>
      </c>
      <c r="F19" s="47" t="s">
        <v>26</v>
      </c>
      <c r="G19" s="47" t="s">
        <v>96</v>
      </c>
      <c r="H19" s="47" t="s">
        <v>55</v>
      </c>
      <c r="I19" s="47"/>
      <c r="J19" s="47"/>
    </row>
    <row r="20" spans="1:10"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c r="D20" s="47"/>
      <c r="E20" s="47"/>
      <c r="F20" s="47"/>
      <c r="G20" s="47" t="s">
        <v>150</v>
      </c>
      <c r="H20" s="47" t="s">
        <v>90</v>
      </c>
      <c r="I20" s="47"/>
      <c r="J20" s="47"/>
    </row>
    <row r="21" spans="1:10" ht="14.5" customHeight="1">
      <c r="A21" s="47"/>
      <c r="B21"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7"/>
      <c r="D21" s="47"/>
      <c r="E21" s="47"/>
      <c r="F21" s="47"/>
      <c r="G21" s="47" t="s">
        <v>79</v>
      </c>
      <c r="H21" s="47"/>
      <c r="I21" s="47"/>
      <c r="J21" s="47"/>
    </row>
    <row r="22" spans="1:10" ht="14.5" customHeight="1" thickBot="1">
      <c r="A22" s="48"/>
      <c r="B22"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22" s="48"/>
      <c r="D22" s="48"/>
      <c r="E22" s="48"/>
      <c r="F22" s="48"/>
      <c r="G22" s="48" t="s">
        <v>85</v>
      </c>
      <c r="H22" s="48" t="s">
        <v>299</v>
      </c>
      <c r="I22" s="48" t="s">
        <v>67</v>
      </c>
      <c r="J22" s="48"/>
    </row>
    <row r="23" spans="1:10" ht="14.5" customHeight="1">
      <c r="A23" s="51" t="s">
        <v>430</v>
      </c>
      <c r="B2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3" s="51" t="s">
        <v>28</v>
      </c>
      <c r="D23" s="51" t="s">
        <v>17</v>
      </c>
      <c r="E23" s="51" t="s">
        <v>15</v>
      </c>
      <c r="F23" s="51" t="s">
        <v>37</v>
      </c>
      <c r="G23" s="51" t="s">
        <v>98</v>
      </c>
      <c r="H23" s="51" t="s">
        <v>97</v>
      </c>
      <c r="I23" s="51"/>
      <c r="J23" s="51">
        <f>COUNTA(C23:I31)</f>
        <v>34</v>
      </c>
    </row>
    <row r="24" spans="1:10" ht="14.5" customHeight="1">
      <c r="A24" s="50"/>
      <c r="B2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4" s="50"/>
      <c r="D24" s="50"/>
      <c r="E24" s="50"/>
      <c r="F24" s="50"/>
      <c r="G24" s="50" t="s">
        <v>59</v>
      </c>
      <c r="H24" s="50"/>
      <c r="I24" s="50"/>
      <c r="J24" s="50"/>
    </row>
    <row r="25" spans="1:10" ht="14.5" customHeight="1">
      <c r="A25" s="47"/>
      <c r="B2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5" s="47" t="s">
        <v>21</v>
      </c>
      <c r="D25" s="47" t="s">
        <v>24</v>
      </c>
      <c r="E25" s="47" t="s">
        <v>36</v>
      </c>
      <c r="F25" s="47" t="s">
        <v>27</v>
      </c>
      <c r="G25" s="47" t="s">
        <v>99</v>
      </c>
      <c r="H25" s="47" t="s">
        <v>100</v>
      </c>
      <c r="I25" s="47" t="s">
        <v>94</v>
      </c>
      <c r="J25" s="47"/>
    </row>
    <row r="26" spans="1:10" ht="14.5" customHeight="1">
      <c r="A26" s="47"/>
      <c r="B2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6" s="47"/>
      <c r="D26" s="47"/>
      <c r="E26" s="47"/>
      <c r="F26" s="47"/>
      <c r="G26" s="47" t="s">
        <v>75</v>
      </c>
      <c r="H26" s="47"/>
      <c r="I26" s="47"/>
      <c r="J26" s="47"/>
    </row>
    <row r="27" spans="1:10" ht="14.5" customHeight="1">
      <c r="A27" s="47"/>
      <c r="B2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7" s="47" t="s">
        <v>14</v>
      </c>
      <c r="D27" s="47" t="s">
        <v>22</v>
      </c>
      <c r="E27" s="47" t="s">
        <v>19</v>
      </c>
      <c r="F27" s="47" t="s">
        <v>33</v>
      </c>
      <c r="G27" s="47" t="s">
        <v>101</v>
      </c>
      <c r="H27" s="47" t="s">
        <v>91</v>
      </c>
      <c r="I27" s="47" t="s">
        <v>95</v>
      </c>
      <c r="J27" s="47"/>
    </row>
    <row r="28" spans="1:10" ht="14.5" customHeight="1">
      <c r="A28" s="47"/>
      <c r="B2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8" s="47"/>
      <c r="D28" s="47"/>
      <c r="E28" s="47"/>
      <c r="F28" s="47"/>
      <c r="G28" s="47" t="s">
        <v>89</v>
      </c>
      <c r="H28" s="47"/>
      <c r="I28" s="47"/>
      <c r="J28" s="47"/>
    </row>
    <row r="29" spans="1:10" ht="14.5" customHeight="1">
      <c r="A29" s="47"/>
      <c r="B2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9" s="47" t="s">
        <v>32</v>
      </c>
      <c r="D29" s="47" t="s">
        <v>10</v>
      </c>
      <c r="E29" s="47" t="s">
        <v>30</v>
      </c>
      <c r="F29" s="47" t="s">
        <v>12</v>
      </c>
      <c r="G29" s="47" t="s">
        <v>70</v>
      </c>
      <c r="H29" s="47" t="s">
        <v>142</v>
      </c>
      <c r="I29" s="47" t="s">
        <v>150</v>
      </c>
      <c r="J29" s="47"/>
    </row>
    <row r="30" spans="1:10" ht="14.5" customHeight="1">
      <c r="A30" s="47"/>
      <c r="B3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0" s="47"/>
      <c r="D30" s="47"/>
      <c r="E30" s="47"/>
      <c r="F30" s="47"/>
      <c r="G30" s="47" t="s">
        <v>139</v>
      </c>
      <c r="H30" s="47"/>
      <c r="I30" s="47"/>
      <c r="J30" s="47"/>
    </row>
    <row r="31" spans="1:10" ht="14.5" customHeight="1" thickBot="1">
      <c r="A31" s="48"/>
      <c r="B3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1" s="48"/>
      <c r="D31" s="48"/>
      <c r="E31" s="48"/>
      <c r="F31" s="48"/>
      <c r="G31" s="48" t="s">
        <v>82</v>
      </c>
      <c r="H31" s="48" t="s">
        <v>87</v>
      </c>
      <c r="I31" s="48" t="s">
        <v>237</v>
      </c>
      <c r="J31" s="48"/>
    </row>
    <row r="32" spans="1:10"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11</v>
      </c>
      <c r="D32" s="51" t="s">
        <v>25</v>
      </c>
      <c r="E32" s="51" t="s">
        <v>13</v>
      </c>
      <c r="F32" s="51" t="s">
        <v>31</v>
      </c>
      <c r="G32" s="51" t="s">
        <v>299</v>
      </c>
      <c r="H32" s="51" t="s">
        <v>93</v>
      </c>
      <c r="I32" s="51"/>
      <c r="J32" s="51">
        <f>COUNTA(C32:I40)</f>
        <v>34</v>
      </c>
    </row>
    <row r="33" spans="1:10"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c r="D33" s="50"/>
      <c r="E33" s="50"/>
      <c r="F33" s="50"/>
      <c r="G33" s="50" t="s">
        <v>92</v>
      </c>
      <c r="H33" s="50"/>
      <c r="I33" s="50"/>
      <c r="J33" s="50"/>
    </row>
    <row r="34" spans="1:10"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18</v>
      </c>
      <c r="D34" s="47" t="s">
        <v>34</v>
      </c>
      <c r="E34" s="47" t="s">
        <v>16</v>
      </c>
      <c r="F34" s="47" t="s">
        <v>29</v>
      </c>
      <c r="G34" s="47" t="s">
        <v>222</v>
      </c>
      <c r="H34" s="47" t="s">
        <v>67</v>
      </c>
      <c r="I34" s="47" t="s">
        <v>96</v>
      </c>
      <c r="J34" s="47"/>
    </row>
    <row r="35" spans="1:10"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c r="D35" s="47"/>
      <c r="E35" s="47"/>
      <c r="F35" s="47"/>
      <c r="G35" s="47" t="s">
        <v>55</v>
      </c>
      <c r="H35" s="47"/>
      <c r="I35" s="47"/>
      <c r="J35" s="47"/>
    </row>
    <row r="36" spans="1:10"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32</v>
      </c>
      <c r="D36" s="47" t="s">
        <v>17</v>
      </c>
      <c r="E36" s="47" t="s">
        <v>30</v>
      </c>
      <c r="F36" s="47" t="s">
        <v>19</v>
      </c>
      <c r="G36" s="47" t="s">
        <v>85</v>
      </c>
      <c r="H36" s="47" t="s">
        <v>113</v>
      </c>
      <c r="I36" s="47" t="s">
        <v>90</v>
      </c>
      <c r="J36" s="47"/>
    </row>
    <row r="37" spans="1:10"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c r="D37" s="47"/>
      <c r="E37" s="47"/>
      <c r="F37" s="47"/>
      <c r="G37" s="47" t="s">
        <v>79</v>
      </c>
      <c r="H37" s="47"/>
      <c r="I37" s="47"/>
      <c r="J37" s="47"/>
    </row>
    <row r="38" spans="1:10"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23</v>
      </c>
      <c r="D38" s="47" t="s">
        <v>24</v>
      </c>
      <c r="E38" s="47" t="s">
        <v>22</v>
      </c>
      <c r="F38" s="47" t="s">
        <v>33</v>
      </c>
      <c r="G38" s="47" t="s">
        <v>224</v>
      </c>
      <c r="H38" s="47" t="s">
        <v>86</v>
      </c>
      <c r="I38" s="47" t="s">
        <v>112</v>
      </c>
      <c r="J38" s="47"/>
    </row>
    <row r="39" spans="1:10"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c r="D39" s="47"/>
      <c r="E39" s="47"/>
      <c r="F39" s="47"/>
      <c r="G39" s="47" t="s">
        <v>49</v>
      </c>
      <c r="H39" s="47"/>
      <c r="I39" s="47"/>
      <c r="J39" s="47"/>
    </row>
    <row r="40" spans="1:10" ht="14.5" customHeight="1" thickBot="1">
      <c r="A40" s="48"/>
      <c r="B4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8"/>
      <c r="D40" s="48"/>
      <c r="E40" s="48"/>
      <c r="F40" s="48"/>
      <c r="G40" s="48" t="s">
        <v>83</v>
      </c>
      <c r="H40" s="48" t="s">
        <v>88</v>
      </c>
      <c r="I40" s="48" t="s">
        <v>80</v>
      </c>
      <c r="J40" s="48"/>
    </row>
    <row r="41" spans="1:10" ht="14.5" customHeight="1">
      <c r="A41" s="51" t="s">
        <v>432</v>
      </c>
      <c r="B4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1" s="51" t="s">
        <v>14</v>
      </c>
      <c r="D41" s="51" t="s">
        <v>16</v>
      </c>
      <c r="E41" s="51" t="s">
        <v>29</v>
      </c>
      <c r="F41" s="51" t="s">
        <v>31</v>
      </c>
      <c r="G41" s="51" t="s">
        <v>91</v>
      </c>
      <c r="H41" s="51"/>
      <c r="I41" s="51"/>
      <c r="J41" s="51">
        <f>COUNTA(C41:I50)</f>
        <v>34</v>
      </c>
    </row>
    <row r="42" spans="1:10" ht="14.5" customHeight="1">
      <c r="A42" s="50"/>
      <c r="B4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2" s="50"/>
      <c r="D42" s="50"/>
      <c r="E42" s="50"/>
      <c r="F42" s="50"/>
      <c r="G42" s="50" t="s">
        <v>55</v>
      </c>
      <c r="H42" s="50" t="s">
        <v>67</v>
      </c>
      <c r="I42" s="50"/>
      <c r="J42" s="50"/>
    </row>
    <row r="43" spans="1:10" ht="14.5" customHeight="1">
      <c r="A43" s="47"/>
      <c r="B4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3" s="47" t="s">
        <v>28</v>
      </c>
      <c r="D43" s="47" t="s">
        <v>20</v>
      </c>
      <c r="E43" s="47" t="s">
        <v>12</v>
      </c>
      <c r="F43" s="47" t="s">
        <v>37</v>
      </c>
      <c r="G43" s="47" t="s">
        <v>222</v>
      </c>
      <c r="H43" s="47" t="s">
        <v>96</v>
      </c>
      <c r="I43" s="47"/>
      <c r="J43" s="47"/>
    </row>
    <row r="44" spans="1:10" ht="14.5" customHeight="1">
      <c r="A44" s="47"/>
      <c r="B4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4" s="47"/>
      <c r="D44" s="47"/>
      <c r="E44" s="47"/>
      <c r="F44" s="47"/>
      <c r="G44" s="47" t="s">
        <v>83</v>
      </c>
      <c r="H44" s="47"/>
      <c r="I44" s="47"/>
      <c r="J44" s="47"/>
    </row>
    <row r="45" spans="1:10" ht="14.5" customHeight="1">
      <c r="A45" s="47"/>
      <c r="B4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5" s="47" t="s">
        <v>18</v>
      </c>
      <c r="D45" s="47" t="s">
        <v>25</v>
      </c>
      <c r="E45" s="47" t="s">
        <v>36</v>
      </c>
      <c r="F45" s="47" t="s">
        <v>13</v>
      </c>
      <c r="G45" s="47" t="s">
        <v>80</v>
      </c>
      <c r="H45" s="47" t="s">
        <v>49</v>
      </c>
      <c r="I45" s="47" t="s">
        <v>88</v>
      </c>
      <c r="J45" s="47"/>
    </row>
    <row r="46" spans="1:10" ht="14.5" customHeight="1">
      <c r="A46" s="47"/>
      <c r="B4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6" s="47"/>
      <c r="D46" s="47"/>
      <c r="E46" s="47"/>
      <c r="F46" s="47"/>
      <c r="G46" s="47" t="s">
        <v>112</v>
      </c>
      <c r="H46" s="47"/>
      <c r="I46" s="47"/>
      <c r="J46" s="47"/>
    </row>
    <row r="47" spans="1:10" ht="14.5" customHeight="1">
      <c r="A47" s="47"/>
      <c r="B4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7" s="47" t="s">
        <v>21</v>
      </c>
      <c r="D47" s="47" t="s">
        <v>34</v>
      </c>
      <c r="E47" s="47" t="s">
        <v>15</v>
      </c>
      <c r="F47" s="47" t="s">
        <v>27</v>
      </c>
      <c r="G47" s="47" t="s">
        <v>59</v>
      </c>
      <c r="H47" s="47" t="s">
        <v>224</v>
      </c>
      <c r="I47" s="47"/>
      <c r="J47" s="47"/>
    </row>
    <row r="48" spans="1:10" ht="14.5" customHeight="1">
      <c r="A48" s="47"/>
      <c r="B4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8" s="47"/>
      <c r="D48" s="47"/>
      <c r="E48" s="47"/>
      <c r="F48" s="47"/>
      <c r="G48" s="47" t="s">
        <v>142</v>
      </c>
      <c r="H48" s="47" t="s">
        <v>79</v>
      </c>
      <c r="I48" s="47"/>
      <c r="J48" s="47"/>
    </row>
    <row r="49" spans="1:10" ht="14.5" customHeight="1">
      <c r="A49" s="47"/>
      <c r="B49"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9" s="47"/>
      <c r="D49" s="47"/>
      <c r="E49" s="47"/>
      <c r="F49" s="47"/>
      <c r="G49" s="47" t="s">
        <v>89</v>
      </c>
      <c r="H49" s="47" t="s">
        <v>150</v>
      </c>
      <c r="I49" s="47"/>
      <c r="J49" s="47"/>
    </row>
    <row r="50" spans="1:10" ht="14.5" customHeight="1" thickBot="1">
      <c r="A50" s="48"/>
      <c r="B50"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0" s="48"/>
      <c r="D50" s="48"/>
      <c r="E50" s="48"/>
      <c r="F50" s="48"/>
      <c r="G50" s="48" t="s">
        <v>237</v>
      </c>
      <c r="H50" s="48" t="s">
        <v>97</v>
      </c>
      <c r="I50" s="48"/>
      <c r="J50" s="48"/>
    </row>
    <row r="51" spans="1:10" ht="14.5" customHeight="1">
      <c r="A51" s="51" t="s">
        <v>434</v>
      </c>
      <c r="B5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1" s="51" t="s">
        <v>11</v>
      </c>
      <c r="D51" s="51" t="s">
        <v>10</v>
      </c>
      <c r="E51" s="51" t="s">
        <v>35</v>
      </c>
      <c r="F51" s="51" t="s">
        <v>26</v>
      </c>
      <c r="G51" s="51" t="s">
        <v>95</v>
      </c>
      <c r="H51" s="51" t="s">
        <v>101</v>
      </c>
      <c r="I51" s="51" t="s">
        <v>82</v>
      </c>
      <c r="J51" s="51">
        <f>COUNTA(C51:I59)</f>
        <v>34</v>
      </c>
    </row>
    <row r="52" spans="1:10" ht="14.5" customHeight="1">
      <c r="A52" s="50"/>
      <c r="B5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2" s="50"/>
      <c r="D52" s="50"/>
      <c r="E52" s="50"/>
      <c r="F52" s="50"/>
      <c r="G52" s="50" t="s">
        <v>139</v>
      </c>
      <c r="H52" s="50"/>
      <c r="I52" s="50"/>
      <c r="J52" s="50"/>
    </row>
    <row r="53" spans="1:10" ht="14.5" customHeight="1">
      <c r="A53" s="47"/>
      <c r="B5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3" s="47" t="s">
        <v>21</v>
      </c>
      <c r="D53" s="47" t="s">
        <v>24</v>
      </c>
      <c r="E53" s="47" t="s">
        <v>16</v>
      </c>
      <c r="F53" s="47" t="s">
        <v>33</v>
      </c>
      <c r="G53" s="47" t="s">
        <v>100</v>
      </c>
      <c r="H53" s="47" t="s">
        <v>113</v>
      </c>
      <c r="I53" s="47"/>
      <c r="J53" s="47"/>
    </row>
    <row r="54" spans="1:10" ht="14.5" customHeight="1">
      <c r="A54" s="47"/>
      <c r="B5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4" s="47"/>
      <c r="D54" s="47"/>
      <c r="E54" s="47"/>
      <c r="F54" s="47"/>
      <c r="G54" s="47" t="s">
        <v>99</v>
      </c>
      <c r="H54" s="47" t="s">
        <v>75</v>
      </c>
      <c r="I54" s="47"/>
      <c r="J54" s="47"/>
    </row>
    <row r="55" spans="1:10" ht="14.5" customHeight="1">
      <c r="A55" s="47"/>
      <c r="B5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5" s="47" t="s">
        <v>28</v>
      </c>
      <c r="D55" s="47" t="s">
        <v>17</v>
      </c>
      <c r="E55" s="47" t="s">
        <v>15</v>
      </c>
      <c r="F55" s="47" t="s">
        <v>37</v>
      </c>
      <c r="G55" s="47" t="s">
        <v>87</v>
      </c>
      <c r="H55" s="47" t="s">
        <v>94</v>
      </c>
      <c r="I55" s="47"/>
      <c r="J55" s="47"/>
    </row>
    <row r="56" spans="1:10" ht="14.5" customHeight="1">
      <c r="A56" s="47"/>
      <c r="B5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6" s="47"/>
      <c r="D56" s="47"/>
      <c r="E56" s="47"/>
      <c r="F56" s="47"/>
      <c r="G56" s="47" t="s">
        <v>86</v>
      </c>
      <c r="H56" s="47" t="s">
        <v>70</v>
      </c>
      <c r="I56" s="47"/>
      <c r="J56" s="47"/>
    </row>
    <row r="57" spans="1:10" ht="14.5" customHeight="1">
      <c r="A57" s="47"/>
      <c r="B5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7" s="47" t="s">
        <v>23</v>
      </c>
      <c r="D57" s="47" t="s">
        <v>20</v>
      </c>
      <c r="E57" s="47" t="s">
        <v>29</v>
      </c>
      <c r="F57" s="47" t="s">
        <v>31</v>
      </c>
      <c r="G57" s="47" t="s">
        <v>93</v>
      </c>
      <c r="H57" s="47" t="s">
        <v>85</v>
      </c>
      <c r="I57" s="47"/>
      <c r="J57" s="47"/>
    </row>
    <row r="58" spans="1:10" ht="14.5" customHeight="1">
      <c r="A58" s="47"/>
      <c r="B5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8" s="47"/>
      <c r="D58" s="47"/>
      <c r="E58" s="47"/>
      <c r="F58" s="47"/>
      <c r="G58" s="47" t="s">
        <v>90</v>
      </c>
      <c r="H58" s="47" t="s">
        <v>299</v>
      </c>
      <c r="I58" s="47"/>
      <c r="J58" s="47"/>
    </row>
    <row r="59" spans="1:10" ht="14.5" customHeight="1" thickBot="1">
      <c r="A59" s="48"/>
      <c r="B5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9" s="48"/>
      <c r="D59" s="48"/>
      <c r="E59" s="48"/>
      <c r="F59" s="48"/>
      <c r="G59" s="48" t="s">
        <v>98</v>
      </c>
      <c r="H59" s="48" t="s">
        <v>92</v>
      </c>
      <c r="I59" s="48"/>
      <c r="J59" s="48"/>
    </row>
    <row r="60" spans="1:10" ht="14.5" customHeight="1">
      <c r="A60" s="51" t="s">
        <v>435</v>
      </c>
      <c r="B6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0" s="51" t="s">
        <v>11</v>
      </c>
      <c r="D60" s="51" t="s">
        <v>25</v>
      </c>
      <c r="E60" s="51" t="s">
        <v>35</v>
      </c>
      <c r="F60" s="51" t="s">
        <v>19</v>
      </c>
      <c r="G60" s="51"/>
      <c r="H60" s="51"/>
      <c r="I60" s="51"/>
      <c r="J60" s="51">
        <f>COUNTA(C60:I66)</f>
        <v>16</v>
      </c>
    </row>
    <row r="61" spans="1:10" ht="14.5" customHeight="1">
      <c r="A61" s="50"/>
      <c r="B6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1" s="50"/>
      <c r="D61" s="50"/>
      <c r="E61" s="50"/>
      <c r="F61" s="50"/>
      <c r="G61" s="50"/>
      <c r="H61" s="50"/>
      <c r="I61" s="50"/>
      <c r="J61" s="50"/>
    </row>
    <row r="62" spans="1:10" ht="14.5" customHeight="1">
      <c r="A62" s="47"/>
      <c r="B6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2" s="47" t="s">
        <v>18</v>
      </c>
      <c r="D62" s="47" t="s">
        <v>34</v>
      </c>
      <c r="E62" s="47" t="s">
        <v>22</v>
      </c>
      <c r="F62" s="47" t="s">
        <v>27</v>
      </c>
      <c r="G62" s="47"/>
      <c r="H62" s="47"/>
      <c r="I62" s="47"/>
      <c r="J62" s="47"/>
    </row>
    <row r="63" spans="1:10" ht="14.5" customHeight="1">
      <c r="A63" s="47"/>
      <c r="B6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3" s="47"/>
      <c r="D63" s="47"/>
      <c r="E63" s="47"/>
      <c r="F63" s="47"/>
      <c r="G63" s="47"/>
      <c r="H63" s="47"/>
      <c r="I63" s="47"/>
      <c r="J63" s="47"/>
    </row>
    <row r="64" spans="1:10" ht="14.5" customHeight="1">
      <c r="A64" s="47"/>
      <c r="B6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4" s="47" t="s">
        <v>14</v>
      </c>
      <c r="D64" s="47" t="s">
        <v>36</v>
      </c>
      <c r="E64" s="47" t="s">
        <v>13</v>
      </c>
      <c r="F64" s="47" t="s">
        <v>26</v>
      </c>
      <c r="G64" s="47"/>
      <c r="H64" s="47"/>
      <c r="I64" s="47"/>
      <c r="J64" s="47"/>
    </row>
    <row r="65" spans="1:15" ht="14.5" customHeight="1">
      <c r="A65" s="47"/>
      <c r="B6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5" s="47"/>
      <c r="D65" s="47"/>
      <c r="E65" s="47"/>
      <c r="F65" s="47"/>
      <c r="G65" s="47"/>
      <c r="H65" s="47"/>
      <c r="I65" s="47"/>
      <c r="J65" s="47"/>
    </row>
    <row r="66" spans="1:15" ht="14.5" customHeight="1" thickBot="1">
      <c r="A66" s="52"/>
      <c r="B66" s="52"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6" s="52" t="s">
        <v>32</v>
      </c>
      <c r="D66" s="52" t="s">
        <v>10</v>
      </c>
      <c r="E66" s="52" t="s">
        <v>30</v>
      </c>
      <c r="F66" s="52" t="s">
        <v>12</v>
      </c>
      <c r="G66" s="52"/>
      <c r="H66" s="52"/>
      <c r="I66" s="52"/>
      <c r="J66" s="52"/>
    </row>
    <row r="67" spans="1:15" ht="14.5" customHeight="1">
      <c r="A67" s="45"/>
      <c r="B67" s="45"/>
      <c r="C67" s="45"/>
      <c r="D67" s="45"/>
      <c r="E67" s="45"/>
      <c r="F67" s="45"/>
      <c r="G67" s="45"/>
      <c r="H67" s="45"/>
      <c r="I67" s="45"/>
      <c r="J67" s="45"/>
    </row>
    <row r="68" spans="1:15" ht="20" customHeight="1">
      <c r="A68" s="136" t="s">
        <v>824</v>
      </c>
      <c r="B68" s="136"/>
      <c r="C68" s="136"/>
      <c r="D68" s="136"/>
      <c r="E68" s="136"/>
      <c r="F68" s="136"/>
      <c r="G68" s="136"/>
      <c r="H68" s="136"/>
      <c r="I68" s="136"/>
      <c r="J68" s="136"/>
      <c r="K68" s="136"/>
      <c r="L68" s="136"/>
      <c r="M68" s="136"/>
      <c r="N68" s="136"/>
      <c r="O68" s="136"/>
    </row>
    <row r="69" spans="1:15" ht="14.5" customHeight="1">
      <c r="A69" s="18"/>
      <c r="B69" s="19" t="s">
        <v>314</v>
      </c>
      <c r="C69" s="135" t="s">
        <v>761</v>
      </c>
      <c r="D69" s="135"/>
      <c r="E69" s="135"/>
      <c r="F69" s="135" t="s">
        <v>755</v>
      </c>
      <c r="G69" s="135"/>
      <c r="H69" s="18"/>
      <c r="I69" s="19" t="s">
        <v>314</v>
      </c>
      <c r="J69" s="135" t="s">
        <v>769</v>
      </c>
      <c r="K69" s="135"/>
      <c r="L69" s="135"/>
      <c r="M69" s="135" t="s">
        <v>755</v>
      </c>
      <c r="N69" s="135"/>
      <c r="O69" s="18"/>
    </row>
    <row r="70" spans="1:15" ht="14.5" customHeight="1">
      <c r="A70" s="18"/>
      <c r="B70" s="20">
        <v>1</v>
      </c>
      <c r="C70" s="134" t="s">
        <v>1084</v>
      </c>
      <c r="D70" s="134"/>
      <c r="E70" s="134"/>
      <c r="F70" s="134" t="s">
        <v>840</v>
      </c>
      <c r="G70" s="134"/>
      <c r="H70" s="18"/>
      <c r="I70" s="20">
        <v>9</v>
      </c>
      <c r="J70" s="134" t="s">
        <v>1092</v>
      </c>
      <c r="K70" s="134"/>
      <c r="L70" s="134"/>
      <c r="M70" s="134" t="s">
        <v>840</v>
      </c>
      <c r="N70" s="134"/>
      <c r="O70" s="18"/>
    </row>
    <row r="71" spans="1:15" ht="14.5" customHeight="1">
      <c r="A71" s="18"/>
      <c r="B71" s="20">
        <v>2</v>
      </c>
      <c r="C71" s="134" t="s">
        <v>1085</v>
      </c>
      <c r="D71" s="134"/>
      <c r="E71" s="134"/>
      <c r="F71" s="134" t="s">
        <v>841</v>
      </c>
      <c r="G71" s="134"/>
      <c r="H71" s="18"/>
      <c r="I71" s="20">
        <v>10</v>
      </c>
      <c r="J71" s="134" t="s">
        <v>1093</v>
      </c>
      <c r="K71" s="134"/>
      <c r="L71" s="134"/>
      <c r="M71" s="134" t="s">
        <v>840</v>
      </c>
      <c r="N71" s="134"/>
      <c r="O71" s="18"/>
    </row>
    <row r="72" spans="1:15" ht="14.5" customHeight="1">
      <c r="A72" s="18"/>
      <c r="B72" s="20">
        <v>3</v>
      </c>
      <c r="C72" s="134" t="s">
        <v>1086</v>
      </c>
      <c r="D72" s="134"/>
      <c r="E72" s="134"/>
      <c r="F72" s="134" t="s">
        <v>841</v>
      </c>
      <c r="G72" s="134"/>
      <c r="H72" s="18"/>
      <c r="I72" s="20">
        <v>11</v>
      </c>
      <c r="J72" s="134" t="s">
        <v>1094</v>
      </c>
      <c r="K72" s="134"/>
      <c r="L72" s="134"/>
      <c r="M72" s="134" t="s">
        <v>841</v>
      </c>
      <c r="N72" s="134"/>
      <c r="O72" s="18"/>
    </row>
    <row r="73" spans="1:15" ht="14.5" customHeight="1">
      <c r="A73" s="18"/>
      <c r="B73" s="20">
        <v>4</v>
      </c>
      <c r="C73" s="134" t="s">
        <v>1087</v>
      </c>
      <c r="D73" s="134"/>
      <c r="E73" s="134"/>
      <c r="F73" s="134" t="s">
        <v>841</v>
      </c>
      <c r="G73" s="134"/>
      <c r="H73" s="18"/>
      <c r="I73" s="20">
        <v>12</v>
      </c>
      <c r="J73" s="134" t="s">
        <v>1095</v>
      </c>
      <c r="K73" s="134"/>
      <c r="L73" s="134"/>
      <c r="M73" s="134" t="s">
        <v>841</v>
      </c>
      <c r="N73" s="134"/>
      <c r="O73" s="18"/>
    </row>
    <row r="74" spans="1:15" ht="14.5" customHeight="1">
      <c r="A74" s="18"/>
      <c r="B74" s="20">
        <v>5</v>
      </c>
      <c r="C74" s="134" t="s">
        <v>1088</v>
      </c>
      <c r="D74" s="134"/>
      <c r="E74" s="134"/>
      <c r="F74" s="134" t="s">
        <v>841</v>
      </c>
      <c r="G74" s="134"/>
      <c r="H74" s="18"/>
      <c r="I74" s="20">
        <v>13</v>
      </c>
      <c r="J74" s="134" t="s">
        <v>1096</v>
      </c>
      <c r="K74" s="134"/>
      <c r="L74" s="134"/>
      <c r="M74" s="134" t="s">
        <v>841</v>
      </c>
      <c r="N74" s="134"/>
      <c r="O74" s="18"/>
    </row>
    <row r="75" spans="1:15" ht="14.5" customHeight="1">
      <c r="A75" s="18"/>
      <c r="B75" s="20">
        <v>6</v>
      </c>
      <c r="C75" s="134" t="s">
        <v>1089</v>
      </c>
      <c r="D75" s="134"/>
      <c r="E75" s="134"/>
      <c r="F75" s="134" t="s">
        <v>841</v>
      </c>
      <c r="G75" s="134"/>
      <c r="H75" s="18"/>
      <c r="I75" s="20">
        <v>14</v>
      </c>
      <c r="J75" s="134" t="s">
        <v>1097</v>
      </c>
      <c r="K75" s="134"/>
      <c r="L75" s="134"/>
      <c r="M75" s="134" t="s">
        <v>841</v>
      </c>
      <c r="N75" s="134"/>
      <c r="O75" s="18"/>
    </row>
    <row r="76" spans="1:15" ht="14.5" customHeight="1">
      <c r="A76" s="18"/>
      <c r="B76" s="20">
        <v>7</v>
      </c>
      <c r="C76" s="134" t="s">
        <v>1090</v>
      </c>
      <c r="D76" s="134"/>
      <c r="E76" s="134"/>
      <c r="F76" s="134" t="s">
        <v>847</v>
      </c>
      <c r="G76" s="134"/>
      <c r="H76" s="18"/>
      <c r="I76" s="20">
        <v>15</v>
      </c>
      <c r="J76" s="134" t="s">
        <v>1098</v>
      </c>
      <c r="K76" s="134"/>
      <c r="L76" s="134"/>
      <c r="M76" s="134" t="s">
        <v>841</v>
      </c>
      <c r="N76" s="134"/>
      <c r="O76" s="18"/>
    </row>
    <row r="77" spans="1:15" ht="14.5" customHeight="1">
      <c r="A77" s="18"/>
      <c r="B77" s="20">
        <v>8</v>
      </c>
      <c r="C77" s="134" t="s">
        <v>1091</v>
      </c>
      <c r="D77" s="134"/>
      <c r="E77" s="134"/>
      <c r="F77" s="134" t="s">
        <v>847</v>
      </c>
      <c r="G77" s="134"/>
      <c r="H77" s="18"/>
      <c r="I77" s="20">
        <v>16</v>
      </c>
      <c r="J77" s="134" t="s">
        <v>1099</v>
      </c>
      <c r="K77" s="134"/>
      <c r="L77" s="134"/>
      <c r="M77" s="134" t="s">
        <v>847</v>
      </c>
      <c r="N77" s="134"/>
      <c r="O77" s="18"/>
    </row>
    <row r="78" spans="1:15" ht="14.5" customHeight="1">
      <c r="A78" s="18"/>
      <c r="B78" s="18"/>
      <c r="C78" s="18"/>
      <c r="D78" s="18"/>
      <c r="E78" s="18"/>
      <c r="F78" s="18"/>
      <c r="G78" s="18"/>
      <c r="H78" s="18"/>
      <c r="I78" s="20">
        <v>17</v>
      </c>
      <c r="J78" s="134" t="s">
        <v>1100</v>
      </c>
      <c r="K78" s="134"/>
      <c r="L78" s="134"/>
      <c r="M78" s="134" t="s">
        <v>847</v>
      </c>
      <c r="N78" s="134"/>
      <c r="O78" s="18"/>
    </row>
    <row r="79" spans="1:15" ht="14.5" customHeight="1">
      <c r="A79" s="18"/>
      <c r="B79" s="18"/>
      <c r="C79" s="18"/>
      <c r="D79" s="18"/>
      <c r="E79" s="18"/>
      <c r="F79" s="18"/>
      <c r="G79" s="18"/>
      <c r="H79" s="18"/>
      <c r="I79" s="18"/>
      <c r="J79" s="18"/>
      <c r="K79" s="18"/>
      <c r="L79" s="18"/>
      <c r="M79" s="18"/>
      <c r="N79" s="18"/>
      <c r="O79" s="18"/>
    </row>
    <row r="80" spans="1:15" ht="14.5" customHeight="1">
      <c r="A80" s="18"/>
      <c r="B80" s="18"/>
      <c r="C80" s="18"/>
      <c r="D80" s="18"/>
      <c r="E80" s="18"/>
      <c r="F80" s="18"/>
      <c r="G80" s="18"/>
      <c r="H80" s="18"/>
      <c r="I80" s="18"/>
      <c r="J80" s="18"/>
      <c r="K80" s="18"/>
      <c r="L80" s="18"/>
      <c r="M80" s="18"/>
      <c r="N80" s="18"/>
      <c r="O80" s="18"/>
    </row>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row r="92" ht="14.5" customHeight="1"/>
    <row r="93" ht="14.5" customHeight="1"/>
    <row r="94" ht="14.5" customHeight="1"/>
    <row r="95" ht="14.5" customHeight="1"/>
  </sheetData>
  <mergeCells count="42">
    <mergeCell ref="C72:E72"/>
    <mergeCell ref="F72:G72"/>
    <mergeCell ref="C73:E73"/>
    <mergeCell ref="A1:J1"/>
    <mergeCell ref="C2:F2"/>
    <mergeCell ref="G2:I2"/>
    <mergeCell ref="A68:O68"/>
    <mergeCell ref="C69:E69"/>
    <mergeCell ref="F69:G69"/>
    <mergeCell ref="C76:E76"/>
    <mergeCell ref="F76:G76"/>
    <mergeCell ref="C77:E77"/>
    <mergeCell ref="F77:G77"/>
    <mergeCell ref="J69:L69"/>
    <mergeCell ref="J72:L72"/>
    <mergeCell ref="J75:L75"/>
    <mergeCell ref="F73:G73"/>
    <mergeCell ref="C74:E74"/>
    <mergeCell ref="F74:G74"/>
    <mergeCell ref="C75:E75"/>
    <mergeCell ref="F75:G75"/>
    <mergeCell ref="C70:E70"/>
    <mergeCell ref="F70:G70"/>
    <mergeCell ref="C71:E71"/>
    <mergeCell ref="F71:G71"/>
    <mergeCell ref="M69:N69"/>
    <mergeCell ref="J70:L70"/>
    <mergeCell ref="M70:N70"/>
    <mergeCell ref="J71:L71"/>
    <mergeCell ref="M71:N71"/>
    <mergeCell ref="M72:N72"/>
    <mergeCell ref="J73:L73"/>
    <mergeCell ref="M73:N73"/>
    <mergeCell ref="J74:L74"/>
    <mergeCell ref="M74:N74"/>
    <mergeCell ref="J78:L78"/>
    <mergeCell ref="M78:N78"/>
    <mergeCell ref="M75:N75"/>
    <mergeCell ref="J76:L76"/>
    <mergeCell ref="M76:N76"/>
    <mergeCell ref="J77:L77"/>
    <mergeCell ref="M77:N7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EEEA2-D7C3-4B8E-ACAD-6A56CD5A9356}">
  <dimension ref="A1:O91"/>
  <sheetViews>
    <sheetView showGridLines="0" rightToLeft="1" workbookViewId="0">
      <pane ySplit="3" topLeftCell="A59" activePane="bottomLeft" state="frozen"/>
      <selection pane="bottomLeft" activeCell="M65" sqref="I65:N74"/>
    </sheetView>
  </sheetViews>
  <sheetFormatPr defaultRowHeight="14"/>
  <cols>
    <col min="1" max="1" width="15.83203125" customWidth="1"/>
    <col min="2" max="2" width="17.5" customWidth="1"/>
    <col min="3" max="10" width="13" customWidth="1"/>
    <col min="11" max="11" width="17.5" customWidth="1"/>
  </cols>
  <sheetData>
    <row r="1" spans="1:11" ht="26" customHeight="1">
      <c r="A1" s="119" t="s">
        <v>442</v>
      </c>
      <c r="B1" s="119"/>
      <c r="C1" s="119"/>
      <c r="D1" s="119"/>
      <c r="E1" s="119"/>
      <c r="F1" s="119"/>
      <c r="G1" s="119"/>
      <c r="H1" s="119"/>
      <c r="I1" s="119"/>
      <c r="J1" s="119"/>
      <c r="K1" s="119"/>
    </row>
    <row r="2" spans="1:11" ht="20" customHeight="1">
      <c r="A2" s="49"/>
      <c r="B2" s="49"/>
      <c r="C2" s="137" t="s">
        <v>438</v>
      </c>
      <c r="D2" s="137"/>
      <c r="E2" s="137"/>
      <c r="F2" s="137"/>
      <c r="G2" s="137" t="s">
        <v>443</v>
      </c>
      <c r="H2" s="137"/>
      <c r="I2" s="137"/>
      <c r="J2" s="137"/>
      <c r="K2" s="49"/>
    </row>
    <row r="3" spans="1:11" ht="32" customHeight="1" thickBot="1">
      <c r="A3" s="49" t="s">
        <v>426</v>
      </c>
      <c r="B3" s="49" t="s">
        <v>7</v>
      </c>
      <c r="C3" s="49" t="s">
        <v>8</v>
      </c>
      <c r="D3" s="49" t="s">
        <v>9</v>
      </c>
      <c r="E3" s="49" t="s">
        <v>84</v>
      </c>
      <c r="F3" s="49" t="s">
        <v>119</v>
      </c>
      <c r="G3" s="49" t="s">
        <v>8</v>
      </c>
      <c r="H3" s="49" t="s">
        <v>9</v>
      </c>
      <c r="I3" s="49" t="s">
        <v>84</v>
      </c>
      <c r="J3" s="49" t="s">
        <v>119</v>
      </c>
      <c r="K3" s="49" t="s">
        <v>427</v>
      </c>
    </row>
    <row r="4" spans="1:11"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23</v>
      </c>
      <c r="D4" s="51" t="s">
        <v>25</v>
      </c>
      <c r="E4" s="51" t="s">
        <v>22</v>
      </c>
      <c r="F4" s="51" t="s">
        <v>31</v>
      </c>
      <c r="G4" s="51" t="s">
        <v>237</v>
      </c>
      <c r="H4" s="51" t="s">
        <v>89</v>
      </c>
      <c r="I4" s="51"/>
      <c r="J4" s="51"/>
      <c r="K4" s="51">
        <f>COUNTA(C4:J12)</f>
        <v>36</v>
      </c>
    </row>
    <row r="5" spans="1:11"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c r="D5" s="50"/>
      <c r="E5" s="50"/>
      <c r="F5" s="50"/>
      <c r="G5" s="50" t="s">
        <v>109</v>
      </c>
      <c r="H5" s="50" t="s">
        <v>93</v>
      </c>
      <c r="I5" s="50" t="s">
        <v>82</v>
      </c>
      <c r="J5" s="50"/>
      <c r="K5" s="50"/>
    </row>
    <row r="6" spans="1:11"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32</v>
      </c>
      <c r="D6" s="47" t="s">
        <v>17</v>
      </c>
      <c r="E6" s="47" t="s">
        <v>16</v>
      </c>
      <c r="F6" s="47" t="s">
        <v>26</v>
      </c>
      <c r="G6" s="47"/>
      <c r="H6" s="47"/>
      <c r="I6" s="47"/>
      <c r="J6" s="47"/>
      <c r="K6" s="47"/>
    </row>
    <row r="7" spans="1:11"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c r="D7" s="47"/>
      <c r="E7" s="47"/>
      <c r="F7" s="47"/>
      <c r="G7" s="47" t="s">
        <v>102</v>
      </c>
      <c r="H7" s="47" t="s">
        <v>222</v>
      </c>
      <c r="I7" s="47" t="s">
        <v>49</v>
      </c>
      <c r="J7" s="47" t="s">
        <v>83</v>
      </c>
      <c r="K7" s="47"/>
    </row>
    <row r="8" spans="1:11"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28</v>
      </c>
      <c r="D8" s="47" t="s">
        <v>20</v>
      </c>
      <c r="E8" s="47" t="s">
        <v>12</v>
      </c>
      <c r="F8" s="47" t="s">
        <v>37</v>
      </c>
      <c r="G8" s="47" t="s">
        <v>97</v>
      </c>
      <c r="H8" s="47"/>
      <c r="I8" s="47"/>
      <c r="J8" s="47"/>
      <c r="K8" s="47"/>
    </row>
    <row r="9" spans="1:11"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c r="D9" s="47"/>
      <c r="E9" s="47"/>
      <c r="F9" s="47"/>
      <c r="G9" s="47" t="s">
        <v>150</v>
      </c>
      <c r="H9" s="47" t="s">
        <v>88</v>
      </c>
      <c r="I9" s="47"/>
      <c r="J9" s="47"/>
      <c r="K9" s="47"/>
    </row>
    <row r="10" spans="1:11"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18</v>
      </c>
      <c r="D10" s="47" t="s">
        <v>10</v>
      </c>
      <c r="E10" s="47" t="s">
        <v>30</v>
      </c>
      <c r="F10" s="47" t="s">
        <v>35</v>
      </c>
      <c r="G10" s="47" t="s">
        <v>103</v>
      </c>
      <c r="H10" s="47" t="s">
        <v>299</v>
      </c>
      <c r="I10" s="47" t="s">
        <v>79</v>
      </c>
      <c r="J10" s="47"/>
      <c r="K10" s="47"/>
    </row>
    <row r="11" spans="1:11"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c r="D11" s="47"/>
      <c r="E11" s="47"/>
      <c r="F11" s="47"/>
      <c r="G11" s="47" t="s">
        <v>99</v>
      </c>
      <c r="H11" s="47"/>
      <c r="I11" s="47"/>
      <c r="J11" s="47"/>
      <c r="K11" s="47"/>
    </row>
    <row r="12" spans="1:11"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c r="D12" s="48"/>
      <c r="E12" s="48"/>
      <c r="F12" s="48"/>
      <c r="G12" s="48" t="s">
        <v>80</v>
      </c>
      <c r="H12" s="48" t="s">
        <v>100</v>
      </c>
      <c r="I12" s="48" t="s">
        <v>113</v>
      </c>
      <c r="J12" s="48" t="s">
        <v>105</v>
      </c>
      <c r="K12" s="48"/>
    </row>
    <row r="13" spans="1:11"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11</v>
      </c>
      <c r="D13" s="51" t="s">
        <v>24</v>
      </c>
      <c r="E13" s="51" t="s">
        <v>13</v>
      </c>
      <c r="F13" s="51" t="s">
        <v>33</v>
      </c>
      <c r="G13" s="51" t="s">
        <v>91</v>
      </c>
      <c r="H13" s="51" t="s">
        <v>90</v>
      </c>
      <c r="I13" s="51"/>
      <c r="J13" s="51"/>
      <c r="K13" s="51">
        <f>COUNTA(C13:J21)</f>
        <v>36</v>
      </c>
    </row>
    <row r="14" spans="1:11"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c r="D14" s="50"/>
      <c r="E14" s="50"/>
      <c r="F14" s="50"/>
      <c r="G14" s="50" t="s">
        <v>96</v>
      </c>
      <c r="H14" s="50" t="s">
        <v>59</v>
      </c>
      <c r="I14" s="50" t="s">
        <v>350</v>
      </c>
      <c r="J14" s="50"/>
      <c r="K14" s="50"/>
    </row>
    <row r="15" spans="1:11"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21</v>
      </c>
      <c r="D15" s="47" t="s">
        <v>34</v>
      </c>
      <c r="E15" s="47" t="s">
        <v>15</v>
      </c>
      <c r="F15" s="47" t="s">
        <v>27</v>
      </c>
      <c r="G15" s="47"/>
      <c r="H15" s="47"/>
      <c r="I15" s="47"/>
      <c r="J15" s="47"/>
      <c r="K15" s="47"/>
    </row>
    <row r="16" spans="1:11"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c r="D16" s="47"/>
      <c r="E16" s="47"/>
      <c r="F16" s="47"/>
      <c r="G16" s="47" t="s">
        <v>85</v>
      </c>
      <c r="H16" s="47" t="s">
        <v>67</v>
      </c>
      <c r="I16" s="47" t="s">
        <v>86</v>
      </c>
      <c r="J16" s="47" t="s">
        <v>111</v>
      </c>
      <c r="K16" s="47"/>
    </row>
    <row r="17" spans="1:11"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14</v>
      </c>
      <c r="D17" s="47" t="s">
        <v>36</v>
      </c>
      <c r="E17" s="47" t="s">
        <v>29</v>
      </c>
      <c r="F17" s="47" t="s">
        <v>19</v>
      </c>
      <c r="G17" s="47" t="s">
        <v>95</v>
      </c>
      <c r="H17" s="47"/>
      <c r="I17" s="47"/>
      <c r="J17" s="47"/>
      <c r="K17" s="47"/>
    </row>
    <row r="18" spans="1:11"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c r="D18" s="47"/>
      <c r="E18" s="47"/>
      <c r="F18" s="47"/>
      <c r="G18" s="47" t="s">
        <v>101</v>
      </c>
      <c r="H18" s="47" t="s">
        <v>224</v>
      </c>
      <c r="I18" s="47" t="s">
        <v>223</v>
      </c>
      <c r="J18" s="47"/>
      <c r="K18" s="47"/>
    </row>
    <row r="19" spans="1:11"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23</v>
      </c>
      <c r="D19" s="47" t="s">
        <v>20</v>
      </c>
      <c r="E19" s="47" t="s">
        <v>35</v>
      </c>
      <c r="F19" s="47" t="s">
        <v>26</v>
      </c>
      <c r="G19" s="47" t="s">
        <v>55</v>
      </c>
      <c r="H19" s="47" t="s">
        <v>94</v>
      </c>
      <c r="I19" s="47"/>
      <c r="J19" s="47"/>
      <c r="K19" s="47"/>
    </row>
    <row r="20" spans="1:11"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c r="D20" s="47"/>
      <c r="E20" s="47"/>
      <c r="F20" s="47"/>
      <c r="G20" s="47" t="s">
        <v>104</v>
      </c>
      <c r="H20" s="47"/>
      <c r="I20" s="47"/>
      <c r="J20" s="47"/>
      <c r="K20" s="47"/>
    </row>
    <row r="21" spans="1:11"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c r="D21" s="48"/>
      <c r="E21" s="48"/>
      <c r="F21" s="48"/>
      <c r="G21" s="48" t="s">
        <v>87</v>
      </c>
      <c r="H21" s="48" t="s">
        <v>112</v>
      </c>
      <c r="I21" s="48" t="s">
        <v>70</v>
      </c>
      <c r="J21" s="48" t="s">
        <v>139</v>
      </c>
      <c r="K21" s="48"/>
    </row>
    <row r="22" spans="1:11"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28</v>
      </c>
      <c r="D22" s="51" t="s">
        <v>17</v>
      </c>
      <c r="E22" s="51" t="s">
        <v>15</v>
      </c>
      <c r="F22" s="51" t="s">
        <v>37</v>
      </c>
      <c r="G22" s="51" t="s">
        <v>92</v>
      </c>
      <c r="H22" s="51" t="s">
        <v>98</v>
      </c>
      <c r="I22" s="51" t="s">
        <v>351</v>
      </c>
      <c r="J22" s="51" t="s">
        <v>75</v>
      </c>
      <c r="K22" s="51">
        <f>COUNTA(C22:J29)</f>
        <v>36</v>
      </c>
    </row>
    <row r="23" spans="1:11"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c r="D23" s="50"/>
      <c r="E23" s="50"/>
      <c r="F23" s="50"/>
      <c r="G23" s="50" t="s">
        <v>142</v>
      </c>
      <c r="H23" s="50"/>
      <c r="I23" s="50"/>
      <c r="J23" s="50"/>
      <c r="K23" s="50"/>
    </row>
    <row r="24" spans="1:11"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21</v>
      </c>
      <c r="D24" s="47" t="s">
        <v>24</v>
      </c>
      <c r="E24" s="47" t="s">
        <v>36</v>
      </c>
      <c r="F24" s="47" t="s">
        <v>27</v>
      </c>
      <c r="G24" s="47" t="s">
        <v>350</v>
      </c>
      <c r="H24" s="47" t="s">
        <v>89</v>
      </c>
      <c r="I24" s="47" t="s">
        <v>93</v>
      </c>
      <c r="J24" s="47"/>
      <c r="K24" s="47"/>
    </row>
    <row r="25" spans="1:11"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c r="D25" s="47"/>
      <c r="E25" s="47"/>
      <c r="F25" s="47"/>
      <c r="G25" s="47" t="s">
        <v>97</v>
      </c>
      <c r="H25" s="47" t="s">
        <v>99</v>
      </c>
      <c r="I25" s="47"/>
      <c r="J25" s="47"/>
      <c r="K25" s="47"/>
    </row>
    <row r="26" spans="1:11"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14</v>
      </c>
      <c r="D26" s="47" t="s">
        <v>22</v>
      </c>
      <c r="E26" s="47" t="s">
        <v>19</v>
      </c>
      <c r="F26" s="47" t="s">
        <v>33</v>
      </c>
      <c r="G26" s="47" t="s">
        <v>59</v>
      </c>
      <c r="H26" s="47" t="s">
        <v>100</v>
      </c>
      <c r="I26" s="47"/>
      <c r="J26" s="47"/>
      <c r="K26" s="47"/>
    </row>
    <row r="27" spans="1:11"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c r="D27" s="47"/>
      <c r="E27" s="47"/>
      <c r="F27" s="47"/>
      <c r="G27" s="47" t="s">
        <v>104</v>
      </c>
      <c r="H27" s="47" t="s">
        <v>80</v>
      </c>
      <c r="I27" s="47" t="s">
        <v>112</v>
      </c>
      <c r="J27" s="47"/>
      <c r="K27" s="47"/>
    </row>
    <row r="28" spans="1:11"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32</v>
      </c>
      <c r="D28" s="47" t="s">
        <v>10</v>
      </c>
      <c r="E28" s="47" t="s">
        <v>30</v>
      </c>
      <c r="F28" s="47" t="s">
        <v>12</v>
      </c>
      <c r="G28" s="47" t="s">
        <v>55</v>
      </c>
      <c r="H28" s="47"/>
      <c r="I28" s="47"/>
      <c r="J28" s="47"/>
      <c r="K28" s="47"/>
    </row>
    <row r="29" spans="1:11" ht="14.5" customHeight="1" thickBot="1">
      <c r="A29" s="48"/>
      <c r="B29"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8"/>
      <c r="D29" s="48"/>
      <c r="E29" s="48"/>
      <c r="F29" s="48"/>
      <c r="G29" s="48" t="s">
        <v>103</v>
      </c>
      <c r="H29" s="48" t="s">
        <v>150</v>
      </c>
      <c r="I29" s="48" t="s">
        <v>94</v>
      </c>
      <c r="J29" s="48" t="s">
        <v>88</v>
      </c>
      <c r="K29" s="48"/>
    </row>
    <row r="30" spans="1:11" ht="14.5" customHeight="1">
      <c r="A30" s="51" t="s">
        <v>431</v>
      </c>
      <c r="B3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0" s="51" t="s">
        <v>11</v>
      </c>
      <c r="D30" s="51" t="s">
        <v>25</v>
      </c>
      <c r="E30" s="51" t="s">
        <v>13</v>
      </c>
      <c r="F30" s="51" t="s">
        <v>31</v>
      </c>
      <c r="G30" s="51" t="s">
        <v>139</v>
      </c>
      <c r="H30" s="51" t="s">
        <v>351</v>
      </c>
      <c r="I30" s="51" t="s">
        <v>90</v>
      </c>
      <c r="J30" s="51" t="s">
        <v>95</v>
      </c>
      <c r="K30" s="51">
        <f>COUNTA(C30:J37)</f>
        <v>36</v>
      </c>
    </row>
    <row r="31" spans="1:11" ht="14.5" customHeight="1">
      <c r="A31" s="50"/>
      <c r="B3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1" s="50"/>
      <c r="D31" s="50"/>
      <c r="E31" s="50"/>
      <c r="F31" s="50"/>
      <c r="G31" s="50" t="s">
        <v>85</v>
      </c>
      <c r="H31" s="50"/>
      <c r="I31" s="50"/>
      <c r="J31" s="50"/>
      <c r="K31" s="50"/>
    </row>
    <row r="32" spans="1:11" ht="14.5" customHeight="1">
      <c r="A32" s="47"/>
      <c r="B3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2" s="47" t="s">
        <v>18</v>
      </c>
      <c r="D32" s="47" t="s">
        <v>34</v>
      </c>
      <c r="E32" s="47" t="s">
        <v>16</v>
      </c>
      <c r="F32" s="47" t="s">
        <v>29</v>
      </c>
      <c r="G32" s="47" t="s">
        <v>49</v>
      </c>
      <c r="H32" s="47" t="s">
        <v>142</v>
      </c>
      <c r="I32" s="47" t="s">
        <v>105</v>
      </c>
      <c r="J32" s="47"/>
      <c r="K32" s="47"/>
    </row>
    <row r="33" spans="1:11" ht="14.5" customHeight="1">
      <c r="A33" s="47"/>
      <c r="B3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3" s="47"/>
      <c r="D33" s="47"/>
      <c r="E33" s="47"/>
      <c r="F33" s="47"/>
      <c r="G33" s="47" t="s">
        <v>98</v>
      </c>
      <c r="H33" s="47" t="s">
        <v>82</v>
      </c>
      <c r="I33" s="47"/>
      <c r="J33" s="47"/>
      <c r="K33" s="47"/>
    </row>
    <row r="34" spans="1:11" ht="14.5" customHeight="1">
      <c r="A34" s="47"/>
      <c r="B3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4" s="47" t="s">
        <v>32</v>
      </c>
      <c r="D34" s="47" t="s">
        <v>17</v>
      </c>
      <c r="E34" s="47" t="s">
        <v>30</v>
      </c>
      <c r="F34" s="47" t="s">
        <v>19</v>
      </c>
      <c r="G34" s="47" t="s">
        <v>101</v>
      </c>
      <c r="H34" s="47" t="s">
        <v>299</v>
      </c>
      <c r="I34" s="47"/>
      <c r="J34" s="47"/>
      <c r="K34" s="47"/>
    </row>
    <row r="35" spans="1:11" ht="14.5" customHeight="1">
      <c r="A35" s="47"/>
      <c r="B3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5" s="47"/>
      <c r="D35" s="47"/>
      <c r="E35" s="47"/>
      <c r="F35" s="47"/>
      <c r="G35" s="47" t="s">
        <v>79</v>
      </c>
      <c r="H35" s="47" t="s">
        <v>223</v>
      </c>
      <c r="I35" s="47" t="s">
        <v>224</v>
      </c>
      <c r="J35" s="47"/>
      <c r="K35" s="47"/>
    </row>
    <row r="36" spans="1:11" ht="14.5" customHeight="1">
      <c r="A36" s="47"/>
      <c r="B36"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6" s="47" t="s">
        <v>23</v>
      </c>
      <c r="D36" s="47" t="s">
        <v>24</v>
      </c>
      <c r="E36" s="47" t="s">
        <v>22</v>
      </c>
      <c r="F36" s="47" t="s">
        <v>33</v>
      </c>
      <c r="G36" s="47" t="s">
        <v>113</v>
      </c>
      <c r="H36" s="47"/>
      <c r="I36" s="47"/>
      <c r="J36" s="47"/>
      <c r="K36" s="47"/>
    </row>
    <row r="37" spans="1:11" ht="14.5" customHeight="1" thickBot="1">
      <c r="A37" s="48"/>
      <c r="B37"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7" s="48"/>
      <c r="D37" s="48"/>
      <c r="E37" s="48"/>
      <c r="F37" s="48"/>
      <c r="G37" s="48" t="s">
        <v>92</v>
      </c>
      <c r="H37" s="48" t="s">
        <v>222</v>
      </c>
      <c r="I37" s="48" t="s">
        <v>102</v>
      </c>
      <c r="J37" s="48" t="s">
        <v>75</v>
      </c>
      <c r="K37" s="48"/>
    </row>
    <row r="38" spans="1:11" ht="14.5" customHeight="1">
      <c r="A38" s="51" t="s">
        <v>432</v>
      </c>
      <c r="B38"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8" s="51" t="s">
        <v>14</v>
      </c>
      <c r="D38" s="51" t="s">
        <v>16</v>
      </c>
      <c r="E38" s="51" t="s">
        <v>29</v>
      </c>
      <c r="F38" s="51" t="s">
        <v>31</v>
      </c>
      <c r="G38" s="51" t="s">
        <v>109</v>
      </c>
      <c r="H38" s="51" t="s">
        <v>91</v>
      </c>
      <c r="I38" s="51"/>
      <c r="J38" s="51"/>
      <c r="K38" s="51">
        <f>COUNTA(C38:J46)</f>
        <v>36</v>
      </c>
    </row>
    <row r="39" spans="1:11" ht="14.5" customHeight="1">
      <c r="A39" s="50"/>
      <c r="B39"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9" s="50"/>
      <c r="D39" s="50"/>
      <c r="E39" s="50"/>
      <c r="F39" s="50"/>
      <c r="G39" s="50" t="s">
        <v>86</v>
      </c>
      <c r="H39" s="50" t="s">
        <v>70</v>
      </c>
      <c r="I39" s="50" t="s">
        <v>87</v>
      </c>
      <c r="J39" s="50"/>
      <c r="K39" s="50"/>
    </row>
    <row r="40" spans="1:11" ht="14.5" customHeight="1">
      <c r="A40" s="47"/>
      <c r="B40"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0" s="47" t="s">
        <v>28</v>
      </c>
      <c r="D40" s="47" t="s">
        <v>20</v>
      </c>
      <c r="E40" s="47" t="s">
        <v>12</v>
      </c>
      <c r="F40" s="47" t="s">
        <v>37</v>
      </c>
      <c r="G40" s="47" t="s">
        <v>111</v>
      </c>
      <c r="H40" s="47"/>
      <c r="I40" s="47"/>
      <c r="J40" s="47"/>
      <c r="K40" s="47"/>
    </row>
    <row r="41" spans="1:11" ht="14.5" customHeight="1">
      <c r="A41" s="47"/>
      <c r="B41"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1" s="47"/>
      <c r="D41" s="47"/>
      <c r="E41" s="47"/>
      <c r="F41" s="47"/>
      <c r="G41" s="47" t="s">
        <v>96</v>
      </c>
      <c r="H41" s="47" t="s">
        <v>237</v>
      </c>
      <c r="I41" s="47" t="s">
        <v>83</v>
      </c>
      <c r="J41" s="47" t="s">
        <v>67</v>
      </c>
      <c r="K41" s="47"/>
    </row>
    <row r="42" spans="1:11" ht="14.5" customHeight="1">
      <c r="A42" s="47"/>
      <c r="B42"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2" s="47" t="s">
        <v>18</v>
      </c>
      <c r="D42" s="47" t="s">
        <v>25</v>
      </c>
      <c r="E42" s="47" t="s">
        <v>36</v>
      </c>
      <c r="F42" s="47" t="s">
        <v>13</v>
      </c>
      <c r="G42" s="47"/>
      <c r="H42" s="47"/>
      <c r="I42" s="47"/>
      <c r="J42" s="47"/>
      <c r="K42" s="47"/>
    </row>
    <row r="43" spans="1:11" ht="14.5" customHeight="1">
      <c r="A43" s="47"/>
      <c r="B43"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3" s="47"/>
      <c r="D43" s="47"/>
      <c r="E43" s="47"/>
      <c r="F43" s="47"/>
      <c r="G43" s="47" t="s">
        <v>104</v>
      </c>
      <c r="H43" s="47" t="s">
        <v>97</v>
      </c>
      <c r="I43" s="47" t="s">
        <v>98</v>
      </c>
      <c r="J43" s="47" t="s">
        <v>59</v>
      </c>
      <c r="K43" s="47"/>
    </row>
    <row r="44" spans="1:11" ht="14.5" customHeight="1">
      <c r="A44" s="47"/>
      <c r="B44"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4" s="47" t="s">
        <v>21</v>
      </c>
      <c r="D44" s="47" t="s">
        <v>34</v>
      </c>
      <c r="E44" s="47" t="s">
        <v>15</v>
      </c>
      <c r="F44" s="47" t="s">
        <v>27</v>
      </c>
      <c r="G44" s="47" t="s">
        <v>92</v>
      </c>
      <c r="H44" s="47"/>
      <c r="I44" s="47"/>
      <c r="J44" s="47"/>
      <c r="K44" s="47"/>
    </row>
    <row r="45" spans="1:11" ht="14.5" customHeight="1">
      <c r="A45" s="47"/>
      <c r="B45"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5" s="47"/>
      <c r="D45" s="47"/>
      <c r="E45" s="47"/>
      <c r="F45" s="47"/>
      <c r="G45" s="47" t="s">
        <v>80</v>
      </c>
      <c r="H45" s="47" t="s">
        <v>89</v>
      </c>
      <c r="I45" s="47"/>
      <c r="J45" s="47"/>
      <c r="K45" s="47"/>
    </row>
    <row r="46" spans="1:11" ht="14.5" customHeight="1" thickBot="1">
      <c r="A46" s="48"/>
      <c r="B46"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6" s="48"/>
      <c r="D46" s="48"/>
      <c r="E46" s="48"/>
      <c r="F46" s="48"/>
      <c r="G46" s="48" t="s">
        <v>95</v>
      </c>
      <c r="H46" s="48" t="s">
        <v>99</v>
      </c>
      <c r="I46" s="48" t="s">
        <v>351</v>
      </c>
      <c r="J46" s="48"/>
      <c r="K46" s="48"/>
    </row>
    <row r="47" spans="1:11" ht="14.5" customHeight="1">
      <c r="A47" s="51" t="s">
        <v>434</v>
      </c>
      <c r="B47"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7" s="51" t="s">
        <v>11</v>
      </c>
      <c r="D47" s="51" t="s">
        <v>10</v>
      </c>
      <c r="E47" s="51" t="s">
        <v>35</v>
      </c>
      <c r="F47" s="51" t="s">
        <v>26</v>
      </c>
      <c r="G47" s="51" t="s">
        <v>82</v>
      </c>
      <c r="H47" s="51" t="s">
        <v>87</v>
      </c>
      <c r="I47" s="51" t="s">
        <v>142</v>
      </c>
      <c r="J47" s="51"/>
      <c r="K47" s="51">
        <f>COUNTA(C47:J54)</f>
        <v>36</v>
      </c>
    </row>
    <row r="48" spans="1:11" ht="14.5" customHeight="1">
      <c r="A48" s="50"/>
      <c r="B48"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8" s="50"/>
      <c r="D48" s="50"/>
      <c r="E48" s="50"/>
      <c r="F48" s="50"/>
      <c r="G48" s="50" t="s">
        <v>111</v>
      </c>
      <c r="H48" s="50" t="s">
        <v>55</v>
      </c>
      <c r="I48" s="50"/>
      <c r="J48" s="50"/>
      <c r="K48" s="50"/>
    </row>
    <row r="49" spans="1:15" ht="14.5" customHeight="1">
      <c r="A49" s="47"/>
      <c r="B49"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9" s="47" t="s">
        <v>21</v>
      </c>
      <c r="D49" s="47" t="s">
        <v>24</v>
      </c>
      <c r="E49" s="47" t="s">
        <v>16</v>
      </c>
      <c r="F49" s="47" t="s">
        <v>33</v>
      </c>
      <c r="G49" s="47" t="s">
        <v>88</v>
      </c>
      <c r="H49" s="47" t="s">
        <v>67</v>
      </c>
      <c r="I49" s="47" t="s">
        <v>112</v>
      </c>
      <c r="J49" s="47"/>
      <c r="K49" s="47"/>
    </row>
    <row r="50" spans="1:15" ht="14.5" customHeight="1">
      <c r="A50" s="47"/>
      <c r="B50"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0" s="47"/>
      <c r="D50" s="47"/>
      <c r="E50" s="47"/>
      <c r="F50" s="47"/>
      <c r="G50" s="47" t="s">
        <v>79</v>
      </c>
      <c r="H50" s="47" t="s">
        <v>105</v>
      </c>
      <c r="I50" s="47"/>
      <c r="J50" s="47"/>
      <c r="K50" s="47"/>
    </row>
    <row r="51" spans="1:15" ht="14.5" customHeight="1">
      <c r="A51" s="47"/>
      <c r="B51"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1" s="47" t="s">
        <v>28</v>
      </c>
      <c r="D51" s="47" t="s">
        <v>17</v>
      </c>
      <c r="E51" s="47" t="s">
        <v>15</v>
      </c>
      <c r="F51" s="47" t="s">
        <v>37</v>
      </c>
      <c r="G51" s="47" t="s">
        <v>85</v>
      </c>
      <c r="H51" s="47" t="s">
        <v>113</v>
      </c>
      <c r="I51" s="47"/>
      <c r="J51" s="47"/>
      <c r="K51" s="47"/>
    </row>
    <row r="52" spans="1:15" ht="14.5" customHeight="1">
      <c r="A52" s="47"/>
      <c r="B52"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2" s="47"/>
      <c r="D52" s="47"/>
      <c r="E52" s="47"/>
      <c r="F52" s="47"/>
      <c r="G52" s="47" t="s">
        <v>103</v>
      </c>
      <c r="H52" s="47" t="s">
        <v>237</v>
      </c>
      <c r="I52" s="47" t="s">
        <v>139</v>
      </c>
      <c r="J52" s="47"/>
      <c r="K52" s="47"/>
    </row>
    <row r="53" spans="1:15" ht="14.5" customHeight="1">
      <c r="A53" s="47"/>
      <c r="B53"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3" s="47" t="s">
        <v>23</v>
      </c>
      <c r="D53" s="47" t="s">
        <v>20</v>
      </c>
      <c r="E53" s="47" t="s">
        <v>29</v>
      </c>
      <c r="F53" s="47" t="s">
        <v>31</v>
      </c>
      <c r="G53" s="47" t="s">
        <v>96</v>
      </c>
      <c r="H53" s="47"/>
      <c r="I53" s="47"/>
      <c r="J53" s="47"/>
      <c r="K53" s="47"/>
    </row>
    <row r="54" spans="1:15" ht="14.5" customHeight="1" thickBot="1">
      <c r="A54" s="48"/>
      <c r="B54"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4" s="48"/>
      <c r="D54" s="48"/>
      <c r="E54" s="48"/>
      <c r="F54" s="48"/>
      <c r="G54" s="48" t="s">
        <v>86</v>
      </c>
      <c r="H54" s="48" t="s">
        <v>93</v>
      </c>
      <c r="I54" s="48" t="s">
        <v>223</v>
      </c>
      <c r="J54" s="48" t="s">
        <v>70</v>
      </c>
      <c r="K54" s="48"/>
    </row>
    <row r="55" spans="1:15" ht="14.5" customHeight="1">
      <c r="A55" s="51" t="s">
        <v>435</v>
      </c>
      <c r="B55"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5" s="51" t="s">
        <v>11</v>
      </c>
      <c r="D55" s="51" t="s">
        <v>25</v>
      </c>
      <c r="E55" s="51" t="s">
        <v>35</v>
      </c>
      <c r="F55" s="51" t="s">
        <v>19</v>
      </c>
      <c r="G55" s="51" t="s">
        <v>102</v>
      </c>
      <c r="H55" s="51" t="s">
        <v>299</v>
      </c>
      <c r="I55" s="51" t="s">
        <v>49</v>
      </c>
      <c r="J55" s="51"/>
      <c r="K55" s="51">
        <f>COUNTA(C55:J61)</f>
        <v>31</v>
      </c>
    </row>
    <row r="56" spans="1:15" ht="14.5" customHeight="1">
      <c r="A56" s="50"/>
      <c r="B56"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6" s="50"/>
      <c r="D56" s="50"/>
      <c r="E56" s="50"/>
      <c r="F56" s="50"/>
      <c r="G56" s="50" t="s">
        <v>91</v>
      </c>
      <c r="H56" s="50" t="s">
        <v>90</v>
      </c>
      <c r="I56" s="50"/>
      <c r="J56" s="50"/>
      <c r="K56" s="50"/>
    </row>
    <row r="57" spans="1:15" ht="14.5" customHeight="1">
      <c r="A57" s="47"/>
      <c r="B57"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7" s="47" t="s">
        <v>18</v>
      </c>
      <c r="D57" s="47" t="s">
        <v>34</v>
      </c>
      <c r="E57" s="47" t="s">
        <v>22</v>
      </c>
      <c r="F57" s="47" t="s">
        <v>27</v>
      </c>
      <c r="G57" s="47" t="s">
        <v>109</v>
      </c>
      <c r="H57" s="47" t="s">
        <v>100</v>
      </c>
      <c r="I57" s="47"/>
      <c r="J57" s="47"/>
      <c r="K57" s="47"/>
    </row>
    <row r="58" spans="1:15" ht="14.5" customHeight="1">
      <c r="A58" s="47"/>
      <c r="B58"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8" s="47"/>
      <c r="D58" s="47"/>
      <c r="E58" s="47"/>
      <c r="F58" s="47"/>
      <c r="G58" s="47" t="s">
        <v>222</v>
      </c>
      <c r="H58" s="47" t="s">
        <v>75</v>
      </c>
      <c r="I58" s="47" t="s">
        <v>150</v>
      </c>
      <c r="J58" s="47"/>
      <c r="K58" s="47"/>
    </row>
    <row r="59" spans="1:15" ht="14.5" customHeight="1">
      <c r="A59" s="47"/>
      <c r="B59"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9" s="47" t="s">
        <v>14</v>
      </c>
      <c r="D59" s="47" t="s">
        <v>36</v>
      </c>
      <c r="E59" s="47" t="s">
        <v>13</v>
      </c>
      <c r="F59" s="47" t="s">
        <v>26</v>
      </c>
      <c r="G59" s="47" t="s">
        <v>350</v>
      </c>
      <c r="H59" s="47"/>
      <c r="I59" s="47"/>
      <c r="J59" s="47"/>
      <c r="K59" s="47"/>
    </row>
    <row r="60" spans="1:15" ht="14.5" customHeight="1">
      <c r="A60" s="47"/>
      <c r="B60"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0" s="47"/>
      <c r="D60" s="47"/>
      <c r="E60" s="47"/>
      <c r="F60" s="47"/>
      <c r="G60" s="47" t="s">
        <v>94</v>
      </c>
      <c r="H60" s="47" t="s">
        <v>101</v>
      </c>
      <c r="I60" s="47" t="s">
        <v>83</v>
      </c>
      <c r="J60" s="47" t="s">
        <v>224</v>
      </c>
      <c r="K60" s="47"/>
    </row>
    <row r="61" spans="1:15" ht="14.5" customHeight="1" thickBot="1">
      <c r="A61" s="52"/>
      <c r="B61" s="52"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1" s="52" t="s">
        <v>32</v>
      </c>
      <c r="D61" s="52" t="s">
        <v>10</v>
      </c>
      <c r="E61" s="52" t="s">
        <v>30</v>
      </c>
      <c r="F61" s="52" t="s">
        <v>12</v>
      </c>
      <c r="G61" s="52"/>
      <c r="H61" s="52"/>
      <c r="I61" s="52"/>
      <c r="J61" s="52"/>
      <c r="K61" s="52"/>
    </row>
    <row r="62" spans="1:15" ht="14.5" customHeight="1">
      <c r="A62" s="45"/>
      <c r="B62" s="45"/>
      <c r="C62" s="45"/>
      <c r="D62" s="45"/>
      <c r="E62" s="45"/>
      <c r="F62" s="45"/>
      <c r="G62" s="45"/>
      <c r="H62" s="45"/>
      <c r="I62" s="45"/>
      <c r="J62" s="45"/>
      <c r="K62" s="45"/>
    </row>
    <row r="63" spans="1:15" ht="20" customHeight="1">
      <c r="A63" s="136" t="s">
        <v>825</v>
      </c>
      <c r="B63" s="136"/>
      <c r="C63" s="136"/>
      <c r="D63" s="136"/>
      <c r="E63" s="136"/>
      <c r="F63" s="136"/>
      <c r="G63" s="136"/>
      <c r="H63" s="136"/>
      <c r="I63" s="136"/>
      <c r="J63" s="136"/>
      <c r="K63" s="136"/>
      <c r="L63" s="136"/>
      <c r="M63" s="136"/>
      <c r="N63" s="136"/>
      <c r="O63" s="136"/>
    </row>
    <row r="64" spans="1:15" ht="14.5" customHeight="1">
      <c r="A64" s="18"/>
      <c r="B64" s="19" t="s">
        <v>314</v>
      </c>
      <c r="C64" s="135" t="s">
        <v>761</v>
      </c>
      <c r="D64" s="135"/>
      <c r="E64" s="135"/>
      <c r="F64" s="135" t="s">
        <v>755</v>
      </c>
      <c r="G64" s="135"/>
      <c r="H64" s="18"/>
      <c r="I64" s="19" t="s">
        <v>314</v>
      </c>
      <c r="J64" s="135" t="s">
        <v>770</v>
      </c>
      <c r="K64" s="135"/>
      <c r="L64" s="135"/>
      <c r="M64" s="135" t="s">
        <v>755</v>
      </c>
      <c r="N64" s="135"/>
      <c r="O64" s="18"/>
    </row>
    <row r="65" spans="1:15" ht="14.5" customHeight="1">
      <c r="A65" s="18"/>
      <c r="B65" s="20">
        <v>1</v>
      </c>
      <c r="C65" s="134" t="s">
        <v>1101</v>
      </c>
      <c r="D65" s="134"/>
      <c r="E65" s="134"/>
      <c r="F65" s="134" t="s">
        <v>840</v>
      </c>
      <c r="G65" s="134"/>
      <c r="H65" s="18"/>
      <c r="I65" s="20">
        <v>9</v>
      </c>
      <c r="J65" s="134" t="s">
        <v>1109</v>
      </c>
      <c r="K65" s="134"/>
      <c r="L65" s="134"/>
      <c r="M65" s="134" t="s">
        <v>840</v>
      </c>
      <c r="N65" s="134"/>
      <c r="O65" s="18"/>
    </row>
    <row r="66" spans="1:15" ht="14.5" customHeight="1">
      <c r="A66" s="18"/>
      <c r="B66" s="20">
        <v>2</v>
      </c>
      <c r="C66" s="134" t="s">
        <v>1102</v>
      </c>
      <c r="D66" s="134"/>
      <c r="E66" s="134"/>
      <c r="F66" s="134" t="s">
        <v>840</v>
      </c>
      <c r="G66" s="134"/>
      <c r="H66" s="18"/>
      <c r="I66" s="20">
        <v>10</v>
      </c>
      <c r="J66" s="134" t="s">
        <v>1110</v>
      </c>
      <c r="K66" s="134"/>
      <c r="L66" s="134"/>
      <c r="M66" s="134" t="s">
        <v>840</v>
      </c>
      <c r="N66" s="134"/>
      <c r="O66" s="18"/>
    </row>
    <row r="67" spans="1:15" ht="14.5" customHeight="1">
      <c r="A67" s="18"/>
      <c r="B67" s="20">
        <v>3</v>
      </c>
      <c r="C67" s="134" t="s">
        <v>1103</v>
      </c>
      <c r="D67" s="134"/>
      <c r="E67" s="134"/>
      <c r="F67" s="134" t="s">
        <v>840</v>
      </c>
      <c r="G67" s="134"/>
      <c r="H67" s="18"/>
      <c r="I67" s="20">
        <v>11</v>
      </c>
      <c r="J67" s="134" t="s">
        <v>1111</v>
      </c>
      <c r="K67" s="134"/>
      <c r="L67" s="134"/>
      <c r="M67" s="134" t="s">
        <v>840</v>
      </c>
      <c r="N67" s="134"/>
      <c r="O67" s="18"/>
    </row>
    <row r="68" spans="1:15" ht="14.5" customHeight="1">
      <c r="A68" s="18"/>
      <c r="B68" s="20">
        <v>4</v>
      </c>
      <c r="C68" s="134" t="s">
        <v>1104</v>
      </c>
      <c r="D68" s="134"/>
      <c r="E68" s="134"/>
      <c r="F68" s="134" t="s">
        <v>841</v>
      </c>
      <c r="G68" s="134"/>
      <c r="H68" s="18"/>
      <c r="I68" s="20">
        <v>12</v>
      </c>
      <c r="J68" s="134" t="s">
        <v>1112</v>
      </c>
      <c r="K68" s="134"/>
      <c r="L68" s="134"/>
      <c r="M68" s="134" t="s">
        <v>841</v>
      </c>
      <c r="N68" s="134"/>
      <c r="O68" s="18"/>
    </row>
    <row r="69" spans="1:15" ht="14.5" customHeight="1">
      <c r="A69" s="18"/>
      <c r="B69" s="20">
        <v>5</v>
      </c>
      <c r="C69" s="134" t="s">
        <v>1105</v>
      </c>
      <c r="D69" s="134"/>
      <c r="E69" s="134"/>
      <c r="F69" s="134" t="s">
        <v>841</v>
      </c>
      <c r="G69" s="134"/>
      <c r="H69" s="18"/>
      <c r="I69" s="20">
        <v>13</v>
      </c>
      <c r="J69" s="134" t="s">
        <v>1113</v>
      </c>
      <c r="K69" s="134"/>
      <c r="L69" s="134"/>
      <c r="M69" s="134" t="s">
        <v>841</v>
      </c>
      <c r="N69" s="134"/>
      <c r="O69" s="18"/>
    </row>
    <row r="70" spans="1:15" ht="14.5" customHeight="1">
      <c r="A70" s="18"/>
      <c r="B70" s="20">
        <v>6</v>
      </c>
      <c r="C70" s="134" t="s">
        <v>1106</v>
      </c>
      <c r="D70" s="134"/>
      <c r="E70" s="134"/>
      <c r="F70" s="134" t="s">
        <v>841</v>
      </c>
      <c r="G70" s="134"/>
      <c r="H70" s="18"/>
      <c r="I70" s="20">
        <v>14</v>
      </c>
      <c r="J70" s="134" t="s">
        <v>1114</v>
      </c>
      <c r="K70" s="134"/>
      <c r="L70" s="134"/>
      <c r="M70" s="134" t="s">
        <v>841</v>
      </c>
      <c r="N70" s="134"/>
      <c r="O70" s="18"/>
    </row>
    <row r="71" spans="1:15" ht="14.5" customHeight="1">
      <c r="A71" s="18"/>
      <c r="B71" s="20">
        <v>7</v>
      </c>
      <c r="C71" s="134" t="s">
        <v>1107</v>
      </c>
      <c r="D71" s="134"/>
      <c r="E71" s="134"/>
      <c r="F71" s="134" t="s">
        <v>847</v>
      </c>
      <c r="G71" s="134"/>
      <c r="H71" s="18"/>
      <c r="I71" s="20">
        <v>15</v>
      </c>
      <c r="J71" s="134" t="s">
        <v>1115</v>
      </c>
      <c r="K71" s="134"/>
      <c r="L71" s="134"/>
      <c r="M71" s="134" t="s">
        <v>841</v>
      </c>
      <c r="N71" s="134"/>
      <c r="O71" s="18"/>
    </row>
    <row r="72" spans="1:15" ht="14.5" customHeight="1">
      <c r="A72" s="18"/>
      <c r="B72" s="20">
        <v>8</v>
      </c>
      <c r="C72" s="134" t="s">
        <v>1108</v>
      </c>
      <c r="D72" s="134"/>
      <c r="E72" s="134"/>
      <c r="F72" s="134" t="s">
        <v>847</v>
      </c>
      <c r="G72" s="134"/>
      <c r="H72" s="18"/>
      <c r="I72" s="20">
        <v>16</v>
      </c>
      <c r="J72" s="134" t="s">
        <v>1116</v>
      </c>
      <c r="K72" s="134"/>
      <c r="L72" s="134"/>
      <c r="M72" s="134" t="s">
        <v>841</v>
      </c>
      <c r="N72" s="134"/>
      <c r="O72" s="18"/>
    </row>
    <row r="73" spans="1:15" ht="14.5" customHeight="1">
      <c r="A73" s="18"/>
      <c r="B73" s="18"/>
      <c r="C73" s="18"/>
      <c r="D73" s="18"/>
      <c r="E73" s="18"/>
      <c r="F73" s="18"/>
      <c r="G73" s="18"/>
      <c r="H73" s="18"/>
      <c r="I73" s="20">
        <v>17</v>
      </c>
      <c r="J73" s="134" t="s">
        <v>1117</v>
      </c>
      <c r="K73" s="134"/>
      <c r="L73" s="134"/>
      <c r="M73" s="134" t="s">
        <v>847</v>
      </c>
      <c r="N73" s="134"/>
      <c r="O73" s="18"/>
    </row>
    <row r="74" spans="1:15" ht="14.5" customHeight="1">
      <c r="A74" s="18"/>
      <c r="B74" s="18"/>
      <c r="C74" s="18"/>
      <c r="D74" s="18"/>
      <c r="E74" s="18"/>
      <c r="F74" s="18"/>
      <c r="G74" s="18"/>
      <c r="H74" s="18"/>
      <c r="I74" s="20">
        <v>18</v>
      </c>
      <c r="J74" s="134" t="s">
        <v>1118</v>
      </c>
      <c r="K74" s="134"/>
      <c r="L74" s="134"/>
      <c r="M74" s="134" t="s">
        <v>847</v>
      </c>
      <c r="N74" s="134"/>
      <c r="O74" s="18"/>
    </row>
    <row r="75" spans="1:15" ht="14.5" customHeight="1">
      <c r="A75" s="18"/>
      <c r="B75" s="18"/>
      <c r="C75" s="18"/>
      <c r="D75" s="18"/>
      <c r="E75" s="18"/>
      <c r="F75" s="18"/>
      <c r="G75" s="18"/>
      <c r="H75" s="18"/>
      <c r="I75" s="18"/>
      <c r="J75" s="18"/>
      <c r="K75" s="18"/>
      <c r="L75" s="18"/>
      <c r="M75" s="18"/>
      <c r="N75" s="18"/>
      <c r="O75" s="18"/>
    </row>
    <row r="76" spans="1:15" ht="14.5" customHeight="1">
      <c r="A76" s="18"/>
      <c r="B76" s="18"/>
      <c r="C76" s="18"/>
      <c r="D76" s="18"/>
      <c r="E76" s="18"/>
      <c r="F76" s="18"/>
      <c r="G76" s="18"/>
      <c r="H76" s="18"/>
      <c r="I76" s="18"/>
      <c r="J76" s="18"/>
      <c r="K76" s="18"/>
      <c r="L76" s="18"/>
      <c r="M76" s="18"/>
      <c r="N76" s="18"/>
      <c r="O76" s="18"/>
    </row>
    <row r="77" spans="1:15" ht="14.5" customHeight="1"/>
    <row r="78" spans="1:15" ht="14.5" customHeight="1"/>
    <row r="79" spans="1:15" ht="14.5" customHeight="1"/>
    <row r="80" spans="1:15" ht="14.5" customHeight="1"/>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sheetData>
  <mergeCells count="44">
    <mergeCell ref="C67:E67"/>
    <mergeCell ref="F67:G67"/>
    <mergeCell ref="C68:E68"/>
    <mergeCell ref="A1:K1"/>
    <mergeCell ref="C2:F2"/>
    <mergeCell ref="G2:J2"/>
    <mergeCell ref="A63:O63"/>
    <mergeCell ref="C64:E64"/>
    <mergeCell ref="F64:G64"/>
    <mergeCell ref="C71:E71"/>
    <mergeCell ref="F71:G71"/>
    <mergeCell ref="C72:E72"/>
    <mergeCell ref="F72:G72"/>
    <mergeCell ref="J64:L64"/>
    <mergeCell ref="J67:L67"/>
    <mergeCell ref="J70:L70"/>
    <mergeCell ref="F68:G68"/>
    <mergeCell ref="C69:E69"/>
    <mergeCell ref="F69:G69"/>
    <mergeCell ref="C70:E70"/>
    <mergeCell ref="F70:G70"/>
    <mergeCell ref="C65:E65"/>
    <mergeCell ref="F65:G65"/>
    <mergeCell ref="C66:E66"/>
    <mergeCell ref="F66:G66"/>
    <mergeCell ref="M64:N64"/>
    <mergeCell ref="J65:L65"/>
    <mergeCell ref="M65:N65"/>
    <mergeCell ref="J66:L66"/>
    <mergeCell ref="M66:N66"/>
    <mergeCell ref="M67:N67"/>
    <mergeCell ref="J68:L68"/>
    <mergeCell ref="M68:N68"/>
    <mergeCell ref="J69:L69"/>
    <mergeCell ref="M69:N69"/>
    <mergeCell ref="J73:L73"/>
    <mergeCell ref="M73:N73"/>
    <mergeCell ref="J74:L74"/>
    <mergeCell ref="M74:N74"/>
    <mergeCell ref="M70:N70"/>
    <mergeCell ref="J71:L71"/>
    <mergeCell ref="M71:N71"/>
    <mergeCell ref="J72:L72"/>
    <mergeCell ref="M72:N7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0DB34-F37E-43B1-A4ED-C9A225F18DA2}">
  <dimension ref="A1:O96"/>
  <sheetViews>
    <sheetView showGridLines="0" rightToLeft="1" topLeftCell="B1" workbookViewId="0">
      <pane ySplit="3" topLeftCell="A55" activePane="bottomLeft" state="frozen"/>
      <selection pane="bottomLeft" activeCell="M69" sqref="I69:N78"/>
    </sheetView>
  </sheetViews>
  <sheetFormatPr defaultRowHeight="14"/>
  <cols>
    <col min="1" max="1" width="15.83203125" customWidth="1"/>
    <col min="2" max="2" width="17.5" customWidth="1"/>
    <col min="3" max="9" width="13" customWidth="1"/>
    <col min="10" max="10" width="17.5" customWidth="1"/>
    <col min="11" max="11" width="13" customWidth="1"/>
  </cols>
  <sheetData>
    <row r="1" spans="1:11" ht="26" customHeight="1">
      <c r="A1" s="119" t="s">
        <v>444</v>
      </c>
      <c r="B1" s="119"/>
      <c r="C1" s="119"/>
      <c r="D1" s="119"/>
      <c r="E1" s="119"/>
      <c r="F1" s="119"/>
      <c r="G1" s="119"/>
      <c r="H1" s="119"/>
      <c r="I1" s="119"/>
      <c r="J1" s="119"/>
      <c r="K1" s="119"/>
    </row>
    <row r="2" spans="1:11" ht="20" customHeight="1">
      <c r="A2" s="49"/>
      <c r="B2" s="49"/>
      <c r="C2" s="137" t="s">
        <v>445</v>
      </c>
      <c r="D2" s="137"/>
      <c r="E2" s="137"/>
      <c r="F2" s="137" t="s">
        <v>446</v>
      </c>
      <c r="G2" s="137"/>
      <c r="H2" s="137"/>
      <c r="I2" s="137"/>
      <c r="J2" s="49"/>
      <c r="K2" s="45"/>
    </row>
    <row r="3" spans="1:11" ht="32" customHeight="1" thickBot="1">
      <c r="A3" s="49" t="s">
        <v>426</v>
      </c>
      <c r="B3" s="49" t="s">
        <v>7</v>
      </c>
      <c r="C3" s="49" t="s">
        <v>8</v>
      </c>
      <c r="D3" s="49" t="s">
        <v>9</v>
      </c>
      <c r="E3" s="49" t="s">
        <v>84</v>
      </c>
      <c r="F3" s="49" t="s">
        <v>8</v>
      </c>
      <c r="G3" s="49" t="s">
        <v>9</v>
      </c>
      <c r="H3" s="49" t="s">
        <v>84</v>
      </c>
      <c r="I3" s="49" t="s">
        <v>119</v>
      </c>
      <c r="J3" s="49" t="s">
        <v>427</v>
      </c>
      <c r="K3" s="45"/>
    </row>
    <row r="4" spans="1:11"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15</v>
      </c>
      <c r="D4" s="51" t="s">
        <v>33</v>
      </c>
      <c r="E4" s="51"/>
      <c r="F4" s="51" t="s">
        <v>87</v>
      </c>
      <c r="G4" s="51" t="s">
        <v>97</v>
      </c>
      <c r="H4" s="51"/>
      <c r="I4" s="51"/>
      <c r="J4" s="51">
        <f>COUNTA(C4:I12)</f>
        <v>38</v>
      </c>
      <c r="K4" s="45"/>
    </row>
    <row r="5" spans="1:11"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39</v>
      </c>
      <c r="D5" s="50" t="s">
        <v>10</v>
      </c>
      <c r="E5" s="50"/>
      <c r="F5" s="50" t="s">
        <v>126</v>
      </c>
      <c r="G5" s="50" t="s">
        <v>83</v>
      </c>
      <c r="H5" s="50" t="s">
        <v>222</v>
      </c>
      <c r="I5" s="50"/>
      <c r="J5" s="50"/>
      <c r="K5" s="45"/>
    </row>
    <row r="6" spans="1:11"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26</v>
      </c>
      <c r="D6" s="47" t="s">
        <v>35</v>
      </c>
      <c r="E6" s="47"/>
      <c r="F6" s="47"/>
      <c r="G6" s="47"/>
      <c r="H6" s="47"/>
      <c r="I6" s="47"/>
      <c r="J6" s="47"/>
      <c r="K6" s="45"/>
    </row>
    <row r="7" spans="1:11"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20</v>
      </c>
      <c r="D7" s="47" t="s">
        <v>41</v>
      </c>
      <c r="E7" s="47"/>
      <c r="F7" s="47" t="s">
        <v>140</v>
      </c>
      <c r="G7" s="47" t="s">
        <v>85</v>
      </c>
      <c r="H7" s="47" t="s">
        <v>59</v>
      </c>
      <c r="I7" s="47" t="s">
        <v>90</v>
      </c>
      <c r="J7" s="47"/>
      <c r="K7" s="45"/>
    </row>
    <row r="8" spans="1:11"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32</v>
      </c>
      <c r="D8" s="47" t="s">
        <v>12</v>
      </c>
      <c r="E8" s="47"/>
      <c r="F8" s="47" t="s">
        <v>111</v>
      </c>
      <c r="G8" s="47"/>
      <c r="H8" s="47"/>
      <c r="I8" s="47"/>
      <c r="J8" s="47"/>
      <c r="K8" s="45"/>
    </row>
    <row r="9" spans="1:11"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43</v>
      </c>
      <c r="D9" s="47" t="s">
        <v>30</v>
      </c>
      <c r="E9" s="47"/>
      <c r="F9" s="47" t="s">
        <v>86</v>
      </c>
      <c r="G9" s="47" t="s">
        <v>96</v>
      </c>
      <c r="H9" s="47"/>
      <c r="I9" s="47"/>
      <c r="J9" s="47"/>
      <c r="K9" s="45"/>
    </row>
    <row r="10" spans="1:11"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18</v>
      </c>
      <c r="D10" s="47" t="s">
        <v>13</v>
      </c>
      <c r="E10" s="47"/>
      <c r="F10" s="47" t="s">
        <v>300</v>
      </c>
      <c r="G10" s="47" t="s">
        <v>103</v>
      </c>
      <c r="H10" s="47" t="s">
        <v>150</v>
      </c>
      <c r="I10" s="47"/>
      <c r="J10" s="47"/>
      <c r="K10" s="45"/>
    </row>
    <row r="11" spans="1:11"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34</v>
      </c>
      <c r="D11" s="47"/>
      <c r="E11" s="47"/>
      <c r="F11" s="47" t="s">
        <v>88</v>
      </c>
      <c r="G11" s="47"/>
      <c r="H11" s="47"/>
      <c r="I11" s="47"/>
      <c r="J11" s="47"/>
      <c r="K11" s="45"/>
    </row>
    <row r="12" spans="1:11"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16</v>
      </c>
      <c r="D12" s="48" t="s">
        <v>21</v>
      </c>
      <c r="E12" s="48" t="s">
        <v>45</v>
      </c>
      <c r="F12" s="48" t="s">
        <v>91</v>
      </c>
      <c r="G12" s="48" t="s">
        <v>113</v>
      </c>
      <c r="H12" s="48" t="s">
        <v>105</v>
      </c>
      <c r="I12" s="48" t="s">
        <v>110</v>
      </c>
      <c r="J12" s="48"/>
      <c r="K12" s="45"/>
    </row>
    <row r="13" spans="1:11"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28</v>
      </c>
      <c r="D13" s="51"/>
      <c r="E13" s="51"/>
      <c r="F13" s="51" t="s">
        <v>99</v>
      </c>
      <c r="G13" s="51" t="s">
        <v>98</v>
      </c>
      <c r="H13" s="51"/>
      <c r="I13" s="51"/>
      <c r="J13" s="51">
        <f>COUNTA(C13:I22)</f>
        <v>38</v>
      </c>
      <c r="K13" s="45"/>
    </row>
    <row r="14" spans="1:11"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37</v>
      </c>
      <c r="D14" s="50"/>
      <c r="E14" s="50"/>
      <c r="F14" s="50" t="s">
        <v>109</v>
      </c>
      <c r="G14" s="50" t="s">
        <v>75</v>
      </c>
      <c r="H14" s="50" t="s">
        <v>349</v>
      </c>
      <c r="I14" s="50"/>
      <c r="J14" s="50"/>
      <c r="K14" s="45"/>
    </row>
    <row r="15" spans="1:11"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22</v>
      </c>
      <c r="D15" s="47" t="s">
        <v>40</v>
      </c>
      <c r="E15" s="47"/>
      <c r="F15" s="47"/>
      <c r="G15" s="47"/>
      <c r="H15" s="47"/>
      <c r="I15" s="47"/>
      <c r="J15" s="47"/>
      <c r="K15" s="45"/>
    </row>
    <row r="16" spans="1:11"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14</v>
      </c>
      <c r="D16" s="47" t="s">
        <v>27</v>
      </c>
      <c r="E16" s="47"/>
      <c r="F16" s="47" t="s">
        <v>142</v>
      </c>
      <c r="G16" s="47" t="s">
        <v>139</v>
      </c>
      <c r="H16" s="47" t="s">
        <v>224</v>
      </c>
      <c r="I16" s="47" t="s">
        <v>135</v>
      </c>
      <c r="J16" s="47"/>
      <c r="K16" s="45"/>
    </row>
    <row r="17" spans="1:11"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38</v>
      </c>
      <c r="D17" s="47" t="s">
        <v>36</v>
      </c>
      <c r="E17" s="47"/>
      <c r="F17" s="47" t="s">
        <v>351</v>
      </c>
      <c r="G17" s="47"/>
      <c r="H17" s="47"/>
      <c r="I17" s="47"/>
      <c r="J17" s="47"/>
      <c r="K17" s="45"/>
    </row>
    <row r="18" spans="1:11"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19</v>
      </c>
      <c r="D18" s="47" t="s">
        <v>25</v>
      </c>
      <c r="E18" s="47"/>
      <c r="F18" s="47" t="s">
        <v>89</v>
      </c>
      <c r="G18" s="47" t="s">
        <v>94</v>
      </c>
      <c r="H18" s="47" t="s">
        <v>106</v>
      </c>
      <c r="I18" s="47"/>
      <c r="J18" s="47"/>
      <c r="K18" s="45"/>
    </row>
    <row r="19" spans="1:11"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44</v>
      </c>
      <c r="D19" s="47" t="s">
        <v>11</v>
      </c>
      <c r="E19" s="47"/>
      <c r="F19" s="47" t="s">
        <v>67</v>
      </c>
      <c r="G19" s="47" t="s">
        <v>223</v>
      </c>
      <c r="H19" s="47"/>
      <c r="I19" s="47"/>
      <c r="J19" s="47"/>
      <c r="K19" s="45"/>
    </row>
    <row r="20" spans="1:11"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24</v>
      </c>
      <c r="D20" s="47" t="s">
        <v>29</v>
      </c>
      <c r="E20" s="47"/>
      <c r="F20" s="47" t="s">
        <v>108</v>
      </c>
      <c r="G20" s="47"/>
      <c r="H20" s="47"/>
      <c r="I20" s="47"/>
      <c r="J20" s="47"/>
      <c r="K20" s="45"/>
    </row>
    <row r="21" spans="1:11" ht="14.5" customHeight="1">
      <c r="A21" s="47"/>
      <c r="B21"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7" t="s">
        <v>23</v>
      </c>
      <c r="D21" s="47"/>
      <c r="E21" s="47"/>
      <c r="F21" s="47" t="s">
        <v>299</v>
      </c>
      <c r="G21" s="47" t="s">
        <v>104</v>
      </c>
      <c r="H21" s="47" t="s">
        <v>93</v>
      </c>
      <c r="I21" s="47" t="s">
        <v>82</v>
      </c>
      <c r="J21" s="47"/>
      <c r="K21" s="45"/>
    </row>
    <row r="22" spans="1:11" ht="14.5" customHeight="1" thickBot="1">
      <c r="A22" s="48"/>
      <c r="B22"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22" s="48" t="s">
        <v>31</v>
      </c>
      <c r="D22" s="48" t="s">
        <v>42</v>
      </c>
      <c r="E22" s="48" t="s">
        <v>17</v>
      </c>
      <c r="F22" s="48"/>
      <c r="G22" s="48"/>
      <c r="H22" s="48"/>
      <c r="I22" s="48"/>
      <c r="J22" s="48"/>
      <c r="K22" s="45"/>
    </row>
    <row r="23" spans="1:11" ht="14.5" customHeight="1">
      <c r="A23" s="51" t="s">
        <v>430</v>
      </c>
      <c r="B2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3" s="51" t="s">
        <v>37</v>
      </c>
      <c r="D23" s="51" t="s">
        <v>38</v>
      </c>
      <c r="E23" s="51"/>
      <c r="F23" s="51" t="s">
        <v>101</v>
      </c>
      <c r="G23" s="51" t="s">
        <v>112</v>
      </c>
      <c r="H23" s="51" t="s">
        <v>107</v>
      </c>
      <c r="I23" s="51" t="s">
        <v>80</v>
      </c>
      <c r="J23" s="51">
        <f>COUNTA(C23:I31)</f>
        <v>38</v>
      </c>
      <c r="K23" s="45"/>
    </row>
    <row r="24" spans="1:11" ht="14.5" customHeight="1">
      <c r="A24" s="50"/>
      <c r="B2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4" s="50" t="s">
        <v>20</v>
      </c>
      <c r="D24" s="50"/>
      <c r="E24" s="50"/>
      <c r="F24" s="50" t="s">
        <v>102</v>
      </c>
      <c r="G24" s="50"/>
      <c r="H24" s="50"/>
      <c r="I24" s="50"/>
      <c r="J24" s="50"/>
      <c r="K24" s="45"/>
    </row>
    <row r="25" spans="1:11" ht="14.5" customHeight="1">
      <c r="A25" s="47"/>
      <c r="B2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5" s="47" t="s">
        <v>26</v>
      </c>
      <c r="D25" s="47" t="s">
        <v>32</v>
      </c>
      <c r="E25" s="47" t="s">
        <v>41</v>
      </c>
      <c r="F25" s="47" t="s">
        <v>349</v>
      </c>
      <c r="G25" s="47" t="s">
        <v>97</v>
      </c>
      <c r="H25" s="47" t="s">
        <v>83</v>
      </c>
      <c r="I25" s="47"/>
      <c r="J25" s="47"/>
      <c r="K25" s="45"/>
    </row>
    <row r="26" spans="1:11" ht="14.5" customHeight="1">
      <c r="A26" s="47"/>
      <c r="B2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6" s="47" t="s">
        <v>22</v>
      </c>
      <c r="D26" s="47"/>
      <c r="E26" s="47"/>
      <c r="F26" s="47" t="s">
        <v>111</v>
      </c>
      <c r="G26" s="47" t="s">
        <v>88</v>
      </c>
      <c r="H26" s="47"/>
      <c r="I26" s="47"/>
      <c r="J26" s="47"/>
      <c r="K26" s="45"/>
    </row>
    <row r="27" spans="1:11" ht="14.5" customHeight="1">
      <c r="A27" s="47"/>
      <c r="B2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7" s="47" t="s">
        <v>25</v>
      </c>
      <c r="D27" s="47" t="s">
        <v>19</v>
      </c>
      <c r="E27" s="47" t="s">
        <v>39</v>
      </c>
      <c r="F27" s="47" t="s">
        <v>75</v>
      </c>
      <c r="G27" s="47" t="s">
        <v>113</v>
      </c>
      <c r="H27" s="47"/>
      <c r="I27" s="47"/>
      <c r="J27" s="47"/>
      <c r="K27" s="45"/>
    </row>
    <row r="28" spans="1:11" ht="14.5" customHeight="1">
      <c r="A28" s="47"/>
      <c r="B2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8" s="47" t="s">
        <v>36</v>
      </c>
      <c r="D28" s="47"/>
      <c r="E28" s="47"/>
      <c r="F28" s="47" t="s">
        <v>108</v>
      </c>
      <c r="G28" s="47" t="s">
        <v>91</v>
      </c>
      <c r="H28" s="47" t="s">
        <v>104</v>
      </c>
      <c r="I28" s="47"/>
      <c r="J28" s="47"/>
      <c r="K28" s="45"/>
    </row>
    <row r="29" spans="1:11" ht="14.5" customHeight="1">
      <c r="A29" s="47"/>
      <c r="B2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9" s="47" t="s">
        <v>21</v>
      </c>
      <c r="D29" s="47" t="s">
        <v>45</v>
      </c>
      <c r="E29" s="47" t="s">
        <v>24</v>
      </c>
      <c r="F29" s="47" t="s">
        <v>67</v>
      </c>
      <c r="G29" s="47"/>
      <c r="H29" s="47"/>
      <c r="I29" s="47"/>
      <c r="J29" s="47"/>
      <c r="K29" s="45"/>
    </row>
    <row r="30" spans="1:11" ht="14.5" customHeight="1">
      <c r="A30" s="47"/>
      <c r="B3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0" s="47" t="s">
        <v>16</v>
      </c>
      <c r="D30" s="47"/>
      <c r="E30" s="47"/>
      <c r="F30" s="47" t="s">
        <v>300</v>
      </c>
      <c r="G30" s="47" t="s">
        <v>86</v>
      </c>
      <c r="H30" s="47" t="s">
        <v>223</v>
      </c>
      <c r="I30" s="47" t="s">
        <v>96</v>
      </c>
      <c r="J30" s="47"/>
      <c r="K30" s="45"/>
    </row>
    <row r="31" spans="1:11" ht="14.5" customHeight="1" thickBot="1">
      <c r="A31" s="48"/>
      <c r="B3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1" s="48" t="s">
        <v>12</v>
      </c>
      <c r="D31" s="48" t="s">
        <v>34</v>
      </c>
      <c r="E31" s="48" t="s">
        <v>28</v>
      </c>
      <c r="F31" s="48"/>
      <c r="G31" s="48"/>
      <c r="H31" s="48"/>
      <c r="I31" s="48"/>
      <c r="J31" s="48"/>
      <c r="K31" s="45"/>
    </row>
    <row r="32" spans="1:11"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42</v>
      </c>
      <c r="D32" s="51" t="s">
        <v>10</v>
      </c>
      <c r="E32" s="51"/>
      <c r="F32" s="51" t="s">
        <v>82</v>
      </c>
      <c r="G32" s="51" t="s">
        <v>107</v>
      </c>
      <c r="H32" s="51" t="s">
        <v>98</v>
      </c>
      <c r="I32" s="51" t="s">
        <v>351</v>
      </c>
      <c r="J32" s="51">
        <f>COUNTA(C32:I40)</f>
        <v>38</v>
      </c>
      <c r="K32" s="45"/>
    </row>
    <row r="33" spans="1:11"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18</v>
      </c>
      <c r="D33" s="50"/>
      <c r="E33" s="50"/>
      <c r="F33" s="50" t="s">
        <v>142</v>
      </c>
      <c r="G33" s="50"/>
      <c r="H33" s="50"/>
      <c r="I33" s="50"/>
      <c r="J33" s="50"/>
      <c r="K33" s="45"/>
    </row>
    <row r="34" spans="1:11"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27</v>
      </c>
      <c r="D34" s="47" t="s">
        <v>17</v>
      </c>
      <c r="E34" s="47" t="s">
        <v>44</v>
      </c>
      <c r="F34" s="47" t="s">
        <v>59</v>
      </c>
      <c r="G34" s="47" t="s">
        <v>102</v>
      </c>
      <c r="H34" s="47" t="s">
        <v>110</v>
      </c>
      <c r="I34" s="47"/>
      <c r="J34" s="47"/>
      <c r="K34" s="45"/>
    </row>
    <row r="35" spans="1:11"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11</v>
      </c>
      <c r="D35" s="47"/>
      <c r="E35" s="47"/>
      <c r="F35" s="47" t="s">
        <v>112</v>
      </c>
      <c r="G35" s="47" t="s">
        <v>222</v>
      </c>
      <c r="H35" s="47"/>
      <c r="I35" s="47"/>
      <c r="J35" s="47"/>
      <c r="K35" s="45"/>
    </row>
    <row r="36" spans="1:11"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31</v>
      </c>
      <c r="D36" s="47" t="s">
        <v>43</v>
      </c>
      <c r="E36" s="47" t="s">
        <v>29</v>
      </c>
      <c r="F36" s="47" t="s">
        <v>89</v>
      </c>
      <c r="G36" s="47" t="s">
        <v>103</v>
      </c>
      <c r="H36" s="47"/>
      <c r="I36" s="47"/>
      <c r="J36" s="47"/>
      <c r="K36" s="45"/>
    </row>
    <row r="37" spans="1:11"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23</v>
      </c>
      <c r="D37" s="47"/>
      <c r="E37" s="47"/>
      <c r="F37" s="47" t="s">
        <v>150</v>
      </c>
      <c r="G37" s="47" t="s">
        <v>106</v>
      </c>
      <c r="H37" s="47" t="s">
        <v>94</v>
      </c>
      <c r="I37" s="47"/>
      <c r="J37" s="47"/>
      <c r="K37" s="45"/>
    </row>
    <row r="38" spans="1:11"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35</v>
      </c>
      <c r="D38" s="47" t="s">
        <v>30</v>
      </c>
      <c r="E38" s="47" t="s">
        <v>40</v>
      </c>
      <c r="F38" s="47" t="s">
        <v>105</v>
      </c>
      <c r="G38" s="47"/>
      <c r="H38" s="47"/>
      <c r="I38" s="47"/>
      <c r="J38" s="47"/>
      <c r="K38" s="45"/>
    </row>
    <row r="39" spans="1:11"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14</v>
      </c>
      <c r="D39" s="47"/>
      <c r="E39" s="47"/>
      <c r="F39" s="47" t="s">
        <v>101</v>
      </c>
      <c r="G39" s="47" t="s">
        <v>85</v>
      </c>
      <c r="H39" s="47" t="s">
        <v>140</v>
      </c>
      <c r="I39" s="47" t="s">
        <v>80</v>
      </c>
      <c r="J39" s="47"/>
      <c r="K39" s="45"/>
    </row>
    <row r="40" spans="1:11" ht="14.5" customHeight="1" thickBot="1">
      <c r="A40" s="48"/>
      <c r="B4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8" t="s">
        <v>15</v>
      </c>
      <c r="D40" s="48" t="s">
        <v>33</v>
      </c>
      <c r="E40" s="48" t="s">
        <v>13</v>
      </c>
      <c r="F40" s="48"/>
      <c r="G40" s="48"/>
      <c r="H40" s="48"/>
      <c r="I40" s="48"/>
      <c r="J40" s="48"/>
      <c r="K40" s="45"/>
    </row>
    <row r="41" spans="1:11" ht="14.5" customHeight="1">
      <c r="A41" s="51" t="s">
        <v>432</v>
      </c>
      <c r="B4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1" s="51" t="s">
        <v>19</v>
      </c>
      <c r="D41" s="51"/>
      <c r="E41" s="51"/>
      <c r="F41" s="51" t="s">
        <v>126</v>
      </c>
      <c r="G41" s="51" t="s">
        <v>99</v>
      </c>
      <c r="H41" s="51"/>
      <c r="I41" s="51"/>
      <c r="J41" s="51">
        <f>COUNTA(C41:I50)</f>
        <v>38</v>
      </c>
      <c r="K41" s="45"/>
    </row>
    <row r="42" spans="1:11" ht="14.5" customHeight="1">
      <c r="A42" s="50"/>
      <c r="B4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2" s="50" t="s">
        <v>11</v>
      </c>
      <c r="D42" s="50" t="s">
        <v>17</v>
      </c>
      <c r="E42" s="50"/>
      <c r="F42" s="50" t="s">
        <v>224</v>
      </c>
      <c r="G42" s="50" t="s">
        <v>93</v>
      </c>
      <c r="H42" s="50" t="s">
        <v>299</v>
      </c>
      <c r="I42" s="50"/>
      <c r="J42" s="50"/>
      <c r="K42" s="45"/>
    </row>
    <row r="43" spans="1:11" ht="14.5" customHeight="1">
      <c r="A43" s="47"/>
      <c r="B4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3" s="47" t="s">
        <v>27</v>
      </c>
      <c r="D43" s="47" t="s">
        <v>44</v>
      </c>
      <c r="E43" s="47"/>
      <c r="F43" s="47" t="s">
        <v>135</v>
      </c>
      <c r="G43" s="47"/>
      <c r="H43" s="47"/>
      <c r="I43" s="47"/>
      <c r="J43" s="47"/>
      <c r="K43" s="45"/>
    </row>
    <row r="44" spans="1:11" ht="14.5" customHeight="1">
      <c r="A44" s="47"/>
      <c r="B4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4" s="47" t="s">
        <v>15</v>
      </c>
      <c r="D44" s="47"/>
      <c r="E44" s="47"/>
      <c r="F44" s="47" t="s">
        <v>109</v>
      </c>
      <c r="G44" s="47" t="s">
        <v>87</v>
      </c>
      <c r="H44" s="47" t="s">
        <v>90</v>
      </c>
      <c r="I44" s="47" t="s">
        <v>139</v>
      </c>
      <c r="J44" s="47"/>
      <c r="K44" s="45"/>
    </row>
    <row r="45" spans="1:11" ht="14.5" customHeight="1">
      <c r="A45" s="47"/>
      <c r="B4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5" s="47" t="s">
        <v>13</v>
      </c>
      <c r="D45" s="47" t="s">
        <v>14</v>
      </c>
      <c r="E45" s="47" t="s">
        <v>33</v>
      </c>
      <c r="F45" s="47"/>
      <c r="G45" s="47"/>
      <c r="H45" s="47"/>
      <c r="I45" s="47"/>
      <c r="J45" s="47"/>
      <c r="K45" s="45"/>
    </row>
    <row r="46" spans="1:11" ht="14.5" customHeight="1">
      <c r="A46" s="47"/>
      <c r="B4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6" s="47" t="s">
        <v>40</v>
      </c>
      <c r="D46" s="47"/>
      <c r="E46" s="47"/>
      <c r="F46" s="47" t="s">
        <v>108</v>
      </c>
      <c r="G46" s="47" t="s">
        <v>111</v>
      </c>
      <c r="H46" s="47" t="s">
        <v>112</v>
      </c>
      <c r="I46" s="47" t="s">
        <v>75</v>
      </c>
      <c r="J46" s="47"/>
      <c r="K46" s="45"/>
    </row>
    <row r="47" spans="1:11" ht="14.5" customHeight="1">
      <c r="A47" s="47"/>
      <c r="B4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7" s="47" t="s">
        <v>20</v>
      </c>
      <c r="D47" s="47" t="s">
        <v>35</v>
      </c>
      <c r="E47" s="47"/>
      <c r="F47" s="47" t="s">
        <v>101</v>
      </c>
      <c r="G47" s="47"/>
      <c r="H47" s="47"/>
      <c r="I47" s="47"/>
      <c r="J47" s="47"/>
      <c r="K47" s="45"/>
    </row>
    <row r="48" spans="1:11" ht="14.5" customHeight="1">
      <c r="A48" s="47"/>
      <c r="B4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8" s="47" t="s">
        <v>45</v>
      </c>
      <c r="D48" s="47" t="s">
        <v>23</v>
      </c>
      <c r="E48" s="47"/>
      <c r="F48" s="47" t="s">
        <v>91</v>
      </c>
      <c r="G48" s="47" t="s">
        <v>97</v>
      </c>
      <c r="H48" s="47"/>
      <c r="I48" s="47"/>
      <c r="J48" s="47"/>
      <c r="K48" s="45"/>
    </row>
    <row r="49" spans="1:11" ht="14.5" customHeight="1">
      <c r="A49" s="47"/>
      <c r="B49"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9" s="47" t="s">
        <v>36</v>
      </c>
      <c r="D49" s="47" t="s">
        <v>24</v>
      </c>
      <c r="E49" s="47"/>
      <c r="F49" s="47" t="s">
        <v>351</v>
      </c>
      <c r="G49" s="47" t="s">
        <v>88</v>
      </c>
      <c r="H49" s="47" t="s">
        <v>107</v>
      </c>
      <c r="I49" s="47"/>
      <c r="J49" s="47"/>
      <c r="K49" s="45"/>
    </row>
    <row r="50" spans="1:11" ht="14.5" customHeight="1" thickBot="1">
      <c r="A50" s="48"/>
      <c r="B50"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0" s="48" t="s">
        <v>28</v>
      </c>
      <c r="D50" s="48" t="s">
        <v>38</v>
      </c>
      <c r="E50" s="48"/>
      <c r="F50" s="48"/>
      <c r="G50" s="48"/>
      <c r="H50" s="48"/>
      <c r="I50" s="48"/>
      <c r="J50" s="48"/>
      <c r="K50" s="45"/>
    </row>
    <row r="51" spans="1:11" ht="14.5" customHeight="1">
      <c r="A51" s="51" t="s">
        <v>434</v>
      </c>
      <c r="B5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1" s="51" t="s">
        <v>39</v>
      </c>
      <c r="D51" s="51" t="s">
        <v>25</v>
      </c>
      <c r="E51" s="51" t="s">
        <v>12</v>
      </c>
      <c r="F51" s="51" t="s">
        <v>222</v>
      </c>
      <c r="G51" s="51" t="s">
        <v>299</v>
      </c>
      <c r="H51" s="51" t="s">
        <v>102</v>
      </c>
      <c r="I51" s="51"/>
      <c r="J51" s="51">
        <f>COUNTA(C51:I59)</f>
        <v>38</v>
      </c>
      <c r="K51" s="45"/>
    </row>
    <row r="52" spans="1:11" ht="14.5" customHeight="1">
      <c r="A52" s="50"/>
      <c r="B5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2" s="50" t="s">
        <v>16</v>
      </c>
      <c r="D52" s="50"/>
      <c r="E52" s="50"/>
      <c r="F52" s="50" t="s">
        <v>135</v>
      </c>
      <c r="G52" s="50" t="s">
        <v>67</v>
      </c>
      <c r="H52" s="50"/>
      <c r="I52" s="50"/>
      <c r="J52" s="50"/>
      <c r="K52" s="45"/>
    </row>
    <row r="53" spans="1:11" ht="14.5" customHeight="1">
      <c r="A53" s="47"/>
      <c r="B5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3" s="47" t="s">
        <v>32</v>
      </c>
      <c r="D53" s="47" t="s">
        <v>43</v>
      </c>
      <c r="E53" s="47"/>
      <c r="F53" s="47" t="s">
        <v>96</v>
      </c>
      <c r="G53" s="47" t="s">
        <v>139</v>
      </c>
      <c r="H53" s="47" t="s">
        <v>104</v>
      </c>
      <c r="I53" s="47"/>
      <c r="J53" s="47"/>
      <c r="K53" s="45"/>
    </row>
    <row r="54" spans="1:11" ht="14.5" customHeight="1">
      <c r="A54" s="47"/>
      <c r="B5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4" s="47" t="s">
        <v>26</v>
      </c>
      <c r="D54" s="47" t="s">
        <v>22</v>
      </c>
      <c r="E54" s="47"/>
      <c r="F54" s="47" t="s">
        <v>150</v>
      </c>
      <c r="G54" s="47" t="s">
        <v>110</v>
      </c>
      <c r="H54" s="47"/>
      <c r="I54" s="47"/>
      <c r="J54" s="47"/>
      <c r="K54" s="45"/>
    </row>
    <row r="55" spans="1:11" ht="14.5" customHeight="1">
      <c r="A55" s="47"/>
      <c r="B5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5" s="47" t="s">
        <v>34</v>
      </c>
      <c r="D55" s="47" t="s">
        <v>41</v>
      </c>
      <c r="E55" s="47"/>
      <c r="F55" s="47" t="s">
        <v>142</v>
      </c>
      <c r="G55" s="47" t="s">
        <v>105</v>
      </c>
      <c r="H55" s="47"/>
      <c r="I55" s="47"/>
      <c r="J55" s="47"/>
      <c r="K55" s="45"/>
    </row>
    <row r="56" spans="1:11" ht="14.5" customHeight="1">
      <c r="A56" s="47"/>
      <c r="B5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6" s="47" t="s">
        <v>30</v>
      </c>
      <c r="D56" s="47" t="s">
        <v>21</v>
      </c>
      <c r="E56" s="47"/>
      <c r="F56" s="47" t="s">
        <v>300</v>
      </c>
      <c r="G56" s="47" t="s">
        <v>87</v>
      </c>
      <c r="H56" s="47" t="s">
        <v>82</v>
      </c>
      <c r="I56" s="47"/>
      <c r="J56" s="47"/>
      <c r="K56" s="45"/>
    </row>
    <row r="57" spans="1:11" ht="14.5" customHeight="1">
      <c r="A57" s="47"/>
      <c r="B5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7" s="47" t="s">
        <v>10</v>
      </c>
      <c r="D57" s="47" t="s">
        <v>31</v>
      </c>
      <c r="E57" s="47"/>
      <c r="F57" s="47" t="s">
        <v>109</v>
      </c>
      <c r="G57" s="47"/>
      <c r="H57" s="47"/>
      <c r="I57" s="47"/>
      <c r="J57" s="47"/>
      <c r="K57" s="45"/>
    </row>
    <row r="58" spans="1:11" ht="14.5" customHeight="1">
      <c r="A58" s="47"/>
      <c r="B5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8" s="47" t="s">
        <v>29</v>
      </c>
      <c r="D58" s="47" t="s">
        <v>42</v>
      </c>
      <c r="E58" s="47"/>
      <c r="F58" s="47" t="s">
        <v>224</v>
      </c>
      <c r="G58" s="47" t="s">
        <v>83</v>
      </c>
      <c r="H58" s="47" t="s">
        <v>106</v>
      </c>
      <c r="I58" s="47" t="s">
        <v>93</v>
      </c>
      <c r="J58" s="47"/>
      <c r="K58" s="45"/>
    </row>
    <row r="59" spans="1:11" ht="14.5" customHeight="1" thickBot="1">
      <c r="A59" s="48"/>
      <c r="B5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9" s="48" t="s">
        <v>37</v>
      </c>
      <c r="D59" s="48" t="s">
        <v>18</v>
      </c>
      <c r="E59" s="48"/>
      <c r="F59" s="48"/>
      <c r="G59" s="48"/>
      <c r="H59" s="48"/>
      <c r="I59" s="48"/>
      <c r="J59" s="48"/>
      <c r="K59" s="45"/>
    </row>
    <row r="60" spans="1:11" ht="14.5" customHeight="1">
      <c r="A60" s="51" t="s">
        <v>435</v>
      </c>
      <c r="B6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0" s="51"/>
      <c r="D60" s="51"/>
      <c r="E60" s="51"/>
      <c r="F60" s="51" t="s">
        <v>140</v>
      </c>
      <c r="G60" s="51" t="s">
        <v>103</v>
      </c>
      <c r="H60" s="51" t="s">
        <v>59</v>
      </c>
      <c r="I60" s="51"/>
      <c r="J60" s="51">
        <f>COUNTA(C60:I65)</f>
        <v>15</v>
      </c>
      <c r="K60" s="45"/>
    </row>
    <row r="61" spans="1:11" ht="14.5" customHeight="1">
      <c r="A61" s="50"/>
      <c r="B6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1" s="50"/>
      <c r="D61" s="50"/>
      <c r="E61" s="50"/>
      <c r="F61" s="50" t="s">
        <v>99</v>
      </c>
      <c r="G61" s="50" t="s">
        <v>98</v>
      </c>
      <c r="H61" s="50"/>
      <c r="I61" s="50"/>
      <c r="J61" s="50"/>
      <c r="K61" s="45"/>
    </row>
    <row r="62" spans="1:11" ht="14.5" customHeight="1">
      <c r="A62" s="47"/>
      <c r="B6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2" s="47"/>
      <c r="D62" s="47"/>
      <c r="E62" s="47"/>
      <c r="F62" s="47" t="s">
        <v>126</v>
      </c>
      <c r="G62" s="47" t="s">
        <v>113</v>
      </c>
      <c r="H62" s="47"/>
      <c r="I62" s="47"/>
      <c r="J62" s="47"/>
      <c r="K62" s="45"/>
    </row>
    <row r="63" spans="1:11" ht="14.5" customHeight="1">
      <c r="A63" s="47"/>
      <c r="B6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3" s="47"/>
      <c r="D63" s="47"/>
      <c r="E63" s="47"/>
      <c r="F63" s="47" t="s">
        <v>85</v>
      </c>
      <c r="G63" s="47" t="s">
        <v>80</v>
      </c>
      <c r="H63" s="47" t="s">
        <v>86</v>
      </c>
      <c r="I63" s="47"/>
      <c r="J63" s="47"/>
      <c r="K63" s="45"/>
    </row>
    <row r="64" spans="1:11" ht="14.5" customHeight="1">
      <c r="A64" s="47"/>
      <c r="B6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4" s="47"/>
      <c r="D64" s="47"/>
      <c r="E64" s="47"/>
      <c r="F64" s="47" t="s">
        <v>349</v>
      </c>
      <c r="G64" s="47"/>
      <c r="H64" s="47"/>
      <c r="I64" s="47"/>
      <c r="J64" s="47"/>
      <c r="K64" s="45"/>
    </row>
    <row r="65" spans="1:15" ht="14.5" customHeight="1" thickBot="1">
      <c r="A65" s="52"/>
      <c r="B65" s="52"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5" s="52"/>
      <c r="D65" s="52"/>
      <c r="E65" s="52"/>
      <c r="F65" s="52" t="s">
        <v>223</v>
      </c>
      <c r="G65" s="52" t="s">
        <v>89</v>
      </c>
      <c r="H65" s="52" t="s">
        <v>90</v>
      </c>
      <c r="I65" s="52" t="s">
        <v>94</v>
      </c>
      <c r="J65" s="52"/>
      <c r="K65" s="45"/>
    </row>
    <row r="66" spans="1:15" ht="14.5" customHeight="1">
      <c r="A66" s="45"/>
      <c r="B66" s="45"/>
      <c r="C66" s="45"/>
      <c r="D66" s="45"/>
      <c r="E66" s="45"/>
      <c r="F66" s="45"/>
      <c r="G66" s="45"/>
      <c r="H66" s="45"/>
      <c r="I66" s="45"/>
      <c r="J66" s="45"/>
      <c r="K66" s="45"/>
    </row>
    <row r="67" spans="1:15" ht="20" customHeight="1">
      <c r="A67" s="136" t="s">
        <v>826</v>
      </c>
      <c r="B67" s="136"/>
      <c r="C67" s="136"/>
      <c r="D67" s="136"/>
      <c r="E67" s="136"/>
      <c r="F67" s="136"/>
      <c r="G67" s="136"/>
      <c r="H67" s="136"/>
      <c r="I67" s="136"/>
      <c r="J67" s="136"/>
      <c r="K67" s="136"/>
      <c r="L67" s="136"/>
      <c r="M67" s="136"/>
      <c r="N67" s="136"/>
      <c r="O67" s="136"/>
    </row>
    <row r="68" spans="1:15" ht="14.5" customHeight="1">
      <c r="A68" s="18"/>
      <c r="B68" s="19" t="s">
        <v>314</v>
      </c>
      <c r="C68" s="135" t="s">
        <v>762</v>
      </c>
      <c r="D68" s="135"/>
      <c r="E68" s="135"/>
      <c r="F68" s="135" t="s">
        <v>755</v>
      </c>
      <c r="G68" s="135"/>
      <c r="H68" s="18"/>
      <c r="I68" s="19" t="s">
        <v>314</v>
      </c>
      <c r="J68" s="135" t="s">
        <v>771</v>
      </c>
      <c r="K68" s="135"/>
      <c r="L68" s="135"/>
      <c r="M68" s="135" t="s">
        <v>755</v>
      </c>
      <c r="N68" s="135"/>
      <c r="O68" s="18"/>
    </row>
    <row r="69" spans="1:15" ht="14.5" customHeight="1">
      <c r="A69" s="18"/>
      <c r="B69" s="20">
        <v>1</v>
      </c>
      <c r="C69" s="134" t="s">
        <v>1092</v>
      </c>
      <c r="D69" s="134"/>
      <c r="E69" s="134"/>
      <c r="F69" s="134" t="s">
        <v>840</v>
      </c>
      <c r="G69" s="134"/>
      <c r="H69" s="18"/>
      <c r="I69" s="20">
        <v>10</v>
      </c>
      <c r="J69" s="134" t="s">
        <v>1093</v>
      </c>
      <c r="K69" s="134"/>
      <c r="L69" s="134"/>
      <c r="M69" s="134" t="s">
        <v>840</v>
      </c>
      <c r="N69" s="134"/>
      <c r="O69" s="18"/>
    </row>
    <row r="70" spans="1:15" ht="14.5" customHeight="1">
      <c r="A70" s="18"/>
      <c r="B70" s="20">
        <v>2</v>
      </c>
      <c r="C70" s="134" t="s">
        <v>1084</v>
      </c>
      <c r="D70" s="134"/>
      <c r="E70" s="134"/>
      <c r="F70" s="134" t="s">
        <v>840</v>
      </c>
      <c r="G70" s="134"/>
      <c r="H70" s="18"/>
      <c r="I70" s="20">
        <v>11</v>
      </c>
      <c r="J70" s="134" t="s">
        <v>1119</v>
      </c>
      <c r="K70" s="134"/>
      <c r="L70" s="134"/>
      <c r="M70" s="134" t="s">
        <v>841</v>
      </c>
      <c r="N70" s="134"/>
      <c r="O70" s="18"/>
    </row>
    <row r="71" spans="1:15" ht="14.5" customHeight="1">
      <c r="A71" s="18"/>
      <c r="B71" s="20">
        <v>3</v>
      </c>
      <c r="C71" s="134" t="s">
        <v>1085</v>
      </c>
      <c r="D71" s="134"/>
      <c r="E71" s="134"/>
      <c r="F71" s="134" t="s">
        <v>841</v>
      </c>
      <c r="G71" s="134"/>
      <c r="H71" s="18"/>
      <c r="I71" s="20">
        <v>12</v>
      </c>
      <c r="J71" s="134" t="s">
        <v>1094</v>
      </c>
      <c r="K71" s="134"/>
      <c r="L71" s="134"/>
      <c r="M71" s="134" t="s">
        <v>841</v>
      </c>
      <c r="N71" s="134"/>
      <c r="O71" s="18"/>
    </row>
    <row r="72" spans="1:15" ht="14.5" customHeight="1">
      <c r="A72" s="18"/>
      <c r="B72" s="20">
        <v>4</v>
      </c>
      <c r="C72" s="134" t="s">
        <v>1095</v>
      </c>
      <c r="D72" s="134"/>
      <c r="E72" s="134"/>
      <c r="F72" s="134" t="s">
        <v>841</v>
      </c>
      <c r="G72" s="134"/>
      <c r="H72" s="18"/>
      <c r="I72" s="20">
        <v>13</v>
      </c>
      <c r="J72" s="134" t="s">
        <v>1086</v>
      </c>
      <c r="K72" s="134"/>
      <c r="L72" s="134"/>
      <c r="M72" s="134" t="s">
        <v>841</v>
      </c>
      <c r="N72" s="134"/>
      <c r="O72" s="18"/>
    </row>
    <row r="73" spans="1:15" ht="14.5" customHeight="1">
      <c r="A73" s="18"/>
      <c r="B73" s="20">
        <v>5</v>
      </c>
      <c r="C73" s="134" t="s">
        <v>1096</v>
      </c>
      <c r="D73" s="134"/>
      <c r="E73" s="134"/>
      <c r="F73" s="134" t="s">
        <v>841</v>
      </c>
      <c r="G73" s="134"/>
      <c r="H73" s="18"/>
      <c r="I73" s="20">
        <v>14</v>
      </c>
      <c r="J73" s="134" t="s">
        <v>1087</v>
      </c>
      <c r="K73" s="134"/>
      <c r="L73" s="134"/>
      <c r="M73" s="134" t="s">
        <v>841</v>
      </c>
      <c r="N73" s="134"/>
      <c r="O73" s="18"/>
    </row>
    <row r="74" spans="1:15" ht="14.5" customHeight="1">
      <c r="A74" s="18"/>
      <c r="B74" s="20">
        <v>6</v>
      </c>
      <c r="C74" s="134" t="s">
        <v>1097</v>
      </c>
      <c r="D74" s="134"/>
      <c r="E74" s="134"/>
      <c r="F74" s="134" t="s">
        <v>841</v>
      </c>
      <c r="G74" s="134"/>
      <c r="H74" s="18"/>
      <c r="I74" s="20">
        <v>15</v>
      </c>
      <c r="J74" s="134" t="s">
        <v>1088</v>
      </c>
      <c r="K74" s="134"/>
      <c r="L74" s="134"/>
      <c r="M74" s="134" t="s">
        <v>841</v>
      </c>
      <c r="N74" s="134"/>
      <c r="O74" s="18"/>
    </row>
    <row r="75" spans="1:15" ht="14.5" customHeight="1">
      <c r="A75" s="18"/>
      <c r="B75" s="20">
        <v>7</v>
      </c>
      <c r="C75" s="134" t="s">
        <v>1098</v>
      </c>
      <c r="D75" s="134"/>
      <c r="E75" s="134"/>
      <c r="F75" s="134" t="s">
        <v>841</v>
      </c>
      <c r="G75" s="134"/>
      <c r="H75" s="18"/>
      <c r="I75" s="20">
        <v>16</v>
      </c>
      <c r="J75" s="134" t="s">
        <v>1089</v>
      </c>
      <c r="K75" s="134"/>
      <c r="L75" s="134"/>
      <c r="M75" s="134" t="s">
        <v>841</v>
      </c>
      <c r="N75" s="134"/>
      <c r="O75" s="18"/>
    </row>
    <row r="76" spans="1:15" ht="14.5" customHeight="1">
      <c r="A76" s="18"/>
      <c r="B76" s="20">
        <v>8</v>
      </c>
      <c r="C76" s="134" t="s">
        <v>1100</v>
      </c>
      <c r="D76" s="134"/>
      <c r="E76" s="134"/>
      <c r="F76" s="134" t="s">
        <v>847</v>
      </c>
      <c r="G76" s="134"/>
      <c r="H76" s="18"/>
      <c r="I76" s="20">
        <v>17</v>
      </c>
      <c r="J76" s="134" t="s">
        <v>1090</v>
      </c>
      <c r="K76" s="134"/>
      <c r="L76" s="134"/>
      <c r="M76" s="134" t="s">
        <v>847</v>
      </c>
      <c r="N76" s="134"/>
      <c r="O76" s="18"/>
    </row>
    <row r="77" spans="1:15" ht="14.5" customHeight="1">
      <c r="A77" s="18"/>
      <c r="B77" s="20">
        <v>9</v>
      </c>
      <c r="C77" s="134" t="s">
        <v>1091</v>
      </c>
      <c r="D77" s="134"/>
      <c r="E77" s="134"/>
      <c r="F77" s="134" t="s">
        <v>847</v>
      </c>
      <c r="G77" s="134"/>
      <c r="H77" s="18"/>
      <c r="I77" s="20">
        <v>18</v>
      </c>
      <c r="J77" s="134" t="s">
        <v>1099</v>
      </c>
      <c r="K77" s="134"/>
      <c r="L77" s="134"/>
      <c r="M77" s="134" t="s">
        <v>847</v>
      </c>
      <c r="N77" s="134"/>
      <c r="O77" s="18"/>
    </row>
    <row r="78" spans="1:15" ht="14.5" customHeight="1">
      <c r="A78" s="18"/>
      <c r="B78" s="18"/>
      <c r="C78" s="18"/>
      <c r="D78" s="18"/>
      <c r="E78" s="18"/>
      <c r="F78" s="18"/>
      <c r="G78" s="18"/>
      <c r="H78" s="18"/>
      <c r="I78" s="20">
        <v>19</v>
      </c>
      <c r="J78" s="134" t="s">
        <v>1120</v>
      </c>
      <c r="K78" s="134"/>
      <c r="L78" s="134"/>
      <c r="M78" s="134" t="s">
        <v>847</v>
      </c>
      <c r="N78" s="134"/>
      <c r="O78" s="18"/>
    </row>
    <row r="79" spans="1:15" ht="14.5" customHeight="1">
      <c r="A79" s="18"/>
      <c r="B79" s="18"/>
      <c r="C79" s="18"/>
      <c r="D79" s="18"/>
      <c r="E79" s="18"/>
      <c r="F79" s="18"/>
      <c r="G79" s="18"/>
      <c r="H79" s="18"/>
      <c r="I79" s="18"/>
      <c r="J79" s="18"/>
      <c r="K79" s="18"/>
      <c r="L79" s="18"/>
      <c r="M79" s="18"/>
      <c r="N79" s="18"/>
      <c r="O79" s="18"/>
    </row>
    <row r="80" spans="1:15" ht="14.5" customHeight="1">
      <c r="A80" s="18"/>
      <c r="B80" s="18"/>
      <c r="C80" s="18"/>
      <c r="D80" s="18"/>
      <c r="E80" s="18"/>
      <c r="F80" s="18"/>
      <c r="G80" s="18"/>
      <c r="H80" s="18"/>
      <c r="I80" s="18"/>
      <c r="J80" s="18"/>
      <c r="K80" s="18"/>
      <c r="L80" s="18"/>
      <c r="M80" s="18"/>
      <c r="N80" s="18"/>
      <c r="O80" s="18"/>
    </row>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row r="92" ht="14.5" customHeight="1"/>
    <row r="93" ht="14.5" customHeight="1"/>
    <row r="94" ht="14.5" customHeight="1"/>
    <row r="95" ht="14.5" customHeight="1"/>
    <row r="96" ht="14.5" customHeight="1"/>
  </sheetData>
  <mergeCells count="46">
    <mergeCell ref="C69:E69"/>
    <mergeCell ref="F69:G69"/>
    <mergeCell ref="C70:E70"/>
    <mergeCell ref="F70:G70"/>
    <mergeCell ref="C71:E71"/>
    <mergeCell ref="F71:G71"/>
    <mergeCell ref="A1:K1"/>
    <mergeCell ref="C2:E2"/>
    <mergeCell ref="F2:I2"/>
    <mergeCell ref="A67:O67"/>
    <mergeCell ref="C68:E68"/>
    <mergeCell ref="F68:G68"/>
    <mergeCell ref="F72:G72"/>
    <mergeCell ref="C73:E73"/>
    <mergeCell ref="F73:G73"/>
    <mergeCell ref="C74:E74"/>
    <mergeCell ref="F74:G74"/>
    <mergeCell ref="C72:E72"/>
    <mergeCell ref="C75:E75"/>
    <mergeCell ref="F75:G75"/>
    <mergeCell ref="C76:E76"/>
    <mergeCell ref="F76:G76"/>
    <mergeCell ref="C77:E77"/>
    <mergeCell ref="F77:G77"/>
    <mergeCell ref="J68:L68"/>
    <mergeCell ref="M68:N68"/>
    <mergeCell ref="J69:L69"/>
    <mergeCell ref="M69:N69"/>
    <mergeCell ref="J70:L70"/>
    <mergeCell ref="M70:N70"/>
    <mergeCell ref="J71:L71"/>
    <mergeCell ref="M71:N71"/>
    <mergeCell ref="J72:L72"/>
    <mergeCell ref="M72:N72"/>
    <mergeCell ref="J73:L73"/>
    <mergeCell ref="M73:N73"/>
    <mergeCell ref="J77:L77"/>
    <mergeCell ref="M77:N77"/>
    <mergeCell ref="J78:L78"/>
    <mergeCell ref="M78:N78"/>
    <mergeCell ref="J74:L74"/>
    <mergeCell ref="M74:N74"/>
    <mergeCell ref="J75:L75"/>
    <mergeCell ref="M75:N75"/>
    <mergeCell ref="J76:L76"/>
    <mergeCell ref="M76:N7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2034-5F98-4835-84BE-395EF71E4202}">
  <dimension ref="A1:O108"/>
  <sheetViews>
    <sheetView showGridLines="0" rightToLeft="1" topLeftCell="B1" workbookViewId="0">
      <pane ySplit="3" topLeftCell="A59" activePane="bottomLeft" state="frozen"/>
      <selection pane="bottomLeft" activeCell="M79" sqref="I79:N89"/>
    </sheetView>
  </sheetViews>
  <sheetFormatPr defaultRowHeight="14"/>
  <cols>
    <col min="1" max="1" width="15.83203125" customWidth="1"/>
    <col min="2" max="2" width="17.5" customWidth="1"/>
    <col min="3" max="10" width="13" customWidth="1"/>
    <col min="11" max="11" width="17.5" customWidth="1"/>
    <col min="12" max="12" width="13" customWidth="1"/>
  </cols>
  <sheetData>
    <row r="1" spans="1:12" ht="26" customHeight="1">
      <c r="A1" s="119" t="s">
        <v>478</v>
      </c>
      <c r="B1" s="119"/>
      <c r="C1" s="119"/>
      <c r="D1" s="119"/>
      <c r="E1" s="119"/>
      <c r="F1" s="119"/>
      <c r="G1" s="119"/>
      <c r="H1" s="119"/>
      <c r="I1" s="119"/>
      <c r="J1" s="119"/>
      <c r="K1" s="119"/>
      <c r="L1" s="119"/>
    </row>
    <row r="2" spans="1:12" ht="20" customHeight="1">
      <c r="A2" s="49"/>
      <c r="B2" s="49"/>
      <c r="C2" s="137" t="s">
        <v>447</v>
      </c>
      <c r="D2" s="137"/>
      <c r="E2" s="137"/>
      <c r="F2" s="137"/>
      <c r="G2" s="137" t="s">
        <v>479</v>
      </c>
      <c r="H2" s="137"/>
      <c r="I2" s="137"/>
      <c r="J2" s="137"/>
      <c r="K2" s="49"/>
      <c r="L2" s="45"/>
    </row>
    <row r="3" spans="1:12" ht="32" customHeight="1" thickBot="1">
      <c r="A3" s="49" t="s">
        <v>426</v>
      </c>
      <c r="B3" s="49" t="s">
        <v>7</v>
      </c>
      <c r="C3" s="49" t="s">
        <v>8</v>
      </c>
      <c r="D3" s="49" t="s">
        <v>9</v>
      </c>
      <c r="E3" s="49" t="s">
        <v>84</v>
      </c>
      <c r="F3" s="49" t="s">
        <v>119</v>
      </c>
      <c r="G3" s="49" t="s">
        <v>8</v>
      </c>
      <c r="H3" s="49" t="s">
        <v>9</v>
      </c>
      <c r="I3" s="49" t="s">
        <v>84</v>
      </c>
      <c r="J3" s="49" t="s">
        <v>119</v>
      </c>
      <c r="K3" s="49" t="s">
        <v>427</v>
      </c>
      <c r="L3" s="45"/>
    </row>
    <row r="4" spans="1:12"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28</v>
      </c>
      <c r="D4" s="51" t="s">
        <v>36</v>
      </c>
      <c r="E4" s="51"/>
      <c r="F4" s="51"/>
      <c r="G4" s="51" t="s">
        <v>75</v>
      </c>
      <c r="H4" s="51" t="s">
        <v>223</v>
      </c>
      <c r="I4" s="51" t="s">
        <v>130</v>
      </c>
      <c r="J4" s="51"/>
      <c r="K4" s="51">
        <f>COUNTA(C4:J12)</f>
        <v>42</v>
      </c>
      <c r="L4" s="45"/>
    </row>
    <row r="5" spans="1:12"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49</v>
      </c>
      <c r="D5" s="50" t="s">
        <v>10</v>
      </c>
      <c r="E5" s="50" t="s">
        <v>12</v>
      </c>
      <c r="F5" s="50"/>
      <c r="G5" s="50" t="s">
        <v>98</v>
      </c>
      <c r="H5" s="50" t="s">
        <v>225</v>
      </c>
      <c r="I5" s="50"/>
      <c r="J5" s="50"/>
      <c r="K5" s="50"/>
      <c r="L5" s="45"/>
    </row>
    <row r="6" spans="1:12"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c r="D6" s="47"/>
      <c r="E6" s="47"/>
      <c r="F6" s="47"/>
      <c r="G6" s="47" t="s">
        <v>110</v>
      </c>
      <c r="H6" s="47" t="s">
        <v>299</v>
      </c>
      <c r="I6" s="47"/>
      <c r="J6" s="47"/>
      <c r="K6" s="47"/>
      <c r="L6" s="45"/>
    </row>
    <row r="7" spans="1:12"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48</v>
      </c>
      <c r="D7" s="47" t="s">
        <v>27</v>
      </c>
      <c r="E7" s="47" t="s">
        <v>14</v>
      </c>
      <c r="F7" s="47" t="s">
        <v>15</v>
      </c>
      <c r="G7" s="47" t="s">
        <v>115</v>
      </c>
      <c r="H7" s="47" t="s">
        <v>102</v>
      </c>
      <c r="I7" s="47" t="s">
        <v>222</v>
      </c>
      <c r="J7" s="47"/>
      <c r="K7" s="47"/>
      <c r="L7" s="45"/>
    </row>
    <row r="8" spans="1:12"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38</v>
      </c>
      <c r="D8" s="47"/>
      <c r="E8" s="47"/>
      <c r="F8" s="47"/>
      <c r="G8" s="47" t="s">
        <v>140</v>
      </c>
      <c r="H8" s="47" t="s">
        <v>480</v>
      </c>
      <c r="I8" s="47"/>
      <c r="J8" s="47"/>
      <c r="K8" s="47"/>
      <c r="L8" s="45"/>
    </row>
    <row r="9" spans="1:12"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24</v>
      </c>
      <c r="D9" s="47" t="s">
        <v>33</v>
      </c>
      <c r="E9" s="47"/>
      <c r="F9" s="47"/>
      <c r="G9" s="47" t="s">
        <v>90</v>
      </c>
      <c r="H9" s="47" t="s">
        <v>85</v>
      </c>
      <c r="I9" s="47"/>
      <c r="J9" s="47"/>
      <c r="K9" s="47"/>
      <c r="L9" s="45"/>
    </row>
    <row r="10" spans="1:12"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51</v>
      </c>
      <c r="D10" s="47" t="s">
        <v>42</v>
      </c>
      <c r="E10" s="47" t="s">
        <v>23</v>
      </c>
      <c r="F10" s="47"/>
      <c r="G10" s="47" t="s">
        <v>118</v>
      </c>
      <c r="H10" s="47" t="s">
        <v>185</v>
      </c>
      <c r="I10" s="47" t="s">
        <v>111</v>
      </c>
      <c r="J10" s="47"/>
      <c r="K10" s="47"/>
      <c r="L10" s="45"/>
    </row>
    <row r="11" spans="1:12"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26</v>
      </c>
      <c r="D11" s="47"/>
      <c r="E11" s="47"/>
      <c r="F11" s="47"/>
      <c r="G11" s="47" t="s">
        <v>112</v>
      </c>
      <c r="H11" s="47" t="s">
        <v>88</v>
      </c>
      <c r="I11" s="47"/>
      <c r="J11" s="47"/>
      <c r="K11" s="47"/>
      <c r="L11" s="45"/>
    </row>
    <row r="12" spans="1:12"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13</v>
      </c>
      <c r="D12" s="48" t="s">
        <v>32</v>
      </c>
      <c r="E12" s="48" t="s">
        <v>43</v>
      </c>
      <c r="F12" s="48" t="s">
        <v>53</v>
      </c>
      <c r="G12" s="48" t="s">
        <v>123</v>
      </c>
      <c r="H12" s="48" t="s">
        <v>103</v>
      </c>
      <c r="I12" s="48" t="s">
        <v>300</v>
      </c>
      <c r="J12" s="48"/>
      <c r="K12" s="48"/>
      <c r="L12" s="45"/>
    </row>
    <row r="13" spans="1:12"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19</v>
      </c>
      <c r="D13" s="51" t="s">
        <v>29</v>
      </c>
      <c r="E13" s="51"/>
      <c r="F13" s="51"/>
      <c r="G13" s="51" t="s">
        <v>106</v>
      </c>
      <c r="H13" s="51" t="s">
        <v>251</v>
      </c>
      <c r="I13" s="51"/>
      <c r="J13" s="51"/>
      <c r="K13" s="51">
        <f>COUNTA(C13:J21)</f>
        <v>42</v>
      </c>
      <c r="L13" s="45"/>
    </row>
    <row r="14" spans="1:12"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44</v>
      </c>
      <c r="D14" s="50" t="s">
        <v>20</v>
      </c>
      <c r="E14" s="50" t="s">
        <v>46</v>
      </c>
      <c r="F14" s="50"/>
      <c r="G14" s="50" t="s">
        <v>91</v>
      </c>
      <c r="H14" s="50"/>
      <c r="I14" s="50"/>
      <c r="J14" s="50"/>
      <c r="K14" s="50"/>
      <c r="L14" s="45"/>
    </row>
    <row r="15" spans="1:12"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c r="D15" s="47"/>
      <c r="E15" s="47"/>
      <c r="F15" s="47"/>
      <c r="G15" s="47" t="s">
        <v>226</v>
      </c>
      <c r="H15" s="47" t="s">
        <v>142</v>
      </c>
      <c r="I15" s="47" t="s">
        <v>107</v>
      </c>
      <c r="J15" s="47" t="s">
        <v>154</v>
      </c>
      <c r="K15" s="47"/>
      <c r="L15" s="45"/>
    </row>
    <row r="16" spans="1:12"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31</v>
      </c>
      <c r="D16" s="47" t="s">
        <v>17</v>
      </c>
      <c r="E16" s="47" t="s">
        <v>30</v>
      </c>
      <c r="F16" s="47" t="s">
        <v>50</v>
      </c>
      <c r="G16" s="47" t="s">
        <v>82</v>
      </c>
      <c r="H16" s="47"/>
      <c r="I16" s="47"/>
      <c r="J16" s="47"/>
      <c r="K16" s="47"/>
      <c r="L16" s="45"/>
    </row>
    <row r="17" spans="1:12"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39</v>
      </c>
      <c r="D17" s="47"/>
      <c r="E17" s="47"/>
      <c r="F17" s="47"/>
      <c r="G17" s="47" t="s">
        <v>86</v>
      </c>
      <c r="H17" s="47" t="s">
        <v>241</v>
      </c>
      <c r="I17" s="47" t="s">
        <v>96</v>
      </c>
      <c r="J17" s="47" t="s">
        <v>114</v>
      </c>
      <c r="K17" s="47"/>
      <c r="L17" s="45"/>
    </row>
    <row r="18" spans="1:12"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25</v>
      </c>
      <c r="D18" s="47" t="s">
        <v>35</v>
      </c>
      <c r="E18" s="47" t="s">
        <v>54</v>
      </c>
      <c r="F18" s="47"/>
      <c r="G18" s="47" t="s">
        <v>135</v>
      </c>
      <c r="H18" s="47"/>
      <c r="I18" s="47"/>
      <c r="J18" s="47"/>
      <c r="K18" s="47"/>
      <c r="L18" s="45"/>
    </row>
    <row r="19" spans="1:12"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41</v>
      </c>
      <c r="E19" s="47"/>
      <c r="F19" s="47"/>
      <c r="G19" s="47" t="s">
        <v>94</v>
      </c>
      <c r="H19" s="47" t="s">
        <v>105</v>
      </c>
      <c r="I19" s="47" t="s">
        <v>224</v>
      </c>
      <c r="J19" s="47" t="s">
        <v>117</v>
      </c>
      <c r="K19" s="47"/>
      <c r="L19" s="45"/>
    </row>
    <row r="20" spans="1:12"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52</v>
      </c>
      <c r="D20" s="47"/>
      <c r="E20" s="47"/>
      <c r="F20" s="47"/>
      <c r="G20" s="47" t="s">
        <v>244</v>
      </c>
      <c r="H20" s="47"/>
      <c r="I20" s="47"/>
      <c r="J20" s="47"/>
      <c r="K20" s="47"/>
      <c r="L20" s="45"/>
    </row>
    <row r="21" spans="1:12"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34</v>
      </c>
      <c r="D21" s="48" t="s">
        <v>40</v>
      </c>
      <c r="E21" s="48" t="s">
        <v>21</v>
      </c>
      <c r="F21" s="48" t="s">
        <v>16</v>
      </c>
      <c r="G21" s="48" t="s">
        <v>139</v>
      </c>
      <c r="H21" s="48" t="s">
        <v>109</v>
      </c>
      <c r="I21" s="48" t="s">
        <v>108</v>
      </c>
      <c r="J21" s="48" t="s">
        <v>302</v>
      </c>
      <c r="K21" s="48"/>
      <c r="L21" s="45"/>
    </row>
    <row r="22" spans="1:12"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18</v>
      </c>
      <c r="D22" s="51" t="s">
        <v>37</v>
      </c>
      <c r="E22" s="51" t="s">
        <v>47</v>
      </c>
      <c r="F22" s="51" t="s">
        <v>22</v>
      </c>
      <c r="G22" s="51" t="s">
        <v>116</v>
      </c>
      <c r="H22" s="51" t="s">
        <v>89</v>
      </c>
      <c r="I22" s="51"/>
      <c r="J22" s="51"/>
      <c r="K22" s="51">
        <f>COUNTA(C22:J31)</f>
        <v>42</v>
      </c>
      <c r="L22" s="45"/>
    </row>
    <row r="23" spans="1:12"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45</v>
      </c>
      <c r="D23" s="50"/>
      <c r="E23" s="50"/>
      <c r="F23" s="50"/>
      <c r="G23" s="50" t="s">
        <v>104</v>
      </c>
      <c r="H23" s="50" t="s">
        <v>97</v>
      </c>
      <c r="I23" s="50"/>
      <c r="J23" s="50"/>
      <c r="K23" s="50"/>
      <c r="L23" s="45"/>
    </row>
    <row r="24" spans="1:12"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46</v>
      </c>
      <c r="D24" s="47" t="s">
        <v>36</v>
      </c>
      <c r="E24" s="47" t="s">
        <v>10</v>
      </c>
      <c r="F24" s="47"/>
      <c r="G24" s="47" t="s">
        <v>249</v>
      </c>
      <c r="H24" s="47" t="s">
        <v>145</v>
      </c>
      <c r="I24" s="47" t="s">
        <v>83</v>
      </c>
      <c r="J24" s="47"/>
      <c r="K24" s="47"/>
      <c r="L24" s="45"/>
    </row>
    <row r="25" spans="1:12"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38</v>
      </c>
      <c r="D25" s="47" t="s">
        <v>26</v>
      </c>
      <c r="E25" s="47"/>
      <c r="F25" s="47"/>
      <c r="G25" s="47" t="s">
        <v>126</v>
      </c>
      <c r="H25" s="47"/>
      <c r="I25" s="47"/>
      <c r="J25" s="47"/>
      <c r="K25" s="47"/>
      <c r="L25" s="45"/>
    </row>
    <row r="26" spans="1:12"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20</v>
      </c>
      <c r="D26" s="47" t="s">
        <v>32</v>
      </c>
      <c r="E26" s="47"/>
      <c r="F26" s="47"/>
      <c r="G26" s="47" t="s">
        <v>151</v>
      </c>
      <c r="H26" s="47" t="s">
        <v>80</v>
      </c>
      <c r="I26" s="47" t="s">
        <v>99</v>
      </c>
      <c r="J26" s="47"/>
      <c r="K26" s="47"/>
      <c r="L26" s="45"/>
    </row>
    <row r="27" spans="1:12"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52</v>
      </c>
      <c r="D27" s="47" t="s">
        <v>13</v>
      </c>
      <c r="E27" s="47" t="s">
        <v>40</v>
      </c>
      <c r="F27" s="47"/>
      <c r="G27" s="47" t="s">
        <v>118</v>
      </c>
      <c r="H27" s="47" t="s">
        <v>102</v>
      </c>
      <c r="I27" s="47"/>
      <c r="J27" s="47"/>
      <c r="K27" s="47"/>
      <c r="L27" s="45"/>
    </row>
    <row r="28" spans="1:12"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11</v>
      </c>
      <c r="D28" s="47"/>
      <c r="E28" s="47"/>
      <c r="F28" s="47"/>
      <c r="G28" s="47" t="s">
        <v>142</v>
      </c>
      <c r="H28" s="47" t="s">
        <v>241</v>
      </c>
      <c r="I28" s="47" t="s">
        <v>110</v>
      </c>
      <c r="J28" s="47"/>
      <c r="K28" s="47"/>
      <c r="L28" s="45"/>
    </row>
    <row r="29" spans="1:12"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51</v>
      </c>
      <c r="D29" s="47" t="s">
        <v>24</v>
      </c>
      <c r="E29" s="47" t="s">
        <v>41</v>
      </c>
      <c r="F29" s="47" t="s">
        <v>33</v>
      </c>
      <c r="G29" s="47" t="s">
        <v>115</v>
      </c>
      <c r="H29" s="47"/>
      <c r="I29" s="47"/>
      <c r="J29" s="47"/>
      <c r="K29" s="47"/>
      <c r="L29" s="45"/>
    </row>
    <row r="30" spans="1:12" ht="14.5" customHeight="1">
      <c r="A30" s="47"/>
      <c r="B3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7"/>
      <c r="D30" s="47"/>
      <c r="E30" s="47"/>
      <c r="F30" s="47"/>
      <c r="G30" s="47" t="s">
        <v>224</v>
      </c>
      <c r="H30" s="47" t="s">
        <v>140</v>
      </c>
      <c r="I30" s="47" t="s">
        <v>222</v>
      </c>
      <c r="J30" s="47" t="s">
        <v>105</v>
      </c>
      <c r="K30" s="47"/>
      <c r="L30" s="45"/>
    </row>
    <row r="31" spans="1:12" ht="14.5" customHeight="1" thickBot="1">
      <c r="A31" s="48"/>
      <c r="B3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31" s="48"/>
      <c r="D31" s="48"/>
      <c r="E31" s="48"/>
      <c r="F31" s="48"/>
      <c r="G31" s="48" t="s">
        <v>244</v>
      </c>
      <c r="H31" s="48"/>
      <c r="I31" s="48"/>
      <c r="J31" s="48"/>
      <c r="K31" s="48"/>
      <c r="L31" s="45"/>
    </row>
    <row r="32" spans="1:12"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16</v>
      </c>
      <c r="D32" s="51" t="s">
        <v>47</v>
      </c>
      <c r="E32" s="51" t="s">
        <v>29</v>
      </c>
      <c r="F32" s="51" t="s">
        <v>39</v>
      </c>
      <c r="G32" s="51" t="s">
        <v>88</v>
      </c>
      <c r="H32" s="51"/>
      <c r="I32" s="51"/>
      <c r="J32" s="51"/>
      <c r="K32" s="51">
        <f>COUNTA(C32:J41)</f>
        <v>42</v>
      </c>
      <c r="L32" s="45"/>
    </row>
    <row r="33" spans="1:12"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31</v>
      </c>
      <c r="D33" s="50"/>
      <c r="E33" s="50"/>
      <c r="F33" s="50"/>
      <c r="G33" s="50" t="s">
        <v>107</v>
      </c>
      <c r="H33" s="50" t="s">
        <v>103</v>
      </c>
      <c r="I33" s="50"/>
      <c r="J33" s="50"/>
      <c r="K33" s="50"/>
      <c r="L33" s="45"/>
    </row>
    <row r="34" spans="1:12"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14</v>
      </c>
      <c r="D34" s="47" t="s">
        <v>45</v>
      </c>
      <c r="E34" s="47" t="s">
        <v>53</v>
      </c>
      <c r="F34" s="47"/>
      <c r="G34" s="47" t="s">
        <v>91</v>
      </c>
      <c r="H34" s="47"/>
      <c r="I34" s="47"/>
      <c r="J34" s="47"/>
      <c r="K34" s="47"/>
      <c r="L34" s="45"/>
    </row>
    <row r="35" spans="1:12"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37</v>
      </c>
      <c r="D35" s="47" t="s">
        <v>12</v>
      </c>
      <c r="E35" s="47"/>
      <c r="F35" s="47"/>
      <c r="G35" s="47" t="s">
        <v>251</v>
      </c>
      <c r="H35" s="47" t="s">
        <v>108</v>
      </c>
      <c r="I35" s="47" t="s">
        <v>117</v>
      </c>
      <c r="J35" s="47" t="s">
        <v>299</v>
      </c>
      <c r="K35" s="47"/>
      <c r="L35" s="45"/>
    </row>
    <row r="36" spans="1:12"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25</v>
      </c>
      <c r="D36" s="47" t="s">
        <v>42</v>
      </c>
      <c r="E36" s="47"/>
      <c r="F36" s="47"/>
      <c r="G36" s="47" t="s">
        <v>223</v>
      </c>
      <c r="H36" s="47"/>
      <c r="I36" s="47"/>
      <c r="J36" s="47"/>
      <c r="K36" s="47"/>
      <c r="L36" s="45"/>
    </row>
    <row r="37" spans="1:12"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23</v>
      </c>
      <c r="D37" s="47" t="s">
        <v>54</v>
      </c>
      <c r="E37" s="47" t="s">
        <v>35</v>
      </c>
      <c r="F37" s="47"/>
      <c r="G37" s="47" t="s">
        <v>97</v>
      </c>
      <c r="H37" s="47" t="s">
        <v>249</v>
      </c>
      <c r="I37" s="47" t="s">
        <v>106</v>
      </c>
      <c r="J37" s="47" t="s">
        <v>480</v>
      </c>
      <c r="K37" s="47"/>
      <c r="L37" s="45"/>
    </row>
    <row r="38" spans="1:12"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43</v>
      </c>
      <c r="D38" s="47"/>
      <c r="E38" s="47"/>
      <c r="F38" s="47"/>
      <c r="G38" s="47" t="s">
        <v>85</v>
      </c>
      <c r="H38" s="47"/>
      <c r="I38" s="47"/>
      <c r="J38" s="47"/>
      <c r="K38" s="47"/>
      <c r="L38" s="45"/>
    </row>
    <row r="39" spans="1:12"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18</v>
      </c>
      <c r="D39" s="47" t="s">
        <v>27</v>
      </c>
      <c r="E39" s="47" t="s">
        <v>48</v>
      </c>
      <c r="F39" s="47" t="s">
        <v>22</v>
      </c>
      <c r="G39" s="47" t="s">
        <v>130</v>
      </c>
      <c r="H39" s="47" t="s">
        <v>154</v>
      </c>
      <c r="I39" s="47" t="s">
        <v>300</v>
      </c>
      <c r="J39" s="47"/>
      <c r="K39" s="47"/>
      <c r="L39" s="45"/>
    </row>
    <row r="40" spans="1:12" ht="14.5" customHeight="1">
      <c r="A40" s="47"/>
      <c r="B4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7"/>
      <c r="D40" s="47"/>
      <c r="E40" s="47"/>
      <c r="F40" s="47"/>
      <c r="G40" s="47" t="s">
        <v>75</v>
      </c>
      <c r="H40" s="47" t="s">
        <v>99</v>
      </c>
      <c r="I40" s="47"/>
      <c r="J40" s="47"/>
      <c r="K40" s="47"/>
      <c r="L40" s="45"/>
    </row>
    <row r="41" spans="1:12" ht="14.5" customHeight="1" thickBot="1">
      <c r="A41" s="48"/>
      <c r="B4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41" s="48"/>
      <c r="D41" s="48"/>
      <c r="E41" s="48"/>
      <c r="F41" s="48"/>
      <c r="G41" s="48" t="s">
        <v>123</v>
      </c>
      <c r="H41" s="48" t="s">
        <v>111</v>
      </c>
      <c r="I41" s="48" t="s">
        <v>96</v>
      </c>
      <c r="J41" s="48"/>
      <c r="K41" s="48"/>
      <c r="L41" s="45"/>
    </row>
    <row r="42" spans="1:12" ht="14.5" customHeight="1">
      <c r="A42" s="51" t="s">
        <v>432</v>
      </c>
      <c r="B4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2" s="51" t="s">
        <v>49</v>
      </c>
      <c r="D42" s="51" t="s">
        <v>19</v>
      </c>
      <c r="E42" s="51"/>
      <c r="F42" s="51"/>
      <c r="G42" s="51" t="s">
        <v>83</v>
      </c>
      <c r="H42" s="51"/>
      <c r="I42" s="51"/>
      <c r="J42" s="51"/>
      <c r="K42" s="51">
        <f>COUNTA(C42:J51)</f>
        <v>42</v>
      </c>
      <c r="L42" s="45"/>
    </row>
    <row r="43" spans="1:12" ht="14.5" customHeight="1">
      <c r="A43" s="50"/>
      <c r="B4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3" s="50" t="s">
        <v>30</v>
      </c>
      <c r="D43" s="50" t="s">
        <v>21</v>
      </c>
      <c r="E43" s="50" t="s">
        <v>34</v>
      </c>
      <c r="F43" s="50"/>
      <c r="G43" s="50" t="s">
        <v>104</v>
      </c>
      <c r="H43" s="50" t="s">
        <v>98</v>
      </c>
      <c r="I43" s="50"/>
      <c r="J43" s="50"/>
      <c r="K43" s="50"/>
      <c r="L43" s="45"/>
    </row>
    <row r="44" spans="1:12" ht="14.5" customHeight="1">
      <c r="A44" s="47"/>
      <c r="B4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4" s="47" t="s">
        <v>50</v>
      </c>
      <c r="D44" s="47"/>
      <c r="E44" s="47"/>
      <c r="F44" s="47"/>
      <c r="G44" s="47" t="s">
        <v>302</v>
      </c>
      <c r="H44" s="47" t="s">
        <v>112</v>
      </c>
      <c r="I44" s="47"/>
      <c r="J44" s="47"/>
      <c r="K44" s="47"/>
      <c r="L44" s="45"/>
    </row>
    <row r="45" spans="1:12" ht="14.5" customHeight="1">
      <c r="A45" s="47"/>
      <c r="B4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5" s="47" t="s">
        <v>44</v>
      </c>
      <c r="D45" s="47" t="s">
        <v>28</v>
      </c>
      <c r="E45" s="47" t="s">
        <v>15</v>
      </c>
      <c r="F45" s="47" t="s">
        <v>17</v>
      </c>
      <c r="G45" s="47" t="s">
        <v>86</v>
      </c>
      <c r="H45" s="47" t="s">
        <v>126</v>
      </c>
      <c r="I45" s="47" t="s">
        <v>145</v>
      </c>
      <c r="J45" s="47"/>
      <c r="K45" s="47"/>
      <c r="L45" s="45"/>
    </row>
    <row r="46" spans="1:12" ht="14.5" customHeight="1">
      <c r="A46" s="47"/>
      <c r="B4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6" s="47"/>
      <c r="D46" s="47"/>
      <c r="E46" s="47"/>
      <c r="F46" s="47"/>
      <c r="G46" s="47" t="s">
        <v>80</v>
      </c>
      <c r="H46" s="47"/>
      <c r="I46" s="47"/>
      <c r="J46" s="47"/>
      <c r="K46" s="47"/>
      <c r="L46" s="45"/>
    </row>
    <row r="47" spans="1:12" ht="14.5" customHeight="1">
      <c r="A47" s="47"/>
      <c r="B4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7" s="47" t="s">
        <v>52</v>
      </c>
      <c r="D47" s="47" t="s">
        <v>38</v>
      </c>
      <c r="E47" s="47" t="s">
        <v>37</v>
      </c>
      <c r="F47" s="47" t="s">
        <v>20</v>
      </c>
      <c r="G47" s="47" t="s">
        <v>151</v>
      </c>
      <c r="H47" s="47" t="s">
        <v>135</v>
      </c>
      <c r="I47" s="47" t="s">
        <v>114</v>
      </c>
      <c r="J47" s="47" t="s">
        <v>89</v>
      </c>
      <c r="K47" s="47"/>
      <c r="L47" s="45"/>
    </row>
    <row r="48" spans="1:12" ht="14.5" customHeight="1">
      <c r="A48" s="47"/>
      <c r="B4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8" s="47" t="s">
        <v>18</v>
      </c>
      <c r="D48" s="47"/>
      <c r="E48" s="47"/>
      <c r="F48" s="47"/>
      <c r="G48" s="47" t="s">
        <v>90</v>
      </c>
      <c r="H48" s="47"/>
      <c r="I48" s="47"/>
      <c r="J48" s="47"/>
      <c r="K48" s="47"/>
      <c r="L48" s="45"/>
    </row>
    <row r="49" spans="1:12" ht="14.5" customHeight="1">
      <c r="A49" s="47"/>
      <c r="B4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9" s="47" t="s">
        <v>13</v>
      </c>
      <c r="D49" s="47" t="s">
        <v>36</v>
      </c>
      <c r="E49" s="47"/>
      <c r="F49" s="47"/>
      <c r="G49" s="47" t="s">
        <v>109</v>
      </c>
      <c r="H49" s="47" t="s">
        <v>185</v>
      </c>
      <c r="I49" s="47" t="s">
        <v>226</v>
      </c>
      <c r="J49" s="47" t="s">
        <v>139</v>
      </c>
      <c r="K49" s="47"/>
      <c r="L49" s="45"/>
    </row>
    <row r="50" spans="1:12" ht="14.5" customHeight="1">
      <c r="A50" s="47"/>
      <c r="B5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0" s="47" t="s">
        <v>39</v>
      </c>
      <c r="D50" s="47" t="s">
        <v>26</v>
      </c>
      <c r="E50" s="47" t="s">
        <v>47</v>
      </c>
      <c r="F50" s="47"/>
      <c r="G50" s="47" t="s">
        <v>82</v>
      </c>
      <c r="H50" s="47"/>
      <c r="I50" s="47"/>
      <c r="J50" s="47"/>
      <c r="K50" s="47"/>
      <c r="L50" s="45"/>
    </row>
    <row r="51" spans="1:12" ht="14.5" customHeight="1" thickBot="1">
      <c r="A51" s="48"/>
      <c r="B5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1" s="48"/>
      <c r="D51" s="48"/>
      <c r="E51" s="48"/>
      <c r="F51" s="48"/>
      <c r="G51" s="48" t="s">
        <v>225</v>
      </c>
      <c r="H51" s="48" t="s">
        <v>116</v>
      </c>
      <c r="I51" s="48" t="s">
        <v>94</v>
      </c>
      <c r="J51" s="48"/>
      <c r="K51" s="48"/>
      <c r="L51" s="45"/>
    </row>
    <row r="52" spans="1:12" ht="14.5" customHeight="1">
      <c r="A52" s="51" t="s">
        <v>434</v>
      </c>
      <c r="B5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2" s="51" t="s">
        <v>12</v>
      </c>
      <c r="D52" s="51" t="s">
        <v>34</v>
      </c>
      <c r="E52" s="51" t="s">
        <v>45</v>
      </c>
      <c r="F52" s="51"/>
      <c r="G52" s="51" t="s">
        <v>111</v>
      </c>
      <c r="H52" s="51"/>
      <c r="I52" s="51"/>
      <c r="J52" s="51"/>
      <c r="K52" s="51">
        <f>COUNTA(C52:J61)</f>
        <v>42</v>
      </c>
      <c r="L52" s="45"/>
    </row>
    <row r="53" spans="1:12" ht="14.5" customHeight="1">
      <c r="A53" s="50"/>
      <c r="B5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3" s="50" t="s">
        <v>50</v>
      </c>
      <c r="D53" s="50" t="s">
        <v>11</v>
      </c>
      <c r="E53" s="50"/>
      <c r="F53" s="50"/>
      <c r="G53" s="50" t="s">
        <v>96</v>
      </c>
      <c r="H53" s="50" t="s">
        <v>123</v>
      </c>
      <c r="I53" s="50" t="s">
        <v>75</v>
      </c>
      <c r="J53" s="50"/>
      <c r="K53" s="50"/>
      <c r="L53" s="45"/>
    </row>
    <row r="54" spans="1:12" ht="14.5" customHeight="1">
      <c r="A54" s="47"/>
      <c r="B5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4" s="47" t="s">
        <v>33</v>
      </c>
      <c r="D54" s="47" t="s">
        <v>17</v>
      </c>
      <c r="E54" s="47" t="s">
        <v>40</v>
      </c>
      <c r="F54" s="47"/>
      <c r="G54" s="47" t="s">
        <v>104</v>
      </c>
      <c r="H54" s="47"/>
      <c r="I54" s="47"/>
      <c r="J54" s="47"/>
      <c r="K54" s="47"/>
      <c r="L54" s="45"/>
    </row>
    <row r="55" spans="1:12" ht="14.5" customHeight="1">
      <c r="A55" s="47"/>
      <c r="B5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5" s="47" t="s">
        <v>23</v>
      </c>
      <c r="D55" s="47" t="s">
        <v>53</v>
      </c>
      <c r="E55" s="47"/>
      <c r="F55" s="47"/>
      <c r="G55" s="47" t="s">
        <v>300</v>
      </c>
      <c r="H55" s="47" t="s">
        <v>302</v>
      </c>
      <c r="I55" s="47" t="s">
        <v>244</v>
      </c>
      <c r="J55" s="47" t="s">
        <v>89</v>
      </c>
      <c r="K55" s="47"/>
      <c r="L55" s="45"/>
    </row>
    <row r="56" spans="1:12" ht="14.5" customHeight="1">
      <c r="A56" s="47"/>
      <c r="B5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6" s="47" t="s">
        <v>31</v>
      </c>
      <c r="D56" s="47" t="s">
        <v>43</v>
      </c>
      <c r="E56" s="47"/>
      <c r="F56" s="47"/>
      <c r="G56" s="47" t="s">
        <v>109</v>
      </c>
      <c r="H56" s="47"/>
      <c r="I56" s="47"/>
      <c r="J56" s="47"/>
      <c r="K56" s="47"/>
      <c r="L56" s="45"/>
    </row>
    <row r="57" spans="1:12" ht="14.5" customHeight="1">
      <c r="A57" s="47"/>
      <c r="B5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7" s="47" t="s">
        <v>51</v>
      </c>
      <c r="D57" s="47" t="s">
        <v>28</v>
      </c>
      <c r="E57" s="47" t="s">
        <v>16</v>
      </c>
      <c r="F57" s="47"/>
      <c r="G57" s="47" t="s">
        <v>135</v>
      </c>
      <c r="H57" s="47" t="s">
        <v>98</v>
      </c>
      <c r="I57" s="47" t="s">
        <v>225</v>
      </c>
      <c r="J57" s="47" t="s">
        <v>118</v>
      </c>
      <c r="K57" s="47"/>
      <c r="L57" s="45"/>
    </row>
    <row r="58" spans="1:12" ht="14.5" customHeight="1">
      <c r="A58" s="47"/>
      <c r="B5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8" s="47" t="s">
        <v>44</v>
      </c>
      <c r="D58" s="47"/>
      <c r="E58" s="47"/>
      <c r="F58" s="47"/>
      <c r="G58" s="47" t="s">
        <v>103</v>
      </c>
      <c r="H58" s="47"/>
      <c r="I58" s="47"/>
      <c r="J58" s="47"/>
      <c r="K58" s="47"/>
      <c r="L58" s="45"/>
    </row>
    <row r="59" spans="1:12" ht="14.5" customHeight="1">
      <c r="A59" s="47"/>
      <c r="B5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9" s="47" t="s">
        <v>30</v>
      </c>
      <c r="D59" s="47" t="s">
        <v>10</v>
      </c>
      <c r="E59" s="47" t="s">
        <v>54</v>
      </c>
      <c r="F59" s="47" t="s">
        <v>21</v>
      </c>
      <c r="G59" s="47" t="s">
        <v>249</v>
      </c>
      <c r="H59" s="47" t="s">
        <v>99</v>
      </c>
      <c r="I59" s="47" t="s">
        <v>140</v>
      </c>
      <c r="J59" s="47"/>
      <c r="K59" s="47"/>
      <c r="L59" s="45"/>
    </row>
    <row r="60" spans="1:12" ht="14.5" customHeight="1">
      <c r="A60" s="47"/>
      <c r="B6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60" s="47"/>
      <c r="D60" s="47"/>
      <c r="E60" s="47"/>
      <c r="F60" s="47"/>
      <c r="G60" s="47" t="s">
        <v>224</v>
      </c>
      <c r="H60" s="47" t="s">
        <v>480</v>
      </c>
      <c r="I60" s="47"/>
      <c r="J60" s="47"/>
      <c r="K60" s="47"/>
      <c r="L60" s="45"/>
    </row>
    <row r="61" spans="1:12" ht="14.5" customHeight="1" thickBot="1">
      <c r="A61" s="48"/>
      <c r="B6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61" s="48"/>
      <c r="D61" s="48"/>
      <c r="E61" s="48"/>
      <c r="F61" s="48"/>
      <c r="G61" s="48" t="s">
        <v>112</v>
      </c>
      <c r="H61" s="48" t="s">
        <v>106</v>
      </c>
      <c r="I61" s="48"/>
      <c r="J61" s="48"/>
      <c r="K61" s="48"/>
      <c r="L61" s="45"/>
    </row>
    <row r="62" spans="1:12" ht="14.5" customHeight="1">
      <c r="A62" s="51" t="s">
        <v>435</v>
      </c>
      <c r="B6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2" s="51" t="s">
        <v>48</v>
      </c>
      <c r="D62" s="51" t="s">
        <v>42</v>
      </c>
      <c r="E62" s="51" t="s">
        <v>14</v>
      </c>
      <c r="F62" s="51"/>
      <c r="G62" s="51" t="s">
        <v>116</v>
      </c>
      <c r="H62" s="51"/>
      <c r="I62" s="51"/>
      <c r="J62" s="51"/>
      <c r="K62" s="51">
        <f>COUNTA(C62:J75)</f>
        <v>48</v>
      </c>
      <c r="L62" s="45"/>
    </row>
    <row r="63" spans="1:12" ht="14.5" customHeight="1">
      <c r="A63" s="50"/>
      <c r="B6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3" s="50" t="s">
        <v>19</v>
      </c>
      <c r="D63" s="50" t="s">
        <v>29</v>
      </c>
      <c r="E63" s="50"/>
      <c r="F63" s="50"/>
      <c r="G63" s="50" t="s">
        <v>85</v>
      </c>
      <c r="H63" s="50" t="s">
        <v>105</v>
      </c>
      <c r="I63" s="50"/>
      <c r="J63" s="50"/>
      <c r="K63" s="50"/>
      <c r="L63" s="45"/>
    </row>
    <row r="64" spans="1:12" ht="14.5" customHeight="1">
      <c r="A64" s="47"/>
      <c r="B6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4" s="47" t="s">
        <v>49</v>
      </c>
      <c r="D64" s="47" t="s">
        <v>32</v>
      </c>
      <c r="E64" s="47"/>
      <c r="F64" s="47"/>
      <c r="G64" s="47" t="s">
        <v>80</v>
      </c>
      <c r="H64" s="47" t="s">
        <v>130</v>
      </c>
      <c r="I64" s="47"/>
      <c r="J64" s="47"/>
      <c r="K64" s="47"/>
      <c r="L64" s="45"/>
    </row>
    <row r="65" spans="1:15" ht="14.5" customHeight="1">
      <c r="A65" s="47"/>
      <c r="B6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5" s="47" t="s">
        <v>27</v>
      </c>
      <c r="D65" s="47" t="s">
        <v>22</v>
      </c>
      <c r="E65" s="47" t="s">
        <v>24</v>
      </c>
      <c r="F65" s="47"/>
      <c r="G65" s="47" t="s">
        <v>108</v>
      </c>
      <c r="H65" s="47" t="s">
        <v>86</v>
      </c>
      <c r="I65" s="47" t="s">
        <v>154</v>
      </c>
      <c r="J65" s="47"/>
      <c r="K65" s="47"/>
      <c r="L65" s="45"/>
    </row>
    <row r="66" spans="1:15" ht="14.5" customHeight="1">
      <c r="A66" s="47"/>
      <c r="B6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6" s="47" t="s">
        <v>46</v>
      </c>
      <c r="D66" s="47"/>
      <c r="E66" s="47"/>
      <c r="F66" s="47"/>
      <c r="G66" s="47" t="s">
        <v>82</v>
      </c>
      <c r="H66" s="47"/>
      <c r="I66" s="47"/>
      <c r="J66" s="47"/>
      <c r="K66" s="47"/>
      <c r="L66" s="45"/>
    </row>
    <row r="67" spans="1:15" ht="14.5" customHeight="1">
      <c r="A67" s="47"/>
      <c r="B6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7" s="47" t="s">
        <v>41</v>
      </c>
      <c r="D67" s="47" t="s">
        <v>25</v>
      </c>
      <c r="E67" s="47" t="s">
        <v>15</v>
      </c>
      <c r="F67" s="47" t="s">
        <v>35</v>
      </c>
      <c r="G67" s="47" t="s">
        <v>222</v>
      </c>
      <c r="H67" s="47" t="s">
        <v>185</v>
      </c>
      <c r="I67" s="47" t="s">
        <v>299</v>
      </c>
      <c r="J67" s="47" t="s">
        <v>226</v>
      </c>
      <c r="K67" s="47"/>
      <c r="L67" s="45"/>
    </row>
    <row r="68" spans="1:15" ht="14.5" customHeight="1">
      <c r="A68" s="47"/>
      <c r="B6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8" s="47"/>
      <c r="D68" s="47"/>
      <c r="E68" s="47"/>
      <c r="F68" s="47"/>
      <c r="G68" s="47" t="s">
        <v>223</v>
      </c>
      <c r="H68" s="47"/>
      <c r="I68" s="47"/>
      <c r="J68" s="47"/>
      <c r="K68" s="47"/>
      <c r="L68" s="45"/>
    </row>
    <row r="69" spans="1:15" ht="14.5" customHeight="1">
      <c r="A69" s="47"/>
      <c r="B6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69" s="47"/>
      <c r="D69" s="47"/>
      <c r="E69" s="47"/>
      <c r="F69" s="47"/>
      <c r="G69" s="47" t="s">
        <v>145</v>
      </c>
      <c r="H69" s="47" t="s">
        <v>117</v>
      </c>
      <c r="I69" s="47" t="s">
        <v>139</v>
      </c>
      <c r="J69" s="47" t="s">
        <v>97</v>
      </c>
      <c r="K69" s="47"/>
      <c r="L69" s="45"/>
    </row>
    <row r="70" spans="1:15" ht="14.5" customHeight="1">
      <c r="A70" s="47"/>
      <c r="B7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70" s="47"/>
      <c r="D70" s="47"/>
      <c r="E70" s="47"/>
      <c r="F70" s="47"/>
      <c r="G70" s="47" t="s">
        <v>126</v>
      </c>
      <c r="H70" s="47"/>
      <c r="I70" s="47"/>
      <c r="J70" s="47"/>
      <c r="K70" s="47"/>
      <c r="L70" s="45"/>
    </row>
    <row r="71" spans="1:15" ht="14.5" customHeight="1">
      <c r="A71" s="47"/>
      <c r="B71" s="47"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71" s="47"/>
      <c r="D71" s="47"/>
      <c r="E71" s="47"/>
      <c r="F71" s="47"/>
      <c r="G71" s="47" t="s">
        <v>94</v>
      </c>
      <c r="H71" s="47" t="s">
        <v>251</v>
      </c>
      <c r="I71" s="47" t="s">
        <v>83</v>
      </c>
      <c r="J71" s="47" t="s">
        <v>88</v>
      </c>
      <c r="K71" s="47"/>
      <c r="L71" s="45"/>
    </row>
    <row r="72" spans="1:15" ht="14.5" customHeight="1">
      <c r="A72" s="47"/>
      <c r="B72" s="47" t="str">
        <f>(MOD(HOUR(المدخلات!$B$4+(11-1)*المدخلات!$B$7/1440)-1,12)+1)&amp;":"&amp;TEXT(MINUTE(المدخلات!$B$4+(11-1)*المدخلات!$B$7/1440),"00")&amp;"–"&amp;(MOD(HOUR(المدخلات!$B$4+(11-1)*المدخلات!$B$7/1440+المدخلات!$B$5/1440)-1,12)+1)&amp;":"&amp;TEXT(MINUTE(المدخلات!$B$4+(11-1)*المدخلات!$B$7/1440+المدخلات!$B$5/1440),"00")&amp;" م"</f>
        <v>6:30–6:45 م</v>
      </c>
      <c r="C72" s="47"/>
      <c r="D72" s="47"/>
      <c r="E72" s="47"/>
      <c r="F72" s="47"/>
      <c r="G72" s="47" t="s">
        <v>114</v>
      </c>
      <c r="H72" s="47"/>
      <c r="I72" s="47"/>
      <c r="J72" s="47"/>
      <c r="K72" s="47"/>
      <c r="L72" s="45"/>
    </row>
    <row r="73" spans="1:15" ht="14.5" customHeight="1">
      <c r="A73" s="47"/>
      <c r="B73" s="47" t="str">
        <f>(MOD(HOUR(المدخلات!$B$4+(12-1)*المدخلات!$B$7/1440)-1,12)+1)&amp;":"&amp;TEXT(MINUTE(المدخلات!$B$4+(12-1)*المدخلات!$B$7/1440),"00")&amp;"–"&amp;(MOD(HOUR(المدخلات!$B$4+(12-1)*المدخلات!$B$7/1440+المدخلات!$B$5/1440)-1,12)+1)&amp;":"&amp;TEXT(MINUTE(المدخلات!$B$4+(12-1)*المدخلات!$B$7/1440+المدخلات!$B$5/1440),"00")&amp;" م"</f>
        <v>6:45–7:00 م</v>
      </c>
      <c r="C73" s="47"/>
      <c r="D73" s="47"/>
      <c r="E73" s="47"/>
      <c r="F73" s="47"/>
      <c r="G73" s="47" t="s">
        <v>151</v>
      </c>
      <c r="H73" s="47" t="s">
        <v>107</v>
      </c>
      <c r="I73" s="47" t="s">
        <v>91</v>
      </c>
      <c r="J73" s="47" t="s">
        <v>90</v>
      </c>
      <c r="K73" s="47"/>
      <c r="L73" s="45"/>
    </row>
    <row r="74" spans="1:15" ht="14.5" customHeight="1">
      <c r="A74" s="47"/>
      <c r="B74" s="47" t="str">
        <f>(MOD(HOUR(المدخلات!$B$4+(13-1)*المدخلات!$B$7/1440)-1,12)+1)&amp;":"&amp;TEXT(MINUTE(المدخلات!$B$4+(13-1)*المدخلات!$B$7/1440),"00")&amp;"–"&amp;(MOD(HOUR(المدخلات!$B$4+(13-1)*المدخلات!$B$7/1440+المدخلات!$B$5/1440)-1,12)+1)&amp;":"&amp;TEXT(MINUTE(المدخلات!$B$4+(13-1)*المدخلات!$B$7/1440+المدخلات!$B$5/1440),"00")&amp;" م"</f>
        <v>7:00–7:15 م</v>
      </c>
      <c r="C74" s="47"/>
      <c r="D74" s="47"/>
      <c r="E74" s="47"/>
      <c r="F74" s="47"/>
      <c r="G74" s="47" t="s">
        <v>102</v>
      </c>
      <c r="H74" s="47"/>
      <c r="I74" s="47"/>
      <c r="J74" s="47"/>
      <c r="K74" s="47"/>
      <c r="L74" s="45"/>
    </row>
    <row r="75" spans="1:15" ht="14.5" customHeight="1" thickBot="1">
      <c r="A75" s="52"/>
      <c r="B75" s="52" t="str">
        <f>(MOD(HOUR(المدخلات!$B$4+(14-1)*المدخلات!$B$7/1440)-1,12)+1)&amp;":"&amp;TEXT(MINUTE(المدخلات!$B$4+(14-1)*المدخلات!$B$7/1440),"00")&amp;"–"&amp;(MOD(HOUR(المدخلات!$B$4+(14-1)*المدخلات!$B$7/1440+المدخلات!$B$5/1440)-1,12)+1)&amp;":"&amp;TEXT(MINUTE(المدخلات!$B$4+(14-1)*المدخلات!$B$7/1440+المدخلات!$B$5/1440),"00")&amp;" م"</f>
        <v>7:15–7:30 م</v>
      </c>
      <c r="C75" s="52"/>
      <c r="D75" s="52"/>
      <c r="E75" s="52"/>
      <c r="F75" s="52"/>
      <c r="G75" s="52" t="s">
        <v>115</v>
      </c>
      <c r="H75" s="52" t="s">
        <v>110</v>
      </c>
      <c r="I75" s="52" t="s">
        <v>241</v>
      </c>
      <c r="J75" s="52" t="s">
        <v>142</v>
      </c>
      <c r="K75" s="52"/>
      <c r="L75" s="45"/>
    </row>
    <row r="76" spans="1:15" ht="14.5" customHeight="1">
      <c r="A76" s="45"/>
      <c r="B76" s="45"/>
      <c r="C76" s="45"/>
      <c r="D76" s="45"/>
      <c r="E76" s="45"/>
      <c r="F76" s="45"/>
      <c r="G76" s="45"/>
      <c r="H76" s="45"/>
      <c r="I76" s="45"/>
      <c r="J76" s="45"/>
      <c r="K76" s="45"/>
      <c r="L76" s="45"/>
    </row>
    <row r="77" spans="1:15" ht="20" customHeight="1">
      <c r="A77" s="136" t="s">
        <v>827</v>
      </c>
      <c r="B77" s="136"/>
      <c r="C77" s="136"/>
      <c r="D77" s="136"/>
      <c r="E77" s="136"/>
      <c r="F77" s="136"/>
      <c r="G77" s="136"/>
      <c r="H77" s="136"/>
      <c r="I77" s="136"/>
      <c r="J77" s="136"/>
      <c r="K77" s="136"/>
      <c r="L77" s="136"/>
      <c r="M77" s="136"/>
      <c r="N77" s="136"/>
      <c r="O77" s="136"/>
    </row>
    <row r="78" spans="1:15" ht="14.5" customHeight="1">
      <c r="A78" s="18"/>
      <c r="B78" s="19" t="s">
        <v>314</v>
      </c>
      <c r="C78" s="135" t="s">
        <v>763</v>
      </c>
      <c r="D78" s="135"/>
      <c r="E78" s="135"/>
      <c r="F78" s="135" t="s">
        <v>755</v>
      </c>
      <c r="G78" s="135"/>
      <c r="H78" s="18"/>
      <c r="I78" s="19" t="s">
        <v>314</v>
      </c>
      <c r="J78" s="135" t="s">
        <v>772</v>
      </c>
      <c r="K78" s="135"/>
      <c r="L78" s="135"/>
      <c r="M78" s="135" t="s">
        <v>755</v>
      </c>
      <c r="N78" s="135"/>
      <c r="O78" s="18"/>
    </row>
    <row r="79" spans="1:15" ht="14.5" customHeight="1">
      <c r="A79" s="18"/>
      <c r="B79" s="20">
        <v>1</v>
      </c>
      <c r="C79" s="134" t="s">
        <v>1121</v>
      </c>
      <c r="D79" s="134"/>
      <c r="E79" s="134"/>
      <c r="F79" s="134" t="s">
        <v>840</v>
      </c>
      <c r="G79" s="134"/>
      <c r="H79" s="18"/>
      <c r="I79" s="20">
        <v>11</v>
      </c>
      <c r="J79" s="134" t="s">
        <v>609</v>
      </c>
      <c r="K79" s="134"/>
      <c r="L79" s="134"/>
      <c r="M79" s="134" t="s">
        <v>840</v>
      </c>
      <c r="N79" s="134"/>
      <c r="O79" s="18"/>
    </row>
    <row r="80" spans="1:15" ht="14.5" customHeight="1">
      <c r="A80" s="18"/>
      <c r="B80" s="20">
        <v>2</v>
      </c>
      <c r="C80" s="134" t="s">
        <v>1122</v>
      </c>
      <c r="D80" s="134"/>
      <c r="E80" s="134"/>
      <c r="F80" s="134" t="s">
        <v>841</v>
      </c>
      <c r="G80" s="134"/>
      <c r="H80" s="18"/>
      <c r="I80" s="20">
        <v>12</v>
      </c>
      <c r="J80" s="134" t="s">
        <v>1131</v>
      </c>
      <c r="K80" s="134"/>
      <c r="L80" s="134"/>
      <c r="M80" s="134" t="s">
        <v>840</v>
      </c>
      <c r="N80" s="134"/>
      <c r="O80" s="18"/>
    </row>
    <row r="81" spans="1:15" ht="14.5" customHeight="1">
      <c r="A81" s="18"/>
      <c r="B81" s="20">
        <v>3</v>
      </c>
      <c r="C81" s="134" t="s">
        <v>1123</v>
      </c>
      <c r="D81" s="134"/>
      <c r="E81" s="134"/>
      <c r="F81" s="134" t="s">
        <v>841</v>
      </c>
      <c r="G81" s="134"/>
      <c r="H81" s="18"/>
      <c r="I81" s="20">
        <v>13</v>
      </c>
      <c r="J81" s="134" t="s">
        <v>1132</v>
      </c>
      <c r="K81" s="134"/>
      <c r="L81" s="134"/>
      <c r="M81" s="134" t="s">
        <v>841</v>
      </c>
      <c r="N81" s="134"/>
      <c r="O81" s="18"/>
    </row>
    <row r="82" spans="1:15" ht="14.5" customHeight="1">
      <c r="A82" s="18"/>
      <c r="B82" s="20">
        <v>4</v>
      </c>
      <c r="C82" s="134" t="s">
        <v>1124</v>
      </c>
      <c r="D82" s="134"/>
      <c r="E82" s="134"/>
      <c r="F82" s="134" t="s">
        <v>841</v>
      </c>
      <c r="G82" s="134"/>
      <c r="H82" s="18"/>
      <c r="I82" s="20">
        <v>14</v>
      </c>
      <c r="J82" s="134" t="s">
        <v>1133</v>
      </c>
      <c r="K82" s="134"/>
      <c r="L82" s="134"/>
      <c r="M82" s="134" t="s">
        <v>841</v>
      </c>
      <c r="N82" s="134"/>
      <c r="O82" s="18"/>
    </row>
    <row r="83" spans="1:15" ht="14.5" customHeight="1">
      <c r="A83" s="18"/>
      <c r="B83" s="20">
        <v>5</v>
      </c>
      <c r="C83" s="134" t="s">
        <v>1125</v>
      </c>
      <c r="D83" s="134"/>
      <c r="E83" s="134"/>
      <c r="F83" s="134" t="s">
        <v>847</v>
      </c>
      <c r="G83" s="134"/>
      <c r="H83" s="18"/>
      <c r="I83" s="20">
        <v>15</v>
      </c>
      <c r="J83" s="134" t="s">
        <v>1134</v>
      </c>
      <c r="K83" s="134"/>
      <c r="L83" s="134"/>
      <c r="M83" s="134" t="s">
        <v>841</v>
      </c>
      <c r="N83" s="134"/>
      <c r="O83" s="18"/>
    </row>
    <row r="84" spans="1:15" ht="14.5" customHeight="1">
      <c r="A84" s="18"/>
      <c r="B84" s="20">
        <v>6</v>
      </c>
      <c r="C84" s="134" t="s">
        <v>1126</v>
      </c>
      <c r="D84" s="134"/>
      <c r="E84" s="134"/>
      <c r="F84" s="134" t="s">
        <v>847</v>
      </c>
      <c r="G84" s="134"/>
      <c r="H84" s="18"/>
      <c r="I84" s="20">
        <v>16</v>
      </c>
      <c r="J84" s="134" t="s">
        <v>1135</v>
      </c>
      <c r="K84" s="134"/>
      <c r="L84" s="134"/>
      <c r="M84" s="134" t="s">
        <v>847</v>
      </c>
      <c r="N84" s="134"/>
      <c r="O84" s="18"/>
    </row>
    <row r="85" spans="1:15" ht="14.5" customHeight="1">
      <c r="A85" s="18"/>
      <c r="B85" s="20">
        <v>7</v>
      </c>
      <c r="C85" s="134" t="s">
        <v>1127</v>
      </c>
      <c r="D85" s="134"/>
      <c r="E85" s="134"/>
      <c r="F85" s="134" t="s">
        <v>847</v>
      </c>
      <c r="G85" s="134"/>
      <c r="H85" s="18"/>
      <c r="I85" s="20">
        <v>17</v>
      </c>
      <c r="J85" s="134" t="s">
        <v>1136</v>
      </c>
      <c r="K85" s="134"/>
      <c r="L85" s="134"/>
      <c r="M85" s="134" t="s">
        <v>847</v>
      </c>
      <c r="N85" s="134"/>
      <c r="O85" s="18"/>
    </row>
    <row r="86" spans="1:15" ht="14.5" customHeight="1">
      <c r="A86" s="18"/>
      <c r="B86" s="20">
        <v>8</v>
      </c>
      <c r="C86" s="134" t="s">
        <v>1128</v>
      </c>
      <c r="D86" s="134"/>
      <c r="E86" s="134"/>
      <c r="F86" s="134" t="s">
        <v>847</v>
      </c>
      <c r="G86" s="134"/>
      <c r="H86" s="18"/>
      <c r="I86" s="20">
        <v>18</v>
      </c>
      <c r="J86" s="134" t="s">
        <v>1137</v>
      </c>
      <c r="K86" s="134"/>
      <c r="L86" s="134"/>
      <c r="M86" s="134" t="s">
        <v>847</v>
      </c>
      <c r="N86" s="134"/>
      <c r="O86" s="18"/>
    </row>
    <row r="87" spans="1:15" ht="14.5" customHeight="1">
      <c r="A87" s="18"/>
      <c r="B87" s="20">
        <v>9</v>
      </c>
      <c r="C87" s="134" t="s">
        <v>1129</v>
      </c>
      <c r="D87" s="134"/>
      <c r="E87" s="134"/>
      <c r="F87" s="134" t="s">
        <v>847</v>
      </c>
      <c r="G87" s="134"/>
      <c r="H87" s="18"/>
      <c r="I87" s="20">
        <v>19</v>
      </c>
      <c r="J87" s="134" t="s">
        <v>1138</v>
      </c>
      <c r="K87" s="134"/>
      <c r="L87" s="134"/>
      <c r="M87" s="134" t="s">
        <v>847</v>
      </c>
      <c r="N87" s="134"/>
      <c r="O87" s="18"/>
    </row>
    <row r="88" spans="1:15" ht="14.5" customHeight="1">
      <c r="A88" s="18"/>
      <c r="B88" s="20">
        <v>10</v>
      </c>
      <c r="C88" s="134" t="s">
        <v>1130</v>
      </c>
      <c r="D88" s="134"/>
      <c r="E88" s="134"/>
      <c r="F88" s="134" t="s">
        <v>847</v>
      </c>
      <c r="G88" s="134"/>
      <c r="H88" s="18"/>
      <c r="I88" s="20">
        <v>20</v>
      </c>
      <c r="J88" s="134" t="s">
        <v>1139</v>
      </c>
      <c r="K88" s="134"/>
      <c r="L88" s="134"/>
      <c r="M88" s="134" t="s">
        <v>847</v>
      </c>
      <c r="N88" s="134"/>
      <c r="O88" s="18"/>
    </row>
    <row r="89" spans="1:15" ht="14.5" customHeight="1">
      <c r="A89" s="18"/>
      <c r="B89" s="18"/>
      <c r="C89" s="18"/>
      <c r="D89" s="18"/>
      <c r="E89" s="18"/>
      <c r="F89" s="18"/>
      <c r="G89" s="18"/>
      <c r="H89" s="18"/>
      <c r="I89" s="20">
        <v>21</v>
      </c>
      <c r="J89" s="134" t="s">
        <v>1140</v>
      </c>
      <c r="K89" s="134"/>
      <c r="L89" s="134"/>
      <c r="M89" s="134" t="s">
        <v>847</v>
      </c>
      <c r="N89" s="134"/>
      <c r="O89" s="18"/>
    </row>
    <row r="90" spans="1:15" ht="14.5" customHeight="1">
      <c r="A90" s="18"/>
      <c r="B90" s="18"/>
      <c r="C90" s="18"/>
      <c r="D90" s="18"/>
      <c r="E90" s="18"/>
      <c r="F90" s="18"/>
      <c r="G90" s="18"/>
      <c r="H90" s="18"/>
      <c r="I90" s="18"/>
      <c r="J90" s="18"/>
      <c r="K90" s="18"/>
      <c r="L90" s="18"/>
      <c r="M90" s="18"/>
      <c r="N90" s="18"/>
      <c r="O90" s="18"/>
    </row>
    <row r="91" spans="1:15" ht="14.5" customHeight="1">
      <c r="A91" s="18"/>
      <c r="B91" s="18"/>
      <c r="C91" s="18"/>
      <c r="D91" s="18"/>
      <c r="E91" s="18"/>
      <c r="F91" s="18"/>
      <c r="G91" s="18"/>
      <c r="H91" s="18"/>
      <c r="I91" s="18"/>
      <c r="J91" s="18"/>
      <c r="K91" s="18"/>
      <c r="L91" s="18"/>
      <c r="M91" s="18"/>
      <c r="N91" s="18"/>
      <c r="O91" s="18"/>
    </row>
    <row r="92" spans="1:15" ht="14.5" customHeight="1"/>
    <row r="93" spans="1:15" ht="14.5" customHeight="1"/>
    <row r="94" spans="1:15" ht="14.5" customHeight="1"/>
    <row r="95" spans="1:15" ht="14.5" customHeight="1"/>
    <row r="96" spans="1:15"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sheetData>
  <mergeCells count="50">
    <mergeCell ref="C79:E79"/>
    <mergeCell ref="F79:G79"/>
    <mergeCell ref="C80:E80"/>
    <mergeCell ref="F80:G80"/>
    <mergeCell ref="C81:E81"/>
    <mergeCell ref="F81:G81"/>
    <mergeCell ref="A1:L1"/>
    <mergeCell ref="C2:F2"/>
    <mergeCell ref="G2:J2"/>
    <mergeCell ref="A77:O77"/>
    <mergeCell ref="C78:E78"/>
    <mergeCell ref="F78:G78"/>
    <mergeCell ref="F82:G82"/>
    <mergeCell ref="C83:E83"/>
    <mergeCell ref="F83:G83"/>
    <mergeCell ref="C84:E84"/>
    <mergeCell ref="F84:G84"/>
    <mergeCell ref="C82:E82"/>
    <mergeCell ref="C85:E85"/>
    <mergeCell ref="F85:G85"/>
    <mergeCell ref="C86:E86"/>
    <mergeCell ref="F86:G86"/>
    <mergeCell ref="C87:E87"/>
    <mergeCell ref="F87:G87"/>
    <mergeCell ref="C88:E88"/>
    <mergeCell ref="F88:G88"/>
    <mergeCell ref="J78:L78"/>
    <mergeCell ref="M78:N78"/>
    <mergeCell ref="J79:L79"/>
    <mergeCell ref="M79:N79"/>
    <mergeCell ref="J80:L80"/>
    <mergeCell ref="M80:N80"/>
    <mergeCell ref="J81:L81"/>
    <mergeCell ref="M81:N81"/>
    <mergeCell ref="J82:L82"/>
    <mergeCell ref="M82:N82"/>
    <mergeCell ref="J83:L83"/>
    <mergeCell ref="M83:N83"/>
    <mergeCell ref="J84:L84"/>
    <mergeCell ref="M84:N84"/>
    <mergeCell ref="J88:L88"/>
    <mergeCell ref="M88:N88"/>
    <mergeCell ref="J89:L89"/>
    <mergeCell ref="M89:N89"/>
    <mergeCell ref="J85:L85"/>
    <mergeCell ref="M85:N85"/>
    <mergeCell ref="J86:L86"/>
    <mergeCell ref="M86:N86"/>
    <mergeCell ref="J87:L87"/>
    <mergeCell ref="M87:N8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8119-1D00-485D-AEF7-03545E25EB58}">
  <dimension ref="A1:O108"/>
  <sheetViews>
    <sheetView showGridLines="0" rightToLeft="1" workbookViewId="0">
      <pane ySplit="3" topLeftCell="A47" activePane="bottomLeft" state="frozen"/>
      <selection pane="bottomLeft" activeCell="J82" sqref="J82"/>
    </sheetView>
  </sheetViews>
  <sheetFormatPr defaultRowHeight="14"/>
  <cols>
    <col min="1" max="1" width="15.83203125" customWidth="1"/>
    <col min="2" max="2" width="17.5" customWidth="1"/>
    <col min="3" max="13" width="13" customWidth="1"/>
    <col min="14" max="14" width="17.5" customWidth="1"/>
  </cols>
  <sheetData>
    <row r="1" spans="1:14" ht="26" customHeight="1">
      <c r="A1" s="119" t="s">
        <v>451</v>
      </c>
      <c r="B1" s="119"/>
      <c r="C1" s="119"/>
      <c r="D1" s="119"/>
      <c r="E1" s="119"/>
      <c r="F1" s="119"/>
      <c r="G1" s="119"/>
      <c r="H1" s="119"/>
      <c r="I1" s="119"/>
      <c r="J1" s="119"/>
      <c r="K1" s="119"/>
      <c r="L1" s="119"/>
      <c r="M1" s="119"/>
      <c r="N1" s="119"/>
    </row>
    <row r="2" spans="1:14" ht="20" customHeight="1">
      <c r="A2" s="49"/>
      <c r="B2" s="49"/>
      <c r="C2" s="137" t="s">
        <v>438</v>
      </c>
      <c r="D2" s="137"/>
      <c r="E2" s="137"/>
      <c r="F2" s="137"/>
      <c r="G2" s="137" t="s">
        <v>439</v>
      </c>
      <c r="H2" s="137"/>
      <c r="I2" s="137"/>
      <c r="J2" s="137"/>
      <c r="K2" s="137" t="s">
        <v>452</v>
      </c>
      <c r="L2" s="137"/>
      <c r="M2" s="137"/>
      <c r="N2" s="49"/>
    </row>
    <row r="3" spans="1:14" ht="32" customHeight="1" thickBot="1">
      <c r="A3" s="49" t="s">
        <v>426</v>
      </c>
      <c r="B3" s="49" t="s">
        <v>7</v>
      </c>
      <c r="C3" s="49" t="s">
        <v>8</v>
      </c>
      <c r="D3" s="49" t="s">
        <v>9</v>
      </c>
      <c r="E3" s="49" t="s">
        <v>84</v>
      </c>
      <c r="F3" s="49" t="s">
        <v>119</v>
      </c>
      <c r="G3" s="49" t="s">
        <v>8</v>
      </c>
      <c r="H3" s="49" t="s">
        <v>9</v>
      </c>
      <c r="I3" s="49" t="s">
        <v>84</v>
      </c>
      <c r="J3" s="49" t="s">
        <v>119</v>
      </c>
      <c r="K3" s="49" t="s">
        <v>8</v>
      </c>
      <c r="L3" s="49" t="s">
        <v>9</v>
      </c>
      <c r="M3" s="49" t="s">
        <v>84</v>
      </c>
      <c r="N3" s="49" t="s">
        <v>427</v>
      </c>
    </row>
    <row r="4" spans="1:14"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23</v>
      </c>
      <c r="D4" s="51" t="s">
        <v>25</v>
      </c>
      <c r="E4" s="51" t="s">
        <v>22</v>
      </c>
      <c r="F4" s="51" t="s">
        <v>31</v>
      </c>
      <c r="G4" s="51" t="s">
        <v>79</v>
      </c>
      <c r="H4" s="51" t="s">
        <v>101</v>
      </c>
      <c r="I4" s="51" t="s">
        <v>75</v>
      </c>
      <c r="J4" s="51" t="s">
        <v>85</v>
      </c>
      <c r="K4" s="51" t="s">
        <v>122</v>
      </c>
      <c r="L4" s="51" t="s">
        <v>131</v>
      </c>
      <c r="M4" s="51"/>
      <c r="N4" s="51">
        <f>COUNTA(C4:M12)</f>
        <v>50</v>
      </c>
    </row>
    <row r="5" spans="1:14"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c r="D5" s="50"/>
      <c r="E5" s="50"/>
      <c r="F5" s="50"/>
      <c r="G5" s="50"/>
      <c r="H5" s="50"/>
      <c r="I5" s="50"/>
      <c r="J5" s="50"/>
      <c r="K5" s="50" t="s">
        <v>268</v>
      </c>
      <c r="L5" s="50" t="s">
        <v>154</v>
      </c>
      <c r="M5" s="50"/>
      <c r="N5" s="50"/>
    </row>
    <row r="6" spans="1:14"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32</v>
      </c>
      <c r="D6" s="47" t="s">
        <v>17</v>
      </c>
      <c r="E6" s="47" t="s">
        <v>16</v>
      </c>
      <c r="F6" s="47" t="s">
        <v>26</v>
      </c>
      <c r="G6" s="47" t="s">
        <v>100</v>
      </c>
      <c r="H6" s="47" t="s">
        <v>67</v>
      </c>
      <c r="I6" s="47" t="s">
        <v>139</v>
      </c>
      <c r="J6" s="47" t="s">
        <v>99</v>
      </c>
      <c r="K6" s="47" t="s">
        <v>138</v>
      </c>
      <c r="L6" s="47" t="s">
        <v>261</v>
      </c>
      <c r="M6" s="47"/>
      <c r="N6" s="47"/>
    </row>
    <row r="7" spans="1:14"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c r="D7" s="47"/>
      <c r="E7" s="47"/>
      <c r="F7" s="47"/>
      <c r="G7" s="47"/>
      <c r="H7" s="47"/>
      <c r="I7" s="47"/>
      <c r="J7" s="47"/>
      <c r="K7" s="47" t="s">
        <v>126</v>
      </c>
      <c r="L7" s="47" t="s">
        <v>260</v>
      </c>
      <c r="M7" s="47"/>
      <c r="N7" s="47"/>
    </row>
    <row r="8" spans="1:14"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28</v>
      </c>
      <c r="D8" s="47" t="s">
        <v>20</v>
      </c>
      <c r="E8" s="47" t="s">
        <v>12</v>
      </c>
      <c r="F8" s="47" t="s">
        <v>37</v>
      </c>
      <c r="G8" s="47" t="s">
        <v>237</v>
      </c>
      <c r="H8" s="47" t="s">
        <v>59</v>
      </c>
      <c r="I8" s="47" t="s">
        <v>82</v>
      </c>
      <c r="J8" s="47" t="s">
        <v>98</v>
      </c>
      <c r="K8" s="47" t="s">
        <v>120</v>
      </c>
      <c r="L8" s="47" t="s">
        <v>127</v>
      </c>
      <c r="M8" s="47"/>
      <c r="N8" s="47"/>
    </row>
    <row r="9" spans="1:14"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c r="D9" s="47"/>
      <c r="E9" s="47"/>
      <c r="F9" s="47"/>
      <c r="G9" s="47"/>
      <c r="H9" s="47"/>
      <c r="I9" s="47"/>
      <c r="J9" s="47"/>
      <c r="K9" s="47" t="s">
        <v>248</v>
      </c>
      <c r="L9" s="47" t="s">
        <v>128</v>
      </c>
      <c r="M9" s="47"/>
      <c r="N9" s="47"/>
    </row>
    <row r="10" spans="1:14"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18</v>
      </c>
      <c r="D10" s="47" t="s">
        <v>10</v>
      </c>
      <c r="E10" s="47" t="s">
        <v>30</v>
      </c>
      <c r="F10" s="47" t="s">
        <v>35</v>
      </c>
      <c r="G10" s="47" t="s">
        <v>92</v>
      </c>
      <c r="H10" s="47" t="s">
        <v>93</v>
      </c>
      <c r="I10" s="47" t="s">
        <v>86</v>
      </c>
      <c r="J10" s="47" t="s">
        <v>224</v>
      </c>
      <c r="K10" s="47" t="s">
        <v>125</v>
      </c>
      <c r="L10" s="47" t="s">
        <v>123</v>
      </c>
      <c r="M10" s="47"/>
      <c r="N10" s="47"/>
    </row>
    <row r="11" spans="1:14"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c r="D11" s="47"/>
      <c r="E11" s="47"/>
      <c r="F11" s="47"/>
      <c r="G11" s="47"/>
      <c r="H11" s="47"/>
      <c r="I11" s="47"/>
      <c r="J11" s="47"/>
      <c r="K11" s="47" t="s">
        <v>129</v>
      </c>
      <c r="L11" s="47"/>
      <c r="M11" s="47"/>
      <c r="N11" s="47"/>
    </row>
    <row r="12" spans="1:14"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c r="D12" s="48"/>
      <c r="E12" s="48"/>
      <c r="F12" s="48"/>
      <c r="G12" s="48"/>
      <c r="H12" s="48"/>
      <c r="I12" s="48"/>
      <c r="J12" s="48"/>
      <c r="K12" s="48" t="s">
        <v>185</v>
      </c>
      <c r="L12" s="48" t="s">
        <v>130</v>
      </c>
      <c r="M12" s="48" t="s">
        <v>141</v>
      </c>
      <c r="N12" s="48"/>
    </row>
    <row r="13" spans="1:14"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11</v>
      </c>
      <c r="D13" s="51" t="s">
        <v>24</v>
      </c>
      <c r="E13" s="51" t="s">
        <v>13</v>
      </c>
      <c r="F13" s="51" t="s">
        <v>33</v>
      </c>
      <c r="G13" s="51" t="s">
        <v>55</v>
      </c>
      <c r="H13" s="51" t="s">
        <v>150</v>
      </c>
      <c r="I13" s="51" t="s">
        <v>80</v>
      </c>
      <c r="J13" s="51" t="s">
        <v>88</v>
      </c>
      <c r="K13" s="51" t="s">
        <v>262</v>
      </c>
      <c r="L13" s="51"/>
      <c r="M13" s="51"/>
      <c r="N13" s="51">
        <f>COUNTA(C13:M22)</f>
        <v>50</v>
      </c>
    </row>
    <row r="14" spans="1:14"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c r="D14" s="50"/>
      <c r="E14" s="50"/>
      <c r="F14" s="50"/>
      <c r="G14" s="50"/>
      <c r="H14" s="50"/>
      <c r="I14" s="50"/>
      <c r="J14" s="50"/>
      <c r="K14" s="50" t="s">
        <v>137</v>
      </c>
      <c r="L14" s="50"/>
      <c r="M14" s="50"/>
      <c r="N14" s="50"/>
    </row>
    <row r="15" spans="1:14"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21</v>
      </c>
      <c r="D15" s="47" t="s">
        <v>34</v>
      </c>
      <c r="E15" s="47" t="s">
        <v>15</v>
      </c>
      <c r="F15" s="47" t="s">
        <v>27</v>
      </c>
      <c r="G15" s="47" t="s">
        <v>70</v>
      </c>
      <c r="H15" s="47" t="s">
        <v>87</v>
      </c>
      <c r="I15" s="47" t="s">
        <v>83</v>
      </c>
      <c r="J15" s="47" t="s">
        <v>222</v>
      </c>
      <c r="K15" s="47" t="s">
        <v>116</v>
      </c>
      <c r="L15" s="47" t="s">
        <v>144</v>
      </c>
      <c r="M15" s="47"/>
      <c r="N15" s="47"/>
    </row>
    <row r="16" spans="1:14"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c r="D16" s="47"/>
      <c r="E16" s="47"/>
      <c r="F16" s="47"/>
      <c r="G16" s="47"/>
      <c r="H16" s="47"/>
      <c r="I16" s="47"/>
      <c r="J16" s="47"/>
      <c r="K16" s="47" t="s">
        <v>109</v>
      </c>
      <c r="L16" s="47" t="s">
        <v>143</v>
      </c>
      <c r="M16" s="47"/>
      <c r="N16" s="47"/>
    </row>
    <row r="17" spans="1:14"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14</v>
      </c>
      <c r="D17" s="47" t="s">
        <v>36</v>
      </c>
      <c r="E17" s="47" t="s">
        <v>29</v>
      </c>
      <c r="F17" s="47" t="s">
        <v>19</v>
      </c>
      <c r="G17" s="47" t="s">
        <v>49</v>
      </c>
      <c r="H17" s="47" t="s">
        <v>89</v>
      </c>
      <c r="I17" s="47" t="s">
        <v>90</v>
      </c>
      <c r="J17" s="47" t="s">
        <v>91</v>
      </c>
      <c r="K17" s="47" t="s">
        <v>136</v>
      </c>
      <c r="L17" s="47" t="s">
        <v>132</v>
      </c>
      <c r="M17" s="47"/>
      <c r="N17" s="47"/>
    </row>
    <row r="18" spans="1:14"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c r="D18" s="47"/>
      <c r="E18" s="47"/>
      <c r="F18" s="47"/>
      <c r="G18" s="47"/>
      <c r="H18" s="47"/>
      <c r="I18" s="47"/>
      <c r="J18" s="47"/>
      <c r="K18" s="47" t="s">
        <v>134</v>
      </c>
      <c r="L18" s="47" t="s">
        <v>121</v>
      </c>
      <c r="M18" s="47"/>
      <c r="N18" s="47"/>
    </row>
    <row r="19" spans="1:14"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23</v>
      </c>
      <c r="D19" s="47" t="s">
        <v>20</v>
      </c>
      <c r="E19" s="47" t="s">
        <v>35</v>
      </c>
      <c r="F19" s="47" t="s">
        <v>26</v>
      </c>
      <c r="G19" s="47" t="s">
        <v>79</v>
      </c>
      <c r="H19" s="47" t="s">
        <v>59</v>
      </c>
      <c r="I19" s="47" t="s">
        <v>224</v>
      </c>
      <c r="J19" s="47" t="s">
        <v>99</v>
      </c>
      <c r="K19" s="47" t="s">
        <v>148</v>
      </c>
      <c r="L19" s="47" t="s">
        <v>140</v>
      </c>
      <c r="M19" s="47"/>
      <c r="N19" s="47"/>
    </row>
    <row r="20" spans="1:14"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c r="D20" s="47"/>
      <c r="E20" s="47"/>
      <c r="F20" s="47"/>
      <c r="G20" s="47"/>
      <c r="H20" s="47"/>
      <c r="I20" s="47"/>
      <c r="J20" s="47"/>
      <c r="K20" s="47" t="s">
        <v>186</v>
      </c>
      <c r="L20" s="47" t="s">
        <v>133</v>
      </c>
      <c r="M20" s="47"/>
      <c r="N20" s="47"/>
    </row>
    <row r="21" spans="1:14" ht="14.5" customHeight="1">
      <c r="A21" s="47"/>
      <c r="B21"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7"/>
      <c r="D21" s="47"/>
      <c r="E21" s="47"/>
      <c r="F21" s="47"/>
      <c r="G21" s="47"/>
      <c r="H21" s="47"/>
      <c r="I21" s="47"/>
      <c r="J21" s="47"/>
      <c r="K21" s="47" t="s">
        <v>151</v>
      </c>
      <c r="L21" s="47"/>
      <c r="M21" s="47"/>
      <c r="N21" s="47"/>
    </row>
    <row r="22" spans="1:14" ht="14.5" customHeight="1" thickBot="1">
      <c r="A22" s="48"/>
      <c r="B22"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22" s="48"/>
      <c r="D22" s="48"/>
      <c r="E22" s="48"/>
      <c r="F22" s="48"/>
      <c r="G22" s="48"/>
      <c r="H22" s="48"/>
      <c r="I22" s="48"/>
      <c r="J22" s="48"/>
      <c r="K22" s="48" t="s">
        <v>124</v>
      </c>
      <c r="L22" s="48" t="s">
        <v>266</v>
      </c>
      <c r="M22" s="48" t="s">
        <v>114</v>
      </c>
      <c r="N22" s="48"/>
    </row>
    <row r="23" spans="1:14" ht="14.5" customHeight="1">
      <c r="A23" s="51" t="s">
        <v>430</v>
      </c>
      <c r="B2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3" s="51" t="s">
        <v>28</v>
      </c>
      <c r="D23" s="51" t="s">
        <v>17</v>
      </c>
      <c r="E23" s="51" t="s">
        <v>15</v>
      </c>
      <c r="F23" s="51" t="s">
        <v>37</v>
      </c>
      <c r="G23" s="51" t="s">
        <v>237</v>
      </c>
      <c r="H23" s="51" t="s">
        <v>67</v>
      </c>
      <c r="I23" s="51" t="s">
        <v>83</v>
      </c>
      <c r="J23" s="51" t="s">
        <v>98</v>
      </c>
      <c r="K23" s="51" t="s">
        <v>137</v>
      </c>
      <c r="L23" s="51" t="s">
        <v>136</v>
      </c>
      <c r="M23" s="51"/>
      <c r="N23" s="51">
        <f>COUNTA(C23:M31)</f>
        <v>50</v>
      </c>
    </row>
    <row r="24" spans="1:14" ht="14.5" customHeight="1">
      <c r="A24" s="50"/>
      <c r="B2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4" s="50"/>
      <c r="D24" s="50"/>
      <c r="E24" s="50"/>
      <c r="F24" s="50"/>
      <c r="G24" s="50"/>
      <c r="H24" s="50"/>
      <c r="I24" s="50"/>
      <c r="J24" s="50"/>
      <c r="K24" s="50" t="s">
        <v>126</v>
      </c>
      <c r="L24" s="50"/>
      <c r="M24" s="50"/>
      <c r="N24" s="50"/>
    </row>
    <row r="25" spans="1:14" ht="14.5" customHeight="1">
      <c r="A25" s="47"/>
      <c r="B2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5" s="47" t="s">
        <v>21</v>
      </c>
      <c r="D25" s="47" t="s">
        <v>24</v>
      </c>
      <c r="E25" s="47" t="s">
        <v>36</v>
      </c>
      <c r="F25" s="47" t="s">
        <v>27</v>
      </c>
      <c r="G25" s="47" t="s">
        <v>70</v>
      </c>
      <c r="H25" s="47" t="s">
        <v>150</v>
      </c>
      <c r="I25" s="47" t="s">
        <v>89</v>
      </c>
      <c r="J25" s="47" t="s">
        <v>222</v>
      </c>
      <c r="K25" s="47" t="s">
        <v>138</v>
      </c>
      <c r="L25" s="47" t="s">
        <v>120</v>
      </c>
      <c r="M25" s="47" t="s">
        <v>260</v>
      </c>
      <c r="N25" s="47"/>
    </row>
    <row r="26" spans="1:14" ht="14.5" customHeight="1">
      <c r="A26" s="47"/>
      <c r="B2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6" s="47"/>
      <c r="D26" s="47"/>
      <c r="E26" s="47"/>
      <c r="F26" s="47"/>
      <c r="G26" s="47"/>
      <c r="H26" s="47"/>
      <c r="I26" s="47"/>
      <c r="J26" s="47"/>
      <c r="K26" s="47" t="s">
        <v>116</v>
      </c>
      <c r="L26" s="47"/>
      <c r="M26" s="47"/>
      <c r="N26" s="47"/>
    </row>
    <row r="27" spans="1:14" ht="14.5" customHeight="1">
      <c r="A27" s="47"/>
      <c r="B2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7" s="47" t="s">
        <v>14</v>
      </c>
      <c r="D27" s="47" t="s">
        <v>22</v>
      </c>
      <c r="E27" s="47" t="s">
        <v>19</v>
      </c>
      <c r="F27" s="47" t="s">
        <v>33</v>
      </c>
      <c r="G27" s="47" t="s">
        <v>49</v>
      </c>
      <c r="H27" s="47" t="s">
        <v>75</v>
      </c>
      <c r="I27" s="47" t="s">
        <v>91</v>
      </c>
      <c r="J27" s="47" t="s">
        <v>88</v>
      </c>
      <c r="K27" s="47" t="s">
        <v>121</v>
      </c>
      <c r="L27" s="47" t="s">
        <v>134</v>
      </c>
      <c r="M27" s="47" t="s">
        <v>268</v>
      </c>
      <c r="N27" s="47"/>
    </row>
    <row r="28" spans="1:14" ht="14.5" customHeight="1">
      <c r="A28" s="47"/>
      <c r="B2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8" s="47"/>
      <c r="D28" s="47"/>
      <c r="E28" s="47"/>
      <c r="F28" s="47"/>
      <c r="G28" s="47"/>
      <c r="H28" s="47"/>
      <c r="I28" s="47"/>
      <c r="J28" s="47"/>
      <c r="K28" s="47" t="s">
        <v>132</v>
      </c>
      <c r="L28" s="47"/>
      <c r="M28" s="47"/>
      <c r="N28" s="47"/>
    </row>
    <row r="29" spans="1:14" ht="14.5" customHeight="1">
      <c r="A29" s="47"/>
      <c r="B2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9" s="47" t="s">
        <v>32</v>
      </c>
      <c r="D29" s="47" t="s">
        <v>10</v>
      </c>
      <c r="E29" s="47" t="s">
        <v>30</v>
      </c>
      <c r="F29" s="47" t="s">
        <v>12</v>
      </c>
      <c r="G29" s="47" t="s">
        <v>100</v>
      </c>
      <c r="H29" s="47" t="s">
        <v>93</v>
      </c>
      <c r="I29" s="47" t="s">
        <v>86</v>
      </c>
      <c r="J29" s="47" t="s">
        <v>82</v>
      </c>
      <c r="K29" s="47" t="s">
        <v>130</v>
      </c>
      <c r="L29" s="47" t="s">
        <v>141</v>
      </c>
      <c r="M29" s="47" t="s">
        <v>186</v>
      </c>
      <c r="N29" s="47"/>
    </row>
    <row r="30" spans="1:14" ht="14.5" customHeight="1">
      <c r="A30" s="47"/>
      <c r="B3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0" s="47"/>
      <c r="D30" s="47"/>
      <c r="E30" s="47"/>
      <c r="F30" s="47"/>
      <c r="G30" s="47"/>
      <c r="H30" s="47"/>
      <c r="I30" s="47"/>
      <c r="J30" s="47"/>
      <c r="K30" s="47" t="s">
        <v>185</v>
      </c>
      <c r="L30" s="47"/>
      <c r="M30" s="47"/>
      <c r="N30" s="47"/>
    </row>
    <row r="31" spans="1:14" ht="14.5" customHeight="1" thickBot="1">
      <c r="A31" s="48"/>
      <c r="B3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1" s="48"/>
      <c r="D31" s="48"/>
      <c r="E31" s="48"/>
      <c r="F31" s="48"/>
      <c r="G31" s="48"/>
      <c r="H31" s="48"/>
      <c r="I31" s="48"/>
      <c r="J31" s="48"/>
      <c r="K31" s="48" t="s">
        <v>127</v>
      </c>
      <c r="L31" s="48" t="s">
        <v>129</v>
      </c>
      <c r="M31" s="48" t="s">
        <v>262</v>
      </c>
      <c r="N31" s="48"/>
    </row>
    <row r="32" spans="1:14"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11</v>
      </c>
      <c r="D32" s="51" t="s">
        <v>25</v>
      </c>
      <c r="E32" s="51" t="s">
        <v>13</v>
      </c>
      <c r="F32" s="51" t="s">
        <v>31</v>
      </c>
      <c r="G32" s="51" t="s">
        <v>55</v>
      </c>
      <c r="H32" s="51" t="s">
        <v>101</v>
      </c>
      <c r="I32" s="51" t="s">
        <v>80</v>
      </c>
      <c r="J32" s="51" t="s">
        <v>85</v>
      </c>
      <c r="K32" s="51" t="s">
        <v>266</v>
      </c>
      <c r="L32" s="51" t="s">
        <v>154</v>
      </c>
      <c r="M32" s="51"/>
      <c r="N32" s="51">
        <f>COUNTA(C32:M40)</f>
        <v>50</v>
      </c>
    </row>
    <row r="33" spans="1:14"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c r="D33" s="50"/>
      <c r="E33" s="50"/>
      <c r="F33" s="50"/>
      <c r="G33" s="50"/>
      <c r="H33" s="50"/>
      <c r="I33" s="50"/>
      <c r="J33" s="50"/>
      <c r="K33" s="50" t="s">
        <v>125</v>
      </c>
      <c r="L33" s="50"/>
      <c r="M33" s="50"/>
      <c r="N33" s="50"/>
    </row>
    <row r="34" spans="1:14"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18</v>
      </c>
      <c r="D34" s="47" t="s">
        <v>34</v>
      </c>
      <c r="E34" s="47" t="s">
        <v>16</v>
      </c>
      <c r="F34" s="47" t="s">
        <v>29</v>
      </c>
      <c r="G34" s="47" t="s">
        <v>92</v>
      </c>
      <c r="H34" s="47" t="s">
        <v>87</v>
      </c>
      <c r="I34" s="47" t="s">
        <v>139</v>
      </c>
      <c r="J34" s="47" t="s">
        <v>90</v>
      </c>
      <c r="K34" s="47" t="s">
        <v>143</v>
      </c>
      <c r="L34" s="47" t="s">
        <v>114</v>
      </c>
      <c r="M34" s="47" t="s">
        <v>148</v>
      </c>
      <c r="N34" s="47"/>
    </row>
    <row r="35" spans="1:14"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c r="D35" s="47"/>
      <c r="E35" s="47"/>
      <c r="F35" s="47"/>
      <c r="G35" s="47"/>
      <c r="H35" s="47"/>
      <c r="I35" s="47"/>
      <c r="J35" s="47"/>
      <c r="K35" s="47" t="s">
        <v>140</v>
      </c>
      <c r="L35" s="47"/>
      <c r="M35" s="47"/>
      <c r="N35" s="47"/>
    </row>
    <row r="36" spans="1:14"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32</v>
      </c>
      <c r="D36" s="47" t="s">
        <v>17</v>
      </c>
      <c r="E36" s="47" t="s">
        <v>30</v>
      </c>
      <c r="F36" s="47" t="s">
        <v>19</v>
      </c>
      <c r="G36" s="47" t="s">
        <v>100</v>
      </c>
      <c r="H36" s="47" t="s">
        <v>67</v>
      </c>
      <c r="I36" s="47" t="s">
        <v>86</v>
      </c>
      <c r="J36" s="47" t="s">
        <v>91</v>
      </c>
      <c r="K36" s="47" t="s">
        <v>124</v>
      </c>
      <c r="L36" s="47" t="s">
        <v>248</v>
      </c>
      <c r="M36" s="47" t="s">
        <v>133</v>
      </c>
      <c r="N36" s="47"/>
    </row>
    <row r="37" spans="1:14"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c r="D37" s="47"/>
      <c r="E37" s="47"/>
      <c r="F37" s="47"/>
      <c r="G37" s="47"/>
      <c r="H37" s="47"/>
      <c r="I37" s="47"/>
      <c r="J37" s="47"/>
      <c r="K37" s="47" t="s">
        <v>151</v>
      </c>
      <c r="L37" s="47"/>
      <c r="M37" s="47"/>
      <c r="N37" s="47"/>
    </row>
    <row r="38" spans="1:14"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23</v>
      </c>
      <c r="D38" s="47" t="s">
        <v>24</v>
      </c>
      <c r="E38" s="47" t="s">
        <v>22</v>
      </c>
      <c r="F38" s="47" t="s">
        <v>33</v>
      </c>
      <c r="G38" s="47" t="s">
        <v>79</v>
      </c>
      <c r="H38" s="47" t="s">
        <v>150</v>
      </c>
      <c r="I38" s="47" t="s">
        <v>75</v>
      </c>
      <c r="J38" s="47" t="s">
        <v>88</v>
      </c>
      <c r="K38" s="47" t="s">
        <v>261</v>
      </c>
      <c r="L38" s="47" t="s">
        <v>128</v>
      </c>
      <c r="M38" s="47" t="s">
        <v>144</v>
      </c>
      <c r="N38" s="47"/>
    </row>
    <row r="39" spans="1:14"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c r="D39" s="47"/>
      <c r="E39" s="47"/>
      <c r="F39" s="47"/>
      <c r="G39" s="47"/>
      <c r="H39" s="47"/>
      <c r="I39" s="47"/>
      <c r="J39" s="47"/>
      <c r="K39" s="47" t="s">
        <v>109</v>
      </c>
      <c r="L39" s="47"/>
      <c r="M39" s="47"/>
      <c r="N39" s="47"/>
    </row>
    <row r="40" spans="1:14" ht="14.5" customHeight="1" thickBot="1">
      <c r="A40" s="48"/>
      <c r="B4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8"/>
      <c r="D40" s="48"/>
      <c r="E40" s="48"/>
      <c r="F40" s="48"/>
      <c r="G40" s="48"/>
      <c r="H40" s="48"/>
      <c r="I40" s="48"/>
      <c r="J40" s="48"/>
      <c r="K40" s="48" t="s">
        <v>122</v>
      </c>
      <c r="L40" s="48" t="s">
        <v>131</v>
      </c>
      <c r="M40" s="48" t="s">
        <v>123</v>
      </c>
      <c r="N40" s="48"/>
    </row>
    <row r="41" spans="1:14" ht="14.5" customHeight="1">
      <c r="A41" s="51" t="s">
        <v>432</v>
      </c>
      <c r="B4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1" s="51" t="s">
        <v>14</v>
      </c>
      <c r="D41" s="51" t="s">
        <v>16</v>
      </c>
      <c r="E41" s="51" t="s">
        <v>29</v>
      </c>
      <c r="F41" s="51" t="s">
        <v>31</v>
      </c>
      <c r="G41" s="51" t="s">
        <v>49</v>
      </c>
      <c r="H41" s="51" t="s">
        <v>139</v>
      </c>
      <c r="I41" s="51" t="s">
        <v>90</v>
      </c>
      <c r="J41" s="51" t="s">
        <v>85</v>
      </c>
      <c r="K41" s="51" t="s">
        <v>134</v>
      </c>
      <c r="L41" s="51"/>
      <c r="M41" s="51"/>
      <c r="N41" s="51">
        <f>COUNTA(C41:M50)</f>
        <v>50</v>
      </c>
    </row>
    <row r="42" spans="1:14" ht="14.5" customHeight="1">
      <c r="A42" s="50"/>
      <c r="B4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2" s="50"/>
      <c r="D42" s="50"/>
      <c r="E42" s="50"/>
      <c r="F42" s="50"/>
      <c r="G42" s="50"/>
      <c r="H42" s="50"/>
      <c r="I42" s="50"/>
      <c r="J42" s="50"/>
      <c r="K42" s="50" t="s">
        <v>140</v>
      </c>
      <c r="L42" s="50" t="s">
        <v>114</v>
      </c>
      <c r="M42" s="50"/>
      <c r="N42" s="50"/>
    </row>
    <row r="43" spans="1:14" ht="14.5" customHeight="1">
      <c r="A43" s="47"/>
      <c r="B4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3" s="47" t="s">
        <v>28</v>
      </c>
      <c r="D43" s="47" t="s">
        <v>20</v>
      </c>
      <c r="E43" s="47" t="s">
        <v>12</v>
      </c>
      <c r="F43" s="47" t="s">
        <v>37</v>
      </c>
      <c r="G43" s="47" t="s">
        <v>237</v>
      </c>
      <c r="H43" s="47" t="s">
        <v>59</v>
      </c>
      <c r="I43" s="47" t="s">
        <v>82</v>
      </c>
      <c r="J43" s="47" t="s">
        <v>98</v>
      </c>
      <c r="K43" s="47" t="s">
        <v>143</v>
      </c>
      <c r="L43" s="47" t="s">
        <v>148</v>
      </c>
      <c r="M43" s="47"/>
      <c r="N43" s="47"/>
    </row>
    <row r="44" spans="1:14" ht="14.5" customHeight="1">
      <c r="A44" s="47"/>
      <c r="B4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4" s="47"/>
      <c r="D44" s="47"/>
      <c r="E44" s="47"/>
      <c r="F44" s="47"/>
      <c r="G44" s="47"/>
      <c r="H44" s="47"/>
      <c r="I44" s="47"/>
      <c r="J44" s="47"/>
      <c r="K44" s="47" t="s">
        <v>122</v>
      </c>
      <c r="L44" s="47"/>
      <c r="M44" s="47"/>
      <c r="N44" s="47"/>
    </row>
    <row r="45" spans="1:14" ht="14.5" customHeight="1">
      <c r="A45" s="47"/>
      <c r="B4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5" s="47" t="s">
        <v>18</v>
      </c>
      <c r="D45" s="47" t="s">
        <v>25</v>
      </c>
      <c r="E45" s="47" t="s">
        <v>36</v>
      </c>
      <c r="F45" s="47" t="s">
        <v>13</v>
      </c>
      <c r="G45" s="47" t="s">
        <v>92</v>
      </c>
      <c r="H45" s="47" t="s">
        <v>101</v>
      </c>
      <c r="I45" s="47" t="s">
        <v>89</v>
      </c>
      <c r="J45" s="47" t="s">
        <v>80</v>
      </c>
      <c r="K45" s="47" t="s">
        <v>123</v>
      </c>
      <c r="L45" s="47" t="s">
        <v>109</v>
      </c>
      <c r="M45" s="47" t="s">
        <v>131</v>
      </c>
      <c r="N45" s="47"/>
    </row>
    <row r="46" spans="1:14" ht="14.5" customHeight="1">
      <c r="A46" s="47"/>
      <c r="B4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6" s="47"/>
      <c r="D46" s="47"/>
      <c r="E46" s="47"/>
      <c r="F46" s="47"/>
      <c r="G46" s="47"/>
      <c r="H46" s="47"/>
      <c r="I46" s="47"/>
      <c r="J46" s="47"/>
      <c r="K46" s="47" t="s">
        <v>144</v>
      </c>
      <c r="L46" s="47"/>
      <c r="M46" s="47"/>
      <c r="N46" s="47"/>
    </row>
    <row r="47" spans="1:14" ht="14.5" customHeight="1">
      <c r="A47" s="47"/>
      <c r="B4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7" s="47" t="s">
        <v>21</v>
      </c>
      <c r="D47" s="47" t="s">
        <v>34</v>
      </c>
      <c r="E47" s="47" t="s">
        <v>15</v>
      </c>
      <c r="F47" s="47" t="s">
        <v>27</v>
      </c>
      <c r="G47" s="47" t="s">
        <v>70</v>
      </c>
      <c r="H47" s="47" t="s">
        <v>87</v>
      </c>
      <c r="I47" s="47" t="s">
        <v>83</v>
      </c>
      <c r="J47" s="47" t="s">
        <v>222</v>
      </c>
      <c r="K47" s="47" t="s">
        <v>126</v>
      </c>
      <c r="L47" s="47" t="s">
        <v>261</v>
      </c>
      <c r="M47" s="47"/>
      <c r="N47" s="47"/>
    </row>
    <row r="48" spans="1:14" ht="14.5" customHeight="1">
      <c r="A48" s="47"/>
      <c r="B4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8" s="47"/>
      <c r="D48" s="47"/>
      <c r="E48" s="47"/>
      <c r="F48" s="47"/>
      <c r="G48" s="47"/>
      <c r="H48" s="47"/>
      <c r="I48" s="47"/>
      <c r="J48" s="47"/>
      <c r="K48" s="47" t="s">
        <v>141</v>
      </c>
      <c r="L48" s="47" t="s">
        <v>151</v>
      </c>
      <c r="M48" s="47"/>
      <c r="N48" s="47"/>
    </row>
    <row r="49" spans="1:14" ht="14.5" customHeight="1">
      <c r="A49" s="47"/>
      <c r="B49"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9" s="47"/>
      <c r="D49" s="47"/>
      <c r="E49" s="47"/>
      <c r="F49" s="47"/>
      <c r="G49" s="47"/>
      <c r="H49" s="47"/>
      <c r="I49" s="47"/>
      <c r="J49" s="47"/>
      <c r="K49" s="47" t="s">
        <v>132</v>
      </c>
      <c r="L49" s="47" t="s">
        <v>186</v>
      </c>
      <c r="M49" s="47"/>
      <c r="N49" s="47"/>
    </row>
    <row r="50" spans="1:14" ht="14.5" customHeight="1" thickBot="1">
      <c r="A50" s="48"/>
      <c r="B50"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0" s="48"/>
      <c r="D50" s="48"/>
      <c r="E50" s="48"/>
      <c r="F50" s="48"/>
      <c r="G50" s="48"/>
      <c r="H50" s="48"/>
      <c r="I50" s="48"/>
      <c r="J50" s="48"/>
      <c r="K50" s="48" t="s">
        <v>262</v>
      </c>
      <c r="L50" s="48" t="s">
        <v>136</v>
      </c>
      <c r="M50" s="48"/>
      <c r="N50" s="48"/>
    </row>
    <row r="51" spans="1:14" ht="14.5" customHeight="1">
      <c r="A51" s="51" t="s">
        <v>434</v>
      </c>
      <c r="B5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1" s="51" t="s">
        <v>11</v>
      </c>
      <c r="D51" s="51" t="s">
        <v>10</v>
      </c>
      <c r="E51" s="51" t="s">
        <v>35</v>
      </c>
      <c r="F51" s="51" t="s">
        <v>26</v>
      </c>
      <c r="G51" s="51" t="s">
        <v>55</v>
      </c>
      <c r="H51" s="51" t="s">
        <v>93</v>
      </c>
      <c r="I51" s="51" t="s">
        <v>224</v>
      </c>
      <c r="J51" s="51" t="s">
        <v>99</v>
      </c>
      <c r="K51" s="51" t="s">
        <v>268</v>
      </c>
      <c r="L51" s="51" t="s">
        <v>121</v>
      </c>
      <c r="M51" s="51" t="s">
        <v>127</v>
      </c>
      <c r="N51" s="51">
        <f>COUNTA(C51:M59)</f>
        <v>50</v>
      </c>
    </row>
    <row r="52" spans="1:14" ht="14.5" customHeight="1">
      <c r="A52" s="50"/>
      <c r="B5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2" s="50"/>
      <c r="D52" s="50"/>
      <c r="E52" s="50"/>
      <c r="F52" s="50"/>
      <c r="G52" s="50"/>
      <c r="H52" s="50"/>
      <c r="I52" s="50"/>
      <c r="J52" s="50"/>
      <c r="K52" s="50" t="s">
        <v>185</v>
      </c>
      <c r="L52" s="50"/>
      <c r="M52" s="50"/>
      <c r="N52" s="50"/>
    </row>
    <row r="53" spans="1:14" ht="14.5" customHeight="1">
      <c r="A53" s="47"/>
      <c r="B5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3" s="47" t="s">
        <v>21</v>
      </c>
      <c r="D53" s="47" t="s">
        <v>24</v>
      </c>
      <c r="E53" s="47" t="s">
        <v>16</v>
      </c>
      <c r="F53" s="47" t="s">
        <v>33</v>
      </c>
      <c r="G53" s="47" t="s">
        <v>70</v>
      </c>
      <c r="H53" s="47" t="s">
        <v>150</v>
      </c>
      <c r="I53" s="47" t="s">
        <v>139</v>
      </c>
      <c r="J53" s="47" t="s">
        <v>88</v>
      </c>
      <c r="K53" s="47" t="s">
        <v>120</v>
      </c>
      <c r="L53" s="47" t="s">
        <v>248</v>
      </c>
      <c r="M53" s="47"/>
      <c r="N53" s="47"/>
    </row>
    <row r="54" spans="1:14" ht="14.5" customHeight="1">
      <c r="A54" s="47"/>
      <c r="B5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4" s="47"/>
      <c r="D54" s="47"/>
      <c r="E54" s="47"/>
      <c r="F54" s="47"/>
      <c r="G54" s="47"/>
      <c r="H54" s="47"/>
      <c r="I54" s="47"/>
      <c r="J54" s="47"/>
      <c r="K54" s="47" t="s">
        <v>138</v>
      </c>
      <c r="L54" s="47" t="s">
        <v>116</v>
      </c>
      <c r="M54" s="47"/>
      <c r="N54" s="47"/>
    </row>
    <row r="55" spans="1:14" ht="14.5" customHeight="1">
      <c r="A55" s="47"/>
      <c r="B5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5" s="47" t="s">
        <v>28</v>
      </c>
      <c r="D55" s="47" t="s">
        <v>17</v>
      </c>
      <c r="E55" s="47" t="s">
        <v>15</v>
      </c>
      <c r="F55" s="47" t="s">
        <v>37</v>
      </c>
      <c r="G55" s="47" t="s">
        <v>237</v>
      </c>
      <c r="H55" s="47" t="s">
        <v>67</v>
      </c>
      <c r="I55" s="47" t="s">
        <v>83</v>
      </c>
      <c r="J55" s="47" t="s">
        <v>98</v>
      </c>
      <c r="K55" s="47" t="s">
        <v>129</v>
      </c>
      <c r="L55" s="47" t="s">
        <v>260</v>
      </c>
      <c r="M55" s="47"/>
      <c r="N55" s="47"/>
    </row>
    <row r="56" spans="1:14" ht="14.5" customHeight="1">
      <c r="A56" s="47"/>
      <c r="B5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6" s="47"/>
      <c r="D56" s="47"/>
      <c r="E56" s="47"/>
      <c r="F56" s="47"/>
      <c r="G56" s="47"/>
      <c r="H56" s="47"/>
      <c r="I56" s="47"/>
      <c r="J56" s="47"/>
      <c r="K56" s="47" t="s">
        <v>128</v>
      </c>
      <c r="L56" s="47" t="s">
        <v>130</v>
      </c>
      <c r="M56" s="47"/>
      <c r="N56" s="47"/>
    </row>
    <row r="57" spans="1:14" ht="14.5" customHeight="1">
      <c r="A57" s="47"/>
      <c r="B5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7" s="47" t="s">
        <v>23</v>
      </c>
      <c r="D57" s="47" t="s">
        <v>20</v>
      </c>
      <c r="E57" s="47" t="s">
        <v>29</v>
      </c>
      <c r="F57" s="47" t="s">
        <v>31</v>
      </c>
      <c r="G57" s="47" t="s">
        <v>79</v>
      </c>
      <c r="H57" s="47" t="s">
        <v>59</v>
      </c>
      <c r="I57" s="47" t="s">
        <v>90</v>
      </c>
      <c r="J57" s="47" t="s">
        <v>85</v>
      </c>
      <c r="K57" s="47" t="s">
        <v>154</v>
      </c>
      <c r="L57" s="47" t="s">
        <v>124</v>
      </c>
      <c r="M57" s="47"/>
      <c r="N57" s="47"/>
    </row>
    <row r="58" spans="1:14" ht="14.5" customHeight="1">
      <c r="A58" s="47"/>
      <c r="B5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8" s="47"/>
      <c r="D58" s="47"/>
      <c r="E58" s="47"/>
      <c r="F58" s="47"/>
      <c r="G58" s="47"/>
      <c r="H58" s="47"/>
      <c r="I58" s="47"/>
      <c r="J58" s="47"/>
      <c r="K58" s="47" t="s">
        <v>133</v>
      </c>
      <c r="L58" s="47" t="s">
        <v>266</v>
      </c>
      <c r="M58" s="47"/>
      <c r="N58" s="47"/>
    </row>
    <row r="59" spans="1:14" ht="14.5" customHeight="1" thickBot="1">
      <c r="A59" s="48"/>
      <c r="B5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9" s="48"/>
      <c r="D59" s="48"/>
      <c r="E59" s="48"/>
      <c r="F59" s="48"/>
      <c r="G59" s="48"/>
      <c r="H59" s="48"/>
      <c r="I59" s="48"/>
      <c r="J59" s="48"/>
      <c r="K59" s="48" t="s">
        <v>137</v>
      </c>
      <c r="L59" s="48" t="s">
        <v>125</v>
      </c>
      <c r="M59" s="48"/>
      <c r="N59" s="48"/>
    </row>
    <row r="60" spans="1:14" ht="14.5" customHeight="1">
      <c r="A60" s="51" t="s">
        <v>435</v>
      </c>
      <c r="B6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0" s="51" t="s">
        <v>11</v>
      </c>
      <c r="D60" s="51" t="s">
        <v>25</v>
      </c>
      <c r="E60" s="51" t="s">
        <v>35</v>
      </c>
      <c r="F60" s="51" t="s">
        <v>19</v>
      </c>
      <c r="G60" s="51" t="s">
        <v>55</v>
      </c>
      <c r="H60" s="51" t="s">
        <v>101</v>
      </c>
      <c r="I60" s="51" t="s">
        <v>224</v>
      </c>
      <c r="J60" s="51" t="s">
        <v>91</v>
      </c>
      <c r="K60" s="51"/>
      <c r="L60" s="51"/>
      <c r="M60" s="51"/>
      <c r="N60" s="51">
        <f>COUNTA(C60:M66)</f>
        <v>32</v>
      </c>
    </row>
    <row r="61" spans="1:14" ht="14.5" customHeight="1">
      <c r="A61" s="50"/>
      <c r="B6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1" s="50"/>
      <c r="D61" s="50"/>
      <c r="E61" s="50"/>
      <c r="F61" s="50"/>
      <c r="G61" s="50"/>
      <c r="H61" s="50"/>
      <c r="I61" s="50"/>
      <c r="J61" s="50"/>
      <c r="K61" s="50"/>
      <c r="L61" s="50"/>
      <c r="M61" s="50"/>
      <c r="N61" s="50"/>
    </row>
    <row r="62" spans="1:14" ht="14.5" customHeight="1">
      <c r="A62" s="47"/>
      <c r="B6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2" s="47" t="s">
        <v>18</v>
      </c>
      <c r="D62" s="47" t="s">
        <v>34</v>
      </c>
      <c r="E62" s="47" t="s">
        <v>22</v>
      </c>
      <c r="F62" s="47" t="s">
        <v>27</v>
      </c>
      <c r="G62" s="47" t="s">
        <v>92</v>
      </c>
      <c r="H62" s="47" t="s">
        <v>87</v>
      </c>
      <c r="I62" s="47" t="s">
        <v>75</v>
      </c>
      <c r="J62" s="47" t="s">
        <v>222</v>
      </c>
      <c r="K62" s="47"/>
      <c r="L62" s="47"/>
      <c r="M62" s="47"/>
      <c r="N62" s="47"/>
    </row>
    <row r="63" spans="1:14" ht="14.5" customHeight="1">
      <c r="A63" s="47"/>
      <c r="B6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3" s="47"/>
      <c r="D63" s="47"/>
      <c r="E63" s="47"/>
      <c r="F63" s="47"/>
      <c r="G63" s="47"/>
      <c r="H63" s="47"/>
      <c r="I63" s="47"/>
      <c r="J63" s="47"/>
      <c r="K63" s="47"/>
      <c r="L63" s="47"/>
      <c r="M63" s="47"/>
      <c r="N63" s="47"/>
    </row>
    <row r="64" spans="1:14" ht="14.5" customHeight="1">
      <c r="A64" s="47"/>
      <c r="B6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4" s="47" t="s">
        <v>14</v>
      </c>
      <c r="D64" s="47" t="s">
        <v>36</v>
      </c>
      <c r="E64" s="47" t="s">
        <v>13</v>
      </c>
      <c r="F64" s="47" t="s">
        <v>26</v>
      </c>
      <c r="G64" s="47" t="s">
        <v>49</v>
      </c>
      <c r="H64" s="47" t="s">
        <v>89</v>
      </c>
      <c r="I64" s="47" t="s">
        <v>80</v>
      </c>
      <c r="J64" s="47" t="s">
        <v>99</v>
      </c>
      <c r="K64" s="47"/>
      <c r="L64" s="47"/>
      <c r="M64" s="47"/>
      <c r="N64" s="47"/>
    </row>
    <row r="65" spans="1:15" ht="14.5" customHeight="1">
      <c r="A65" s="47"/>
      <c r="B6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5" s="47"/>
      <c r="D65" s="47"/>
      <c r="E65" s="47"/>
      <c r="F65" s="47"/>
      <c r="G65" s="47"/>
      <c r="H65" s="47"/>
      <c r="I65" s="47"/>
      <c r="J65" s="47"/>
      <c r="K65" s="47"/>
      <c r="L65" s="47"/>
      <c r="M65" s="47"/>
      <c r="N65" s="47"/>
    </row>
    <row r="66" spans="1:15" ht="14.5" customHeight="1" thickBot="1">
      <c r="A66" s="52"/>
      <c r="B66" s="52"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6" s="52" t="s">
        <v>32</v>
      </c>
      <c r="D66" s="52" t="s">
        <v>10</v>
      </c>
      <c r="E66" s="52" t="s">
        <v>30</v>
      </c>
      <c r="F66" s="52" t="s">
        <v>12</v>
      </c>
      <c r="G66" s="52" t="s">
        <v>100</v>
      </c>
      <c r="H66" s="52" t="s">
        <v>93</v>
      </c>
      <c r="I66" s="52" t="s">
        <v>86</v>
      </c>
      <c r="J66" s="52" t="s">
        <v>82</v>
      </c>
      <c r="K66" s="52"/>
      <c r="L66" s="52"/>
      <c r="M66" s="52"/>
      <c r="N66" s="52"/>
    </row>
    <row r="67" spans="1:15" ht="14.5" customHeight="1">
      <c r="A67" s="45"/>
      <c r="B67" s="45"/>
      <c r="C67" s="45"/>
      <c r="D67" s="45"/>
      <c r="E67" s="45"/>
      <c r="F67" s="45"/>
      <c r="G67" s="45"/>
      <c r="H67" s="45"/>
      <c r="I67" s="45"/>
      <c r="J67" s="45"/>
      <c r="K67" s="45"/>
      <c r="L67" s="45"/>
      <c r="M67" s="45"/>
      <c r="N67" s="45"/>
    </row>
    <row r="68" spans="1:15" ht="20" customHeight="1">
      <c r="A68" s="136" t="s">
        <v>828</v>
      </c>
      <c r="B68" s="136"/>
      <c r="C68" s="136"/>
      <c r="D68" s="136"/>
      <c r="E68" s="136"/>
      <c r="F68" s="136"/>
      <c r="G68" s="136"/>
      <c r="H68" s="136"/>
      <c r="I68" s="136"/>
      <c r="J68" s="136"/>
      <c r="K68" s="136"/>
      <c r="L68" s="136"/>
      <c r="M68" s="136"/>
      <c r="N68" s="136"/>
      <c r="O68" s="136"/>
    </row>
    <row r="69" spans="1:15" ht="14.5" customHeight="1">
      <c r="A69" s="18"/>
      <c r="B69" s="19" t="s">
        <v>314</v>
      </c>
      <c r="C69" s="135" t="s">
        <v>761</v>
      </c>
      <c r="D69" s="135"/>
      <c r="E69" s="135"/>
      <c r="F69" s="135" t="s">
        <v>755</v>
      </c>
      <c r="G69" s="135"/>
      <c r="H69" s="18"/>
      <c r="I69" s="19" t="s">
        <v>314</v>
      </c>
      <c r="J69" s="135" t="s">
        <v>768</v>
      </c>
      <c r="K69" s="135"/>
      <c r="L69" s="135"/>
      <c r="M69" s="135" t="s">
        <v>755</v>
      </c>
      <c r="N69" s="135"/>
      <c r="O69" s="18"/>
    </row>
    <row r="70" spans="1:15" ht="14.5" customHeight="1">
      <c r="A70" s="18"/>
      <c r="B70" s="20">
        <v>1</v>
      </c>
      <c r="C70" s="134" t="s">
        <v>1053</v>
      </c>
      <c r="D70" s="134"/>
      <c r="E70" s="134"/>
      <c r="F70" s="134" t="s">
        <v>840</v>
      </c>
      <c r="G70" s="134"/>
      <c r="H70" s="18"/>
      <c r="I70" s="20">
        <v>9</v>
      </c>
      <c r="J70" s="134" t="s">
        <v>1052</v>
      </c>
      <c r="K70" s="134"/>
      <c r="L70" s="134"/>
      <c r="M70" s="134" t="s">
        <v>840</v>
      </c>
      <c r="N70" s="134"/>
      <c r="O70" s="18"/>
    </row>
    <row r="71" spans="1:15" ht="14.5" customHeight="1">
      <c r="A71" s="18"/>
      <c r="B71" s="20">
        <v>2</v>
      </c>
      <c r="C71" s="134" t="s">
        <v>1060</v>
      </c>
      <c r="D71" s="134"/>
      <c r="E71" s="134"/>
      <c r="F71" s="134" t="s">
        <v>840</v>
      </c>
      <c r="G71" s="134"/>
      <c r="H71" s="18"/>
      <c r="I71" s="20">
        <v>10</v>
      </c>
      <c r="J71" s="134" t="s">
        <v>1061</v>
      </c>
      <c r="K71" s="134"/>
      <c r="L71" s="134"/>
      <c r="M71" s="134" t="s">
        <v>840</v>
      </c>
      <c r="N71" s="134"/>
      <c r="O71" s="18"/>
    </row>
    <row r="72" spans="1:15" ht="14.5" customHeight="1">
      <c r="A72" s="18"/>
      <c r="B72" s="20">
        <v>3</v>
      </c>
      <c r="C72" s="134" t="s">
        <v>1141</v>
      </c>
      <c r="D72" s="134"/>
      <c r="E72" s="134"/>
      <c r="F72" s="134" t="s">
        <v>841</v>
      </c>
      <c r="G72" s="134"/>
      <c r="H72" s="18"/>
      <c r="I72" s="20">
        <v>11</v>
      </c>
      <c r="J72" s="134" t="s">
        <v>1144</v>
      </c>
      <c r="K72" s="134"/>
      <c r="L72" s="134"/>
      <c r="M72" s="134" t="s">
        <v>841</v>
      </c>
      <c r="N72" s="134"/>
      <c r="O72" s="18"/>
    </row>
    <row r="73" spans="1:15" ht="14.5" customHeight="1">
      <c r="A73" s="18"/>
      <c r="B73" s="20">
        <v>4</v>
      </c>
      <c r="C73" s="134" t="s">
        <v>1142</v>
      </c>
      <c r="D73" s="134"/>
      <c r="E73" s="134"/>
      <c r="F73" s="134" t="s">
        <v>841</v>
      </c>
      <c r="G73" s="134"/>
      <c r="H73" s="18"/>
      <c r="I73" s="20">
        <v>12</v>
      </c>
      <c r="J73" s="134" t="s">
        <v>1062</v>
      </c>
      <c r="K73" s="134"/>
      <c r="L73" s="134"/>
      <c r="M73" s="134" t="s">
        <v>841</v>
      </c>
      <c r="N73" s="134"/>
      <c r="O73" s="18"/>
    </row>
    <row r="74" spans="1:15" ht="14.5" customHeight="1">
      <c r="A74" s="18"/>
      <c r="B74" s="20">
        <v>5</v>
      </c>
      <c r="C74" s="134" t="s">
        <v>1143</v>
      </c>
      <c r="D74" s="134"/>
      <c r="E74" s="134"/>
      <c r="F74" s="134" t="s">
        <v>841</v>
      </c>
      <c r="G74" s="134"/>
      <c r="H74" s="18"/>
      <c r="I74" s="20">
        <v>13</v>
      </c>
      <c r="J74" s="134" t="s">
        <v>1145</v>
      </c>
      <c r="K74" s="134"/>
      <c r="L74" s="134"/>
      <c r="M74" s="134" t="s">
        <v>841</v>
      </c>
      <c r="N74" s="134"/>
      <c r="O74" s="18"/>
    </row>
    <row r="75" spans="1:15" ht="14.5" customHeight="1">
      <c r="A75" s="18"/>
      <c r="B75" s="20">
        <v>6</v>
      </c>
      <c r="C75" s="134" t="s">
        <v>1064</v>
      </c>
      <c r="D75" s="134"/>
      <c r="E75" s="134"/>
      <c r="F75" s="134" t="s">
        <v>841</v>
      </c>
      <c r="G75" s="134"/>
      <c r="H75" s="18"/>
      <c r="I75" s="20">
        <v>14</v>
      </c>
      <c r="J75" s="134" t="s">
        <v>1146</v>
      </c>
      <c r="K75" s="134"/>
      <c r="L75" s="134"/>
      <c r="M75" s="134" t="s">
        <v>847</v>
      </c>
      <c r="N75" s="134"/>
      <c r="O75" s="18"/>
    </row>
    <row r="76" spans="1:15" ht="14.5" customHeight="1">
      <c r="A76" s="18"/>
      <c r="B76" s="20">
        <v>7</v>
      </c>
      <c r="C76" s="134" t="s">
        <v>1057</v>
      </c>
      <c r="D76" s="134"/>
      <c r="E76" s="134"/>
      <c r="F76" s="134" t="s">
        <v>847</v>
      </c>
      <c r="G76" s="134"/>
      <c r="H76" s="18"/>
      <c r="I76" s="20">
        <v>15</v>
      </c>
      <c r="J76" s="134" t="s">
        <v>1058</v>
      </c>
      <c r="K76" s="134"/>
      <c r="L76" s="134"/>
      <c r="M76" s="134" t="s">
        <v>847</v>
      </c>
      <c r="N76" s="134"/>
      <c r="O76" s="18"/>
    </row>
    <row r="77" spans="1:15" ht="14.5" customHeight="1">
      <c r="A77" s="18"/>
      <c r="B77" s="20">
        <v>8</v>
      </c>
      <c r="C77" s="134" t="s">
        <v>1066</v>
      </c>
      <c r="D77" s="134"/>
      <c r="E77" s="134"/>
      <c r="F77" s="134" t="s">
        <v>847</v>
      </c>
      <c r="G77" s="134"/>
      <c r="H77" s="18"/>
      <c r="I77" s="20">
        <v>16</v>
      </c>
      <c r="J77" s="134" t="s">
        <v>1147</v>
      </c>
      <c r="K77" s="134"/>
      <c r="L77" s="134"/>
      <c r="M77" s="134" t="s">
        <v>847</v>
      </c>
      <c r="N77" s="134"/>
      <c r="O77" s="18"/>
    </row>
    <row r="78" spans="1:15" ht="14.5" customHeight="1">
      <c r="A78" s="18"/>
      <c r="B78" s="18"/>
      <c r="C78" s="18"/>
      <c r="D78" s="18"/>
      <c r="E78" s="18"/>
      <c r="F78" s="18"/>
      <c r="G78" s="18"/>
      <c r="H78" s="18"/>
      <c r="I78" s="18"/>
      <c r="J78" s="18"/>
      <c r="K78" s="18"/>
      <c r="L78" s="18"/>
      <c r="M78" s="18"/>
      <c r="N78" s="18"/>
      <c r="O78" s="18"/>
    </row>
    <row r="79" spans="1:15" ht="14.5" customHeight="1">
      <c r="A79" s="18"/>
      <c r="B79" s="19" t="s">
        <v>314</v>
      </c>
      <c r="C79" s="135" t="s">
        <v>773</v>
      </c>
      <c r="D79" s="135"/>
      <c r="E79" s="135"/>
      <c r="F79" s="135" t="s">
        <v>755</v>
      </c>
      <c r="G79" s="135"/>
      <c r="H79" s="18"/>
      <c r="I79" s="18"/>
      <c r="J79" s="18"/>
      <c r="K79" s="18"/>
      <c r="L79" s="18"/>
      <c r="M79" s="18"/>
      <c r="N79" s="18"/>
      <c r="O79" s="18"/>
    </row>
    <row r="80" spans="1:15" ht="14.5" customHeight="1">
      <c r="A80" s="18"/>
      <c r="B80" s="20">
        <v>17</v>
      </c>
      <c r="C80" s="134" t="s">
        <v>1051</v>
      </c>
      <c r="D80" s="134"/>
      <c r="E80" s="134"/>
      <c r="F80" s="134" t="s">
        <v>840</v>
      </c>
      <c r="G80" s="134"/>
      <c r="H80" s="18"/>
      <c r="I80" s="18"/>
      <c r="J80" s="18"/>
      <c r="K80" s="18"/>
      <c r="L80" s="18"/>
      <c r="M80" s="18"/>
      <c r="N80" s="18"/>
      <c r="O80" s="18"/>
    </row>
    <row r="81" spans="1:15" ht="14.5" customHeight="1">
      <c r="A81" s="18"/>
      <c r="B81" s="20">
        <v>18</v>
      </c>
      <c r="C81" s="134" t="s">
        <v>1059</v>
      </c>
      <c r="D81" s="134"/>
      <c r="E81" s="134"/>
      <c r="F81" s="134" t="s">
        <v>840</v>
      </c>
      <c r="G81" s="134"/>
      <c r="H81" s="18"/>
      <c r="I81" s="18"/>
      <c r="J81" s="18"/>
      <c r="K81" s="18"/>
      <c r="L81" s="18"/>
      <c r="M81" s="18"/>
      <c r="N81" s="18"/>
      <c r="O81" s="18"/>
    </row>
    <row r="82" spans="1:15" ht="14.5" customHeight="1">
      <c r="A82" s="18"/>
      <c r="B82" s="20">
        <v>19</v>
      </c>
      <c r="C82" s="134" t="s">
        <v>1054</v>
      </c>
      <c r="D82" s="134"/>
      <c r="E82" s="134"/>
      <c r="F82" s="134" t="s">
        <v>840</v>
      </c>
      <c r="G82" s="134"/>
      <c r="H82" s="18"/>
      <c r="I82" s="18"/>
      <c r="J82" s="18"/>
      <c r="K82" s="18"/>
      <c r="L82" s="18"/>
      <c r="M82" s="18"/>
      <c r="N82" s="18"/>
      <c r="O82" s="18"/>
    </row>
    <row r="83" spans="1:15" ht="14.5" customHeight="1">
      <c r="A83" s="18"/>
      <c r="B83" s="20">
        <v>20</v>
      </c>
      <c r="C83" s="134" t="s">
        <v>1148</v>
      </c>
      <c r="D83" s="134"/>
      <c r="E83" s="134"/>
      <c r="F83" s="134" t="s">
        <v>841</v>
      </c>
      <c r="G83" s="134"/>
      <c r="H83" s="18"/>
      <c r="I83" s="18"/>
      <c r="J83" s="18"/>
      <c r="K83" s="18"/>
      <c r="L83" s="18"/>
      <c r="M83" s="18"/>
      <c r="N83" s="18"/>
      <c r="O83" s="18"/>
    </row>
    <row r="84" spans="1:15" ht="14.5" customHeight="1">
      <c r="A84" s="18"/>
      <c r="B84" s="20">
        <v>21</v>
      </c>
      <c r="C84" s="134" t="s">
        <v>1149</v>
      </c>
      <c r="D84" s="134"/>
      <c r="E84" s="134"/>
      <c r="F84" s="134" t="s">
        <v>841</v>
      </c>
      <c r="G84" s="134"/>
      <c r="H84" s="18"/>
      <c r="I84" s="18"/>
      <c r="J84" s="18"/>
      <c r="K84" s="18"/>
      <c r="L84" s="18"/>
      <c r="M84" s="18"/>
      <c r="N84" s="18"/>
      <c r="O84" s="18"/>
    </row>
    <row r="85" spans="1:15" ht="14.5" customHeight="1">
      <c r="A85" s="18"/>
      <c r="B85" s="20">
        <v>22</v>
      </c>
      <c r="C85" s="134" t="s">
        <v>1063</v>
      </c>
      <c r="D85" s="134"/>
      <c r="E85" s="134"/>
      <c r="F85" s="134" t="s">
        <v>841</v>
      </c>
      <c r="G85" s="134"/>
      <c r="H85" s="18"/>
      <c r="I85" s="18"/>
      <c r="J85" s="18"/>
      <c r="K85" s="18"/>
      <c r="L85" s="18"/>
      <c r="M85" s="18"/>
      <c r="N85" s="18"/>
      <c r="O85" s="18"/>
    </row>
    <row r="86" spans="1:15" ht="14.5" customHeight="1">
      <c r="A86" s="18"/>
      <c r="B86" s="20">
        <v>23</v>
      </c>
      <c r="C86" s="134" t="s">
        <v>1150</v>
      </c>
      <c r="D86" s="134"/>
      <c r="E86" s="134"/>
      <c r="F86" s="134" t="s">
        <v>841</v>
      </c>
      <c r="G86" s="134"/>
      <c r="H86" s="18"/>
      <c r="I86" s="18"/>
      <c r="J86" s="18"/>
      <c r="K86" s="18"/>
      <c r="L86" s="18"/>
      <c r="M86" s="18"/>
      <c r="N86" s="18"/>
      <c r="O86" s="18"/>
    </row>
    <row r="87" spans="1:15" ht="14.5" customHeight="1">
      <c r="A87" s="18"/>
      <c r="B87" s="20">
        <v>24</v>
      </c>
      <c r="C87" s="134" t="s">
        <v>1065</v>
      </c>
      <c r="D87" s="134"/>
      <c r="E87" s="134"/>
      <c r="F87" s="134" t="s">
        <v>847</v>
      </c>
      <c r="G87" s="134"/>
      <c r="H87" s="18"/>
      <c r="I87" s="18"/>
      <c r="J87" s="18"/>
      <c r="K87" s="18"/>
      <c r="L87" s="18"/>
      <c r="M87" s="18"/>
      <c r="N87" s="18"/>
      <c r="O87" s="18"/>
    </row>
    <row r="88" spans="1:15" ht="14.5" customHeight="1">
      <c r="A88" s="18"/>
      <c r="B88" s="20">
        <v>25</v>
      </c>
      <c r="C88" s="134" t="s">
        <v>1151</v>
      </c>
      <c r="D88" s="134"/>
      <c r="E88" s="134"/>
      <c r="F88" s="134" t="s">
        <v>847</v>
      </c>
      <c r="G88" s="134"/>
      <c r="H88" s="18"/>
      <c r="I88" s="18"/>
      <c r="J88" s="18"/>
      <c r="K88" s="18"/>
      <c r="L88" s="18"/>
      <c r="M88" s="18"/>
      <c r="N88" s="18"/>
      <c r="O88" s="18"/>
    </row>
    <row r="89" spans="1:15" ht="14.5" customHeight="1">
      <c r="A89" s="18"/>
      <c r="B89" s="18"/>
      <c r="C89" s="18"/>
      <c r="D89" s="18"/>
      <c r="E89" s="18"/>
      <c r="F89" s="18"/>
      <c r="G89" s="18"/>
      <c r="H89" s="18"/>
      <c r="I89" s="18"/>
      <c r="J89" s="18"/>
      <c r="K89" s="18"/>
      <c r="L89" s="18"/>
      <c r="M89" s="18"/>
      <c r="N89" s="18"/>
      <c r="O89" s="18"/>
    </row>
    <row r="90" spans="1:15" ht="14.5" customHeight="1">
      <c r="A90" s="18"/>
      <c r="B90" s="18"/>
      <c r="C90" s="18"/>
      <c r="D90" s="18"/>
      <c r="E90" s="18"/>
      <c r="F90" s="18"/>
      <c r="G90" s="18"/>
      <c r="H90" s="18"/>
      <c r="I90" s="18"/>
      <c r="J90" s="18"/>
      <c r="K90" s="18"/>
      <c r="L90" s="18"/>
      <c r="M90" s="18"/>
      <c r="N90" s="18"/>
      <c r="O90" s="18"/>
    </row>
    <row r="91" spans="1:15" ht="14.5" customHeight="1"/>
    <row r="92" spans="1:15" ht="14.5" customHeight="1"/>
    <row r="93" spans="1:15" ht="14.5" customHeight="1"/>
    <row r="94" spans="1:15" ht="14.5" customHeight="1"/>
    <row r="95" spans="1:15" ht="14.5" customHeight="1"/>
    <row r="96" spans="1:15"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sheetData>
  <mergeCells count="61">
    <mergeCell ref="C69:E69"/>
    <mergeCell ref="F69:G69"/>
    <mergeCell ref="C70:E70"/>
    <mergeCell ref="F70:G70"/>
    <mergeCell ref="C71:E71"/>
    <mergeCell ref="F71:G71"/>
    <mergeCell ref="A1:N1"/>
    <mergeCell ref="C2:F2"/>
    <mergeCell ref="G2:J2"/>
    <mergeCell ref="K2:M2"/>
    <mergeCell ref="A68:O68"/>
    <mergeCell ref="F72:G72"/>
    <mergeCell ref="C73:E73"/>
    <mergeCell ref="F73:G73"/>
    <mergeCell ref="C74:E74"/>
    <mergeCell ref="F74:G74"/>
    <mergeCell ref="C72:E72"/>
    <mergeCell ref="C75:E75"/>
    <mergeCell ref="F75:G75"/>
    <mergeCell ref="C76:E76"/>
    <mergeCell ref="F76:G76"/>
    <mergeCell ref="C77:E77"/>
    <mergeCell ref="F77:G77"/>
    <mergeCell ref="J69:L69"/>
    <mergeCell ref="M69:N69"/>
    <mergeCell ref="J70:L70"/>
    <mergeCell ref="M70:N70"/>
    <mergeCell ref="J71:L71"/>
    <mergeCell ref="M71:N71"/>
    <mergeCell ref="J72:L72"/>
    <mergeCell ref="M72:N72"/>
    <mergeCell ref="J73:L73"/>
    <mergeCell ref="M73:N73"/>
    <mergeCell ref="J74:L74"/>
    <mergeCell ref="M74:N74"/>
    <mergeCell ref="J75:L75"/>
    <mergeCell ref="M75:N75"/>
    <mergeCell ref="J76:L76"/>
    <mergeCell ref="M76:N76"/>
    <mergeCell ref="J77:L77"/>
    <mergeCell ref="M77:N77"/>
    <mergeCell ref="C79:E79"/>
    <mergeCell ref="F79:G79"/>
    <mergeCell ref="C80:E80"/>
    <mergeCell ref="F80:G80"/>
    <mergeCell ref="C81:E81"/>
    <mergeCell ref="F81:G81"/>
    <mergeCell ref="C82:E82"/>
    <mergeCell ref="F82:G82"/>
    <mergeCell ref="C83:E83"/>
    <mergeCell ref="F83:G83"/>
    <mergeCell ref="C84:E84"/>
    <mergeCell ref="F84:G84"/>
    <mergeCell ref="C88:E88"/>
    <mergeCell ref="F88:G88"/>
    <mergeCell ref="C85:E85"/>
    <mergeCell ref="F85:G85"/>
    <mergeCell ref="C86:E86"/>
    <mergeCell ref="F86:G86"/>
    <mergeCell ref="C87:E87"/>
    <mergeCell ref="F87:G8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428E-9061-4E85-8C38-998AFBD3FE02}">
  <dimension ref="A1:O110"/>
  <sheetViews>
    <sheetView showGridLines="0" rightToLeft="1" workbookViewId="0">
      <pane ySplit="3" topLeftCell="A51" activePane="bottomLeft" state="frozen"/>
      <selection pane="bottomLeft" activeCell="C81" sqref="C81:E81"/>
    </sheetView>
  </sheetViews>
  <sheetFormatPr defaultRowHeight="14"/>
  <cols>
    <col min="1" max="1" width="15.83203125" customWidth="1"/>
    <col min="2" max="2" width="17.5" customWidth="1"/>
    <col min="3" max="12" width="13" customWidth="1"/>
    <col min="13" max="13" width="17.5" customWidth="1"/>
  </cols>
  <sheetData>
    <row r="1" spans="1:13" ht="26" customHeight="1">
      <c r="A1" s="119" t="s">
        <v>481</v>
      </c>
      <c r="B1" s="119"/>
      <c r="C1" s="119"/>
      <c r="D1" s="119"/>
      <c r="E1" s="119"/>
      <c r="F1" s="119"/>
      <c r="G1" s="119"/>
      <c r="H1" s="119"/>
      <c r="I1" s="119"/>
      <c r="J1" s="119"/>
      <c r="K1" s="119"/>
      <c r="L1" s="119"/>
      <c r="M1" s="119"/>
    </row>
    <row r="2" spans="1:13" ht="20" customHeight="1">
      <c r="A2" s="49"/>
      <c r="B2" s="49"/>
      <c r="C2" s="137" t="s">
        <v>445</v>
      </c>
      <c r="D2" s="137"/>
      <c r="E2" s="137"/>
      <c r="F2" s="137" t="s">
        <v>453</v>
      </c>
      <c r="G2" s="137"/>
      <c r="H2" s="137"/>
      <c r="I2" s="137" t="s">
        <v>482</v>
      </c>
      <c r="J2" s="137"/>
      <c r="K2" s="137"/>
      <c r="L2" s="137"/>
      <c r="M2" s="49"/>
    </row>
    <row r="3" spans="1:13" ht="32" customHeight="1" thickBot="1">
      <c r="A3" s="49" t="s">
        <v>426</v>
      </c>
      <c r="B3" s="49" t="s">
        <v>7</v>
      </c>
      <c r="C3" s="49" t="s">
        <v>8</v>
      </c>
      <c r="D3" s="49" t="s">
        <v>9</v>
      </c>
      <c r="E3" s="49" t="s">
        <v>84</v>
      </c>
      <c r="F3" s="49" t="s">
        <v>8</v>
      </c>
      <c r="G3" s="49" t="s">
        <v>9</v>
      </c>
      <c r="H3" s="49" t="s">
        <v>84</v>
      </c>
      <c r="I3" s="49" t="s">
        <v>8</v>
      </c>
      <c r="J3" s="49" t="s">
        <v>9</v>
      </c>
      <c r="K3" s="49" t="s">
        <v>84</v>
      </c>
      <c r="L3" s="49" t="s">
        <v>119</v>
      </c>
      <c r="M3" s="49" t="s">
        <v>427</v>
      </c>
    </row>
    <row r="4" spans="1:13"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15</v>
      </c>
      <c r="D4" s="51" t="s">
        <v>33</v>
      </c>
      <c r="E4" s="51"/>
      <c r="F4" s="51" t="s">
        <v>90</v>
      </c>
      <c r="G4" s="51" t="s">
        <v>96</v>
      </c>
      <c r="H4" s="51"/>
      <c r="I4" s="51" t="s">
        <v>266</v>
      </c>
      <c r="J4" s="51" t="s">
        <v>254</v>
      </c>
      <c r="K4" s="51"/>
      <c r="L4" s="51"/>
      <c r="M4" s="51">
        <f>COUNTA(C4:L12)</f>
        <v>56</v>
      </c>
    </row>
    <row r="5" spans="1:13"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39</v>
      </c>
      <c r="D5" s="50" t="s">
        <v>10</v>
      </c>
      <c r="E5" s="50"/>
      <c r="F5" s="50" t="s">
        <v>351</v>
      </c>
      <c r="G5" s="50" t="s">
        <v>83</v>
      </c>
      <c r="H5" s="50"/>
      <c r="I5" s="50" t="s">
        <v>192</v>
      </c>
      <c r="J5" s="50" t="s">
        <v>133</v>
      </c>
      <c r="K5" s="50" t="s">
        <v>124</v>
      </c>
      <c r="L5" s="50"/>
      <c r="M5" s="50"/>
    </row>
    <row r="6" spans="1:13"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26</v>
      </c>
      <c r="D6" s="47" t="s">
        <v>35</v>
      </c>
      <c r="E6" s="47"/>
      <c r="F6" s="47" t="s">
        <v>88</v>
      </c>
      <c r="G6" s="47" t="s">
        <v>94</v>
      </c>
      <c r="H6" s="47"/>
      <c r="I6" s="47"/>
      <c r="J6" s="47"/>
      <c r="K6" s="47"/>
      <c r="L6" s="47"/>
      <c r="M6" s="47"/>
    </row>
    <row r="7" spans="1:13"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20</v>
      </c>
      <c r="D7" s="47" t="s">
        <v>41</v>
      </c>
      <c r="E7" s="47"/>
      <c r="F7" s="47" t="s">
        <v>75</v>
      </c>
      <c r="G7" s="47" t="s">
        <v>223</v>
      </c>
      <c r="H7" s="47"/>
      <c r="I7" s="47" t="s">
        <v>163</v>
      </c>
      <c r="J7" s="47" t="s">
        <v>141</v>
      </c>
      <c r="K7" s="47" t="s">
        <v>116</v>
      </c>
      <c r="L7" s="47" t="s">
        <v>137</v>
      </c>
      <c r="M7" s="47"/>
    </row>
    <row r="8" spans="1:13"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32</v>
      </c>
      <c r="D8" s="47" t="s">
        <v>12</v>
      </c>
      <c r="E8" s="47"/>
      <c r="F8" s="47" t="s">
        <v>113</v>
      </c>
      <c r="G8" s="47" t="s">
        <v>222</v>
      </c>
      <c r="H8" s="47"/>
      <c r="I8" s="47" t="s">
        <v>146</v>
      </c>
      <c r="J8" s="47"/>
      <c r="K8" s="47"/>
      <c r="L8" s="47"/>
      <c r="M8" s="47"/>
    </row>
    <row r="9" spans="1:13"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43</v>
      </c>
      <c r="D9" s="47" t="s">
        <v>30</v>
      </c>
      <c r="E9" s="47"/>
      <c r="F9" s="47" t="s">
        <v>105</v>
      </c>
      <c r="G9" s="47" t="s">
        <v>224</v>
      </c>
      <c r="H9" s="47"/>
      <c r="I9" s="47" t="s">
        <v>261</v>
      </c>
      <c r="J9" s="47" t="s">
        <v>153</v>
      </c>
      <c r="K9" s="47"/>
      <c r="L9" s="47"/>
      <c r="M9" s="47"/>
    </row>
    <row r="10" spans="1:13"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18</v>
      </c>
      <c r="D10" s="47" t="s">
        <v>13</v>
      </c>
      <c r="E10" s="47"/>
      <c r="F10" s="47" t="s">
        <v>101</v>
      </c>
      <c r="G10" s="47" t="s">
        <v>91</v>
      </c>
      <c r="H10" s="47"/>
      <c r="I10" s="47" t="s">
        <v>230</v>
      </c>
      <c r="J10" s="47" t="s">
        <v>269</v>
      </c>
      <c r="K10" s="47" t="s">
        <v>128</v>
      </c>
      <c r="L10" s="47"/>
      <c r="M10" s="47"/>
    </row>
    <row r="11" spans="1:13"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34</v>
      </c>
      <c r="D11" s="47"/>
      <c r="E11" s="47"/>
      <c r="F11" s="47" t="s">
        <v>299</v>
      </c>
      <c r="G11" s="47"/>
      <c r="H11" s="47"/>
      <c r="I11" s="47" t="s">
        <v>148</v>
      </c>
      <c r="J11" s="47"/>
      <c r="K11" s="47"/>
      <c r="L11" s="47"/>
      <c r="M11" s="47"/>
    </row>
    <row r="12" spans="1:13"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16</v>
      </c>
      <c r="D12" s="48" t="s">
        <v>21</v>
      </c>
      <c r="E12" s="48" t="s">
        <v>45</v>
      </c>
      <c r="F12" s="48" t="s">
        <v>82</v>
      </c>
      <c r="G12" s="48" t="s">
        <v>93</v>
      </c>
      <c r="H12" s="48" t="s">
        <v>102</v>
      </c>
      <c r="I12" s="48" t="s">
        <v>138</v>
      </c>
      <c r="J12" s="48" t="s">
        <v>256</v>
      </c>
      <c r="K12" s="48" t="s">
        <v>255</v>
      </c>
      <c r="L12" s="48" t="s">
        <v>257</v>
      </c>
      <c r="M12" s="48"/>
    </row>
    <row r="13" spans="1:13"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28</v>
      </c>
      <c r="D13" s="51"/>
      <c r="E13" s="51"/>
      <c r="F13" s="51" t="s">
        <v>87</v>
      </c>
      <c r="G13" s="51"/>
      <c r="H13" s="51"/>
      <c r="I13" s="51" t="s">
        <v>131</v>
      </c>
      <c r="J13" s="51" t="s">
        <v>144</v>
      </c>
      <c r="K13" s="51"/>
      <c r="L13" s="51"/>
      <c r="M13" s="51">
        <f>COUNTA(C13:L22)</f>
        <v>56</v>
      </c>
    </row>
    <row r="14" spans="1:13"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37</v>
      </c>
      <c r="D14" s="50"/>
      <c r="E14" s="50"/>
      <c r="F14" s="50" t="s">
        <v>112</v>
      </c>
      <c r="G14" s="50"/>
      <c r="H14" s="50"/>
      <c r="I14" s="50" t="s">
        <v>159</v>
      </c>
      <c r="J14" s="50" t="s">
        <v>123</v>
      </c>
      <c r="K14" s="50" t="s">
        <v>483</v>
      </c>
      <c r="L14" s="50"/>
      <c r="M14" s="50"/>
    </row>
    <row r="15" spans="1:13"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22</v>
      </c>
      <c r="D15" s="47" t="s">
        <v>40</v>
      </c>
      <c r="E15" s="47"/>
      <c r="F15" s="47" t="s">
        <v>80</v>
      </c>
      <c r="G15" s="47" t="s">
        <v>104</v>
      </c>
      <c r="H15" s="47"/>
      <c r="I15" s="47"/>
      <c r="J15" s="47"/>
      <c r="K15" s="47"/>
      <c r="L15" s="47"/>
      <c r="M15" s="47"/>
    </row>
    <row r="16" spans="1:13"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14</v>
      </c>
      <c r="D16" s="47" t="s">
        <v>27</v>
      </c>
      <c r="E16" s="47"/>
      <c r="F16" s="47" t="s">
        <v>59</v>
      </c>
      <c r="G16" s="47" t="s">
        <v>85</v>
      </c>
      <c r="H16" s="47"/>
      <c r="I16" s="47" t="s">
        <v>190</v>
      </c>
      <c r="J16" s="47" t="s">
        <v>127</v>
      </c>
      <c r="K16" s="47" t="s">
        <v>260</v>
      </c>
      <c r="L16" s="47" t="s">
        <v>173</v>
      </c>
      <c r="M16" s="47"/>
    </row>
    <row r="17" spans="1:13"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38</v>
      </c>
      <c r="D17" s="47" t="s">
        <v>36</v>
      </c>
      <c r="E17" s="47"/>
      <c r="F17" s="47" t="s">
        <v>111</v>
      </c>
      <c r="G17" s="47" t="s">
        <v>97</v>
      </c>
      <c r="H17" s="47"/>
      <c r="I17" s="47" t="s">
        <v>267</v>
      </c>
      <c r="J17" s="47"/>
      <c r="K17" s="47"/>
      <c r="L17" s="47"/>
      <c r="M17" s="47"/>
    </row>
    <row r="18" spans="1:13"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19</v>
      </c>
      <c r="D18" s="47" t="s">
        <v>25</v>
      </c>
      <c r="E18" s="47"/>
      <c r="F18" s="47" t="s">
        <v>99</v>
      </c>
      <c r="G18" s="47" t="s">
        <v>89</v>
      </c>
      <c r="H18" s="47"/>
      <c r="I18" s="47" t="s">
        <v>136</v>
      </c>
      <c r="J18" s="47" t="s">
        <v>232</v>
      </c>
      <c r="K18" s="47" t="s">
        <v>176</v>
      </c>
      <c r="L18" s="47"/>
      <c r="M18" s="47"/>
    </row>
    <row r="19" spans="1:13"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44</v>
      </c>
      <c r="D19" s="47" t="s">
        <v>11</v>
      </c>
      <c r="E19" s="47"/>
      <c r="F19" s="47" t="s">
        <v>109</v>
      </c>
      <c r="G19" s="47" t="s">
        <v>67</v>
      </c>
      <c r="H19" s="47"/>
      <c r="I19" s="47" t="s">
        <v>185</v>
      </c>
      <c r="J19" s="47" t="s">
        <v>231</v>
      </c>
      <c r="K19" s="47"/>
      <c r="L19" s="47"/>
      <c r="M19" s="47"/>
    </row>
    <row r="20" spans="1:13"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24</v>
      </c>
      <c r="D20" s="47" t="s">
        <v>29</v>
      </c>
      <c r="E20" s="47"/>
      <c r="F20" s="47" t="s">
        <v>86</v>
      </c>
      <c r="G20" s="47" t="s">
        <v>98</v>
      </c>
      <c r="H20" s="47"/>
      <c r="I20" s="47" t="s">
        <v>162</v>
      </c>
      <c r="J20" s="47"/>
      <c r="K20" s="47"/>
      <c r="L20" s="47"/>
      <c r="M20" s="47"/>
    </row>
    <row r="21" spans="1:13" ht="14.5" customHeight="1">
      <c r="A21" s="47"/>
      <c r="B21"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7" t="s">
        <v>23</v>
      </c>
      <c r="D21" s="47"/>
      <c r="E21" s="47"/>
      <c r="F21" s="47" t="s">
        <v>150</v>
      </c>
      <c r="G21" s="47"/>
      <c r="H21" s="47"/>
      <c r="I21" s="47" t="s">
        <v>263</v>
      </c>
      <c r="J21" s="47" t="s">
        <v>152</v>
      </c>
      <c r="K21" s="47" t="s">
        <v>122</v>
      </c>
      <c r="L21" s="47" t="s">
        <v>143</v>
      </c>
      <c r="M21" s="47"/>
    </row>
    <row r="22" spans="1:13" ht="14.5" customHeight="1" thickBot="1">
      <c r="A22" s="48"/>
      <c r="B22"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22" s="48" t="s">
        <v>31</v>
      </c>
      <c r="D22" s="48" t="s">
        <v>42</v>
      </c>
      <c r="E22" s="48" t="s">
        <v>17</v>
      </c>
      <c r="F22" s="48" t="s">
        <v>142</v>
      </c>
      <c r="G22" s="48" t="s">
        <v>103</v>
      </c>
      <c r="H22" s="48" t="s">
        <v>139</v>
      </c>
      <c r="I22" s="48"/>
      <c r="J22" s="48"/>
      <c r="K22" s="48"/>
      <c r="L22" s="48"/>
      <c r="M22" s="48"/>
    </row>
    <row r="23" spans="1:13" ht="14.5" customHeight="1">
      <c r="A23" s="51" t="s">
        <v>430</v>
      </c>
      <c r="B2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3" s="51" t="s">
        <v>37</v>
      </c>
      <c r="D23" s="51" t="s">
        <v>38</v>
      </c>
      <c r="E23" s="51"/>
      <c r="F23" s="51" t="s">
        <v>112</v>
      </c>
      <c r="G23" s="51" t="s">
        <v>111</v>
      </c>
      <c r="H23" s="51"/>
      <c r="I23" s="51" t="s">
        <v>132</v>
      </c>
      <c r="J23" s="51" t="s">
        <v>147</v>
      </c>
      <c r="K23" s="51" t="s">
        <v>484</v>
      </c>
      <c r="L23" s="51" t="s">
        <v>134</v>
      </c>
      <c r="M23" s="51">
        <f>COUNTA(C23:L31)</f>
        <v>56</v>
      </c>
    </row>
    <row r="24" spans="1:13" ht="14.5" customHeight="1">
      <c r="A24" s="50"/>
      <c r="B2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4" s="50" t="s">
        <v>20</v>
      </c>
      <c r="D24" s="50"/>
      <c r="E24" s="50"/>
      <c r="F24" s="50" t="s">
        <v>75</v>
      </c>
      <c r="G24" s="50"/>
      <c r="H24" s="50"/>
      <c r="I24" s="50" t="s">
        <v>149</v>
      </c>
      <c r="J24" s="50"/>
      <c r="K24" s="50"/>
      <c r="L24" s="50"/>
      <c r="M24" s="50"/>
    </row>
    <row r="25" spans="1:13" ht="14.5" customHeight="1">
      <c r="A25" s="47"/>
      <c r="B2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5" s="47" t="s">
        <v>26</v>
      </c>
      <c r="D25" s="47" t="s">
        <v>32</v>
      </c>
      <c r="E25" s="47" t="s">
        <v>41</v>
      </c>
      <c r="F25" s="47" t="s">
        <v>88</v>
      </c>
      <c r="G25" s="47" t="s">
        <v>113</v>
      </c>
      <c r="H25" s="47" t="s">
        <v>223</v>
      </c>
      <c r="I25" s="47" t="s">
        <v>483</v>
      </c>
      <c r="J25" s="47" t="s">
        <v>254</v>
      </c>
      <c r="K25" s="47" t="s">
        <v>133</v>
      </c>
      <c r="L25" s="47"/>
      <c r="M25" s="47"/>
    </row>
    <row r="26" spans="1:13" ht="14.5" customHeight="1">
      <c r="A26" s="47"/>
      <c r="B2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6" s="47" t="s">
        <v>22</v>
      </c>
      <c r="D26" s="47"/>
      <c r="E26" s="47"/>
      <c r="F26" s="47" t="s">
        <v>80</v>
      </c>
      <c r="G26" s="47"/>
      <c r="H26" s="47"/>
      <c r="I26" s="47" t="s">
        <v>146</v>
      </c>
      <c r="J26" s="47" t="s">
        <v>148</v>
      </c>
      <c r="K26" s="47"/>
      <c r="L26" s="47"/>
      <c r="M26" s="47"/>
    </row>
    <row r="27" spans="1:13" ht="14.5" customHeight="1">
      <c r="A27" s="47"/>
      <c r="B2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7" s="47" t="s">
        <v>25</v>
      </c>
      <c r="D27" s="47" t="s">
        <v>19</v>
      </c>
      <c r="E27" s="47" t="s">
        <v>39</v>
      </c>
      <c r="F27" s="47" t="s">
        <v>89</v>
      </c>
      <c r="G27" s="47" t="s">
        <v>99</v>
      </c>
      <c r="H27" s="47" t="s">
        <v>351</v>
      </c>
      <c r="I27" s="47" t="s">
        <v>123</v>
      </c>
      <c r="J27" s="47" t="s">
        <v>256</v>
      </c>
      <c r="K27" s="47"/>
      <c r="L27" s="47"/>
      <c r="M27" s="47"/>
    </row>
    <row r="28" spans="1:13" ht="14.5" customHeight="1">
      <c r="A28" s="47"/>
      <c r="B2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8" s="47" t="s">
        <v>36</v>
      </c>
      <c r="D28" s="47"/>
      <c r="E28" s="47"/>
      <c r="F28" s="47" t="s">
        <v>97</v>
      </c>
      <c r="G28" s="47"/>
      <c r="H28" s="47"/>
      <c r="I28" s="47" t="s">
        <v>162</v>
      </c>
      <c r="J28" s="47" t="s">
        <v>138</v>
      </c>
      <c r="K28" s="47" t="s">
        <v>152</v>
      </c>
      <c r="L28" s="47"/>
      <c r="M28" s="47"/>
    </row>
    <row r="29" spans="1:13" ht="14.5" customHeight="1">
      <c r="A29" s="47"/>
      <c r="B2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9" s="47" t="s">
        <v>21</v>
      </c>
      <c r="D29" s="47" t="s">
        <v>45</v>
      </c>
      <c r="E29" s="47" t="s">
        <v>24</v>
      </c>
      <c r="F29" s="47" t="s">
        <v>93</v>
      </c>
      <c r="G29" s="47" t="s">
        <v>102</v>
      </c>
      <c r="H29" s="47" t="s">
        <v>86</v>
      </c>
      <c r="I29" s="47" t="s">
        <v>185</v>
      </c>
      <c r="J29" s="47"/>
      <c r="K29" s="47"/>
      <c r="L29" s="47"/>
      <c r="M29" s="47"/>
    </row>
    <row r="30" spans="1:13" ht="14.5" customHeight="1">
      <c r="A30" s="47"/>
      <c r="B3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0" s="47" t="s">
        <v>16</v>
      </c>
      <c r="D30" s="47"/>
      <c r="E30" s="47"/>
      <c r="F30" s="47" t="s">
        <v>82</v>
      </c>
      <c r="G30" s="47"/>
      <c r="H30" s="47"/>
      <c r="I30" s="47" t="s">
        <v>230</v>
      </c>
      <c r="J30" s="47" t="s">
        <v>261</v>
      </c>
      <c r="K30" s="47" t="s">
        <v>231</v>
      </c>
      <c r="L30" s="47" t="s">
        <v>153</v>
      </c>
      <c r="M30" s="47"/>
    </row>
    <row r="31" spans="1:13" ht="14.5" customHeight="1" thickBot="1">
      <c r="A31" s="48"/>
      <c r="B3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1" s="48" t="s">
        <v>12</v>
      </c>
      <c r="D31" s="48" t="s">
        <v>34</v>
      </c>
      <c r="E31" s="48" t="s">
        <v>28</v>
      </c>
      <c r="F31" s="48" t="s">
        <v>222</v>
      </c>
      <c r="G31" s="48" t="s">
        <v>299</v>
      </c>
      <c r="H31" s="48" t="s">
        <v>87</v>
      </c>
      <c r="I31" s="48"/>
      <c r="J31" s="48"/>
      <c r="K31" s="48"/>
      <c r="L31" s="48"/>
      <c r="M31" s="48"/>
    </row>
    <row r="32" spans="1:13"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42</v>
      </c>
      <c r="D32" s="51" t="s">
        <v>10</v>
      </c>
      <c r="E32" s="51"/>
      <c r="F32" s="51" t="s">
        <v>103</v>
      </c>
      <c r="G32" s="51" t="s">
        <v>83</v>
      </c>
      <c r="H32" s="51"/>
      <c r="I32" s="51" t="s">
        <v>143</v>
      </c>
      <c r="J32" s="51" t="s">
        <v>484</v>
      </c>
      <c r="K32" s="51" t="s">
        <v>144</v>
      </c>
      <c r="L32" s="51" t="s">
        <v>267</v>
      </c>
      <c r="M32" s="51">
        <f>COUNTA(C32:L40)</f>
        <v>56</v>
      </c>
    </row>
    <row r="33" spans="1:13"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18</v>
      </c>
      <c r="D33" s="50"/>
      <c r="E33" s="50"/>
      <c r="F33" s="50" t="s">
        <v>101</v>
      </c>
      <c r="G33" s="50"/>
      <c r="H33" s="50"/>
      <c r="I33" s="50" t="s">
        <v>190</v>
      </c>
      <c r="J33" s="50"/>
      <c r="K33" s="50"/>
      <c r="L33" s="50"/>
      <c r="M33" s="50"/>
    </row>
    <row r="34" spans="1:13"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27</v>
      </c>
      <c r="D34" s="47" t="s">
        <v>17</v>
      </c>
      <c r="E34" s="47" t="s">
        <v>44</v>
      </c>
      <c r="F34" s="47" t="s">
        <v>85</v>
      </c>
      <c r="G34" s="47" t="s">
        <v>139</v>
      </c>
      <c r="H34" s="47" t="s">
        <v>109</v>
      </c>
      <c r="I34" s="47" t="s">
        <v>116</v>
      </c>
      <c r="J34" s="47" t="s">
        <v>149</v>
      </c>
      <c r="K34" s="47" t="s">
        <v>257</v>
      </c>
      <c r="L34" s="47"/>
      <c r="M34" s="47"/>
    </row>
    <row r="35" spans="1:13"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11</v>
      </c>
      <c r="D35" s="47"/>
      <c r="E35" s="47"/>
      <c r="F35" s="47" t="s">
        <v>67</v>
      </c>
      <c r="G35" s="47"/>
      <c r="H35" s="47"/>
      <c r="I35" s="47" t="s">
        <v>147</v>
      </c>
      <c r="J35" s="47" t="s">
        <v>124</v>
      </c>
      <c r="K35" s="47"/>
      <c r="L35" s="47"/>
      <c r="M35" s="47"/>
    </row>
    <row r="36" spans="1:13"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31</v>
      </c>
      <c r="D36" s="47" t="s">
        <v>43</v>
      </c>
      <c r="E36" s="47" t="s">
        <v>29</v>
      </c>
      <c r="F36" s="47" t="s">
        <v>142</v>
      </c>
      <c r="G36" s="47" t="s">
        <v>105</v>
      </c>
      <c r="H36" s="47" t="s">
        <v>98</v>
      </c>
      <c r="I36" s="47" t="s">
        <v>136</v>
      </c>
      <c r="J36" s="47" t="s">
        <v>269</v>
      </c>
      <c r="K36" s="47"/>
      <c r="L36" s="47"/>
      <c r="M36" s="47"/>
    </row>
    <row r="37" spans="1:13"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23</v>
      </c>
      <c r="D37" s="47"/>
      <c r="E37" s="47"/>
      <c r="F37" s="47" t="s">
        <v>150</v>
      </c>
      <c r="G37" s="47"/>
      <c r="H37" s="47"/>
      <c r="I37" s="47" t="s">
        <v>128</v>
      </c>
      <c r="J37" s="47" t="s">
        <v>176</v>
      </c>
      <c r="K37" s="47" t="s">
        <v>232</v>
      </c>
      <c r="L37" s="47"/>
      <c r="M37" s="47"/>
    </row>
    <row r="38" spans="1:13"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35</v>
      </c>
      <c r="D38" s="47" t="s">
        <v>30</v>
      </c>
      <c r="E38" s="47" t="s">
        <v>40</v>
      </c>
      <c r="F38" s="47" t="s">
        <v>94</v>
      </c>
      <c r="G38" s="47" t="s">
        <v>224</v>
      </c>
      <c r="H38" s="47" t="s">
        <v>104</v>
      </c>
      <c r="I38" s="47" t="s">
        <v>255</v>
      </c>
      <c r="J38" s="47"/>
      <c r="K38" s="47"/>
      <c r="L38" s="47"/>
      <c r="M38" s="47"/>
    </row>
    <row r="39" spans="1:13"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14</v>
      </c>
      <c r="D39" s="47"/>
      <c r="E39" s="47"/>
      <c r="F39" s="47" t="s">
        <v>59</v>
      </c>
      <c r="G39" s="47"/>
      <c r="H39" s="47"/>
      <c r="I39" s="47" t="s">
        <v>132</v>
      </c>
      <c r="J39" s="47" t="s">
        <v>141</v>
      </c>
      <c r="K39" s="47" t="s">
        <v>163</v>
      </c>
      <c r="L39" s="47" t="s">
        <v>134</v>
      </c>
      <c r="M39" s="47"/>
    </row>
    <row r="40" spans="1:13" ht="14.5" customHeight="1" thickBot="1">
      <c r="A40" s="48"/>
      <c r="B4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8" t="s">
        <v>15</v>
      </c>
      <c r="D40" s="48" t="s">
        <v>33</v>
      </c>
      <c r="E40" s="48" t="s">
        <v>13</v>
      </c>
      <c r="F40" s="48" t="s">
        <v>90</v>
      </c>
      <c r="G40" s="48" t="s">
        <v>96</v>
      </c>
      <c r="H40" s="48" t="s">
        <v>91</v>
      </c>
      <c r="I40" s="48"/>
      <c r="J40" s="48"/>
      <c r="K40" s="48"/>
      <c r="L40" s="48"/>
      <c r="M40" s="48"/>
    </row>
    <row r="41" spans="1:13" ht="14.5" customHeight="1">
      <c r="A41" s="51" t="s">
        <v>432</v>
      </c>
      <c r="B4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1" s="51" t="s">
        <v>19</v>
      </c>
      <c r="D41" s="51"/>
      <c r="E41" s="51"/>
      <c r="F41" s="51" t="s">
        <v>99</v>
      </c>
      <c r="G41" s="51"/>
      <c r="H41" s="51"/>
      <c r="I41" s="51" t="s">
        <v>192</v>
      </c>
      <c r="J41" s="51" t="s">
        <v>131</v>
      </c>
      <c r="K41" s="51"/>
      <c r="L41" s="51"/>
      <c r="M41" s="51">
        <f>COUNTA(C41:L50)</f>
        <v>56</v>
      </c>
    </row>
    <row r="42" spans="1:13" ht="14.5" customHeight="1">
      <c r="A42" s="50"/>
      <c r="B4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2" s="50" t="s">
        <v>11</v>
      </c>
      <c r="D42" s="50" t="s">
        <v>17</v>
      </c>
      <c r="E42" s="50"/>
      <c r="F42" s="50" t="s">
        <v>67</v>
      </c>
      <c r="G42" s="50" t="s">
        <v>139</v>
      </c>
      <c r="H42" s="50"/>
      <c r="I42" s="50" t="s">
        <v>260</v>
      </c>
      <c r="J42" s="50" t="s">
        <v>122</v>
      </c>
      <c r="K42" s="50" t="s">
        <v>263</v>
      </c>
      <c r="L42" s="50"/>
      <c r="M42" s="50"/>
    </row>
    <row r="43" spans="1:13" ht="14.5" customHeight="1">
      <c r="A43" s="47"/>
      <c r="B4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3" s="47" t="s">
        <v>27</v>
      </c>
      <c r="D43" s="47" t="s">
        <v>44</v>
      </c>
      <c r="E43" s="47"/>
      <c r="F43" s="47" t="s">
        <v>85</v>
      </c>
      <c r="G43" s="47" t="s">
        <v>109</v>
      </c>
      <c r="H43" s="47"/>
      <c r="I43" s="47" t="s">
        <v>173</v>
      </c>
      <c r="J43" s="47"/>
      <c r="K43" s="47"/>
      <c r="L43" s="47"/>
      <c r="M43" s="47"/>
    </row>
    <row r="44" spans="1:13" ht="14.5" customHeight="1">
      <c r="A44" s="47"/>
      <c r="B4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4" s="47" t="s">
        <v>15</v>
      </c>
      <c r="D44" s="47"/>
      <c r="E44" s="47"/>
      <c r="F44" s="47" t="s">
        <v>90</v>
      </c>
      <c r="G44" s="47"/>
      <c r="H44" s="47"/>
      <c r="I44" s="47" t="s">
        <v>159</v>
      </c>
      <c r="J44" s="47" t="s">
        <v>266</v>
      </c>
      <c r="K44" s="47" t="s">
        <v>137</v>
      </c>
      <c r="L44" s="47" t="s">
        <v>127</v>
      </c>
      <c r="M44" s="47"/>
    </row>
    <row r="45" spans="1:13" ht="14.5" customHeight="1">
      <c r="A45" s="47"/>
      <c r="B4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5" s="47" t="s">
        <v>13</v>
      </c>
      <c r="D45" s="47" t="s">
        <v>14</v>
      </c>
      <c r="E45" s="47" t="s">
        <v>33</v>
      </c>
      <c r="F45" s="47" t="s">
        <v>91</v>
      </c>
      <c r="G45" s="47" t="s">
        <v>59</v>
      </c>
      <c r="H45" s="47" t="s">
        <v>96</v>
      </c>
      <c r="I45" s="47"/>
      <c r="J45" s="47"/>
      <c r="K45" s="47"/>
      <c r="L45" s="47"/>
      <c r="M45" s="47"/>
    </row>
    <row r="46" spans="1:13" ht="14.5" customHeight="1">
      <c r="A46" s="47"/>
      <c r="B4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6" s="47" t="s">
        <v>40</v>
      </c>
      <c r="D46" s="47"/>
      <c r="E46" s="47"/>
      <c r="F46" s="47" t="s">
        <v>104</v>
      </c>
      <c r="G46" s="47"/>
      <c r="H46" s="47"/>
      <c r="I46" s="47" t="s">
        <v>162</v>
      </c>
      <c r="J46" s="47" t="s">
        <v>146</v>
      </c>
      <c r="K46" s="47" t="s">
        <v>147</v>
      </c>
      <c r="L46" s="47" t="s">
        <v>123</v>
      </c>
      <c r="M46" s="47"/>
    </row>
    <row r="47" spans="1:13" ht="14.5" customHeight="1">
      <c r="A47" s="47"/>
      <c r="B4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7" s="47" t="s">
        <v>20</v>
      </c>
      <c r="D47" s="47" t="s">
        <v>35</v>
      </c>
      <c r="E47" s="47"/>
      <c r="F47" s="47" t="s">
        <v>75</v>
      </c>
      <c r="G47" s="47" t="s">
        <v>94</v>
      </c>
      <c r="H47" s="47"/>
      <c r="I47" s="47" t="s">
        <v>132</v>
      </c>
      <c r="J47" s="47"/>
      <c r="K47" s="47"/>
      <c r="L47" s="47"/>
      <c r="M47" s="47"/>
    </row>
    <row r="48" spans="1:13" ht="14.5" customHeight="1">
      <c r="A48" s="47"/>
      <c r="B4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8" s="47" t="s">
        <v>45</v>
      </c>
      <c r="D48" s="47" t="s">
        <v>23</v>
      </c>
      <c r="E48" s="47"/>
      <c r="F48" s="47" t="s">
        <v>102</v>
      </c>
      <c r="G48" s="47" t="s">
        <v>150</v>
      </c>
      <c r="H48" s="47"/>
      <c r="I48" s="47" t="s">
        <v>138</v>
      </c>
      <c r="J48" s="47" t="s">
        <v>254</v>
      </c>
      <c r="K48" s="47"/>
      <c r="L48" s="47"/>
      <c r="M48" s="47"/>
    </row>
    <row r="49" spans="1:13" ht="14.5" customHeight="1">
      <c r="A49" s="47"/>
      <c r="B49"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9" s="47" t="s">
        <v>36</v>
      </c>
      <c r="D49" s="47" t="s">
        <v>24</v>
      </c>
      <c r="E49" s="47"/>
      <c r="F49" s="47" t="s">
        <v>97</v>
      </c>
      <c r="G49" s="47" t="s">
        <v>86</v>
      </c>
      <c r="H49" s="47"/>
      <c r="I49" s="47" t="s">
        <v>267</v>
      </c>
      <c r="J49" s="47" t="s">
        <v>148</v>
      </c>
      <c r="K49" s="47" t="s">
        <v>484</v>
      </c>
      <c r="L49" s="47"/>
      <c r="M49" s="47"/>
    </row>
    <row r="50" spans="1:13" ht="14.5" customHeight="1" thickBot="1">
      <c r="A50" s="48"/>
      <c r="B50"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0" s="48" t="s">
        <v>28</v>
      </c>
      <c r="D50" s="48" t="s">
        <v>38</v>
      </c>
      <c r="E50" s="48"/>
      <c r="F50" s="48" t="s">
        <v>87</v>
      </c>
      <c r="G50" s="48" t="s">
        <v>111</v>
      </c>
      <c r="H50" s="48"/>
      <c r="I50" s="48"/>
      <c r="J50" s="48"/>
      <c r="K50" s="48"/>
      <c r="L50" s="48"/>
      <c r="M50" s="48"/>
    </row>
    <row r="51" spans="1:13" ht="14.5" customHeight="1">
      <c r="A51" s="51" t="s">
        <v>434</v>
      </c>
      <c r="B5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1" s="51" t="s">
        <v>39</v>
      </c>
      <c r="D51" s="51" t="s">
        <v>25</v>
      </c>
      <c r="E51" s="51" t="s">
        <v>12</v>
      </c>
      <c r="F51" s="51" t="s">
        <v>351</v>
      </c>
      <c r="G51" s="51" t="s">
        <v>89</v>
      </c>
      <c r="H51" s="51" t="s">
        <v>222</v>
      </c>
      <c r="I51" s="51" t="s">
        <v>124</v>
      </c>
      <c r="J51" s="51" t="s">
        <v>263</v>
      </c>
      <c r="K51" s="51" t="s">
        <v>149</v>
      </c>
      <c r="L51" s="51"/>
      <c r="M51" s="51">
        <f>COUNTA(C51:L59)</f>
        <v>56</v>
      </c>
    </row>
    <row r="52" spans="1:13" ht="14.5" customHeight="1">
      <c r="A52" s="50"/>
      <c r="B5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2" s="50" t="s">
        <v>16</v>
      </c>
      <c r="D52" s="50"/>
      <c r="E52" s="50"/>
      <c r="F52" s="50" t="s">
        <v>82</v>
      </c>
      <c r="G52" s="50"/>
      <c r="H52" s="50"/>
      <c r="I52" s="50" t="s">
        <v>173</v>
      </c>
      <c r="J52" s="50" t="s">
        <v>185</v>
      </c>
      <c r="K52" s="50"/>
      <c r="L52" s="50"/>
      <c r="M52" s="50"/>
    </row>
    <row r="53" spans="1:13" ht="14.5" customHeight="1">
      <c r="A53" s="47"/>
      <c r="B5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3" s="47" t="s">
        <v>32</v>
      </c>
      <c r="D53" s="47" t="s">
        <v>43</v>
      </c>
      <c r="E53" s="47"/>
      <c r="F53" s="47" t="s">
        <v>113</v>
      </c>
      <c r="G53" s="47" t="s">
        <v>105</v>
      </c>
      <c r="H53" s="47"/>
      <c r="I53" s="47" t="s">
        <v>153</v>
      </c>
      <c r="J53" s="47" t="s">
        <v>127</v>
      </c>
      <c r="K53" s="47" t="s">
        <v>152</v>
      </c>
      <c r="L53" s="47"/>
      <c r="M53" s="47"/>
    </row>
    <row r="54" spans="1:13" ht="14.5" customHeight="1">
      <c r="A54" s="47"/>
      <c r="B5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4" s="47" t="s">
        <v>26</v>
      </c>
      <c r="D54" s="47" t="s">
        <v>22</v>
      </c>
      <c r="E54" s="47"/>
      <c r="F54" s="47" t="s">
        <v>88</v>
      </c>
      <c r="G54" s="47" t="s">
        <v>80</v>
      </c>
      <c r="H54" s="47"/>
      <c r="I54" s="47" t="s">
        <v>128</v>
      </c>
      <c r="J54" s="47" t="s">
        <v>257</v>
      </c>
      <c r="K54" s="47"/>
      <c r="L54" s="47"/>
      <c r="M54" s="47"/>
    </row>
    <row r="55" spans="1:13" ht="14.5" customHeight="1">
      <c r="A55" s="47"/>
      <c r="B5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5" s="47" t="s">
        <v>34</v>
      </c>
      <c r="D55" s="47" t="s">
        <v>41</v>
      </c>
      <c r="E55" s="47"/>
      <c r="F55" s="47" t="s">
        <v>299</v>
      </c>
      <c r="G55" s="47" t="s">
        <v>223</v>
      </c>
      <c r="H55" s="47"/>
      <c r="I55" s="47" t="s">
        <v>190</v>
      </c>
      <c r="J55" s="47" t="s">
        <v>255</v>
      </c>
      <c r="K55" s="47"/>
      <c r="L55" s="47"/>
      <c r="M55" s="47"/>
    </row>
    <row r="56" spans="1:13" ht="14.5" customHeight="1">
      <c r="A56" s="47"/>
      <c r="B5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6" s="47" t="s">
        <v>30</v>
      </c>
      <c r="D56" s="47" t="s">
        <v>21</v>
      </c>
      <c r="E56" s="47"/>
      <c r="F56" s="47" t="s">
        <v>224</v>
      </c>
      <c r="G56" s="47" t="s">
        <v>93</v>
      </c>
      <c r="H56" s="47"/>
      <c r="I56" s="47" t="s">
        <v>230</v>
      </c>
      <c r="J56" s="47" t="s">
        <v>266</v>
      </c>
      <c r="K56" s="47" t="s">
        <v>143</v>
      </c>
      <c r="L56" s="47"/>
      <c r="M56" s="47"/>
    </row>
    <row r="57" spans="1:13" ht="14.5" customHeight="1">
      <c r="A57" s="47"/>
      <c r="B5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7" s="47" t="s">
        <v>10</v>
      </c>
      <c r="D57" s="47" t="s">
        <v>31</v>
      </c>
      <c r="E57" s="47"/>
      <c r="F57" s="47" t="s">
        <v>83</v>
      </c>
      <c r="G57" s="47" t="s">
        <v>142</v>
      </c>
      <c r="H57" s="47"/>
      <c r="I57" s="47" t="s">
        <v>159</v>
      </c>
      <c r="J57" s="47"/>
      <c r="K57" s="47"/>
      <c r="L57" s="47"/>
      <c r="M57" s="47"/>
    </row>
    <row r="58" spans="1:13" ht="14.5" customHeight="1">
      <c r="A58" s="47"/>
      <c r="B5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8" s="47" t="s">
        <v>29</v>
      </c>
      <c r="D58" s="47" t="s">
        <v>42</v>
      </c>
      <c r="E58" s="47"/>
      <c r="F58" s="47" t="s">
        <v>98</v>
      </c>
      <c r="G58" s="47" t="s">
        <v>103</v>
      </c>
      <c r="H58" s="47"/>
      <c r="I58" s="47" t="s">
        <v>260</v>
      </c>
      <c r="J58" s="47" t="s">
        <v>133</v>
      </c>
      <c r="K58" s="47" t="s">
        <v>176</v>
      </c>
      <c r="L58" s="47" t="s">
        <v>122</v>
      </c>
      <c r="M58" s="47"/>
    </row>
    <row r="59" spans="1:13" ht="14.5" customHeight="1" thickBot="1">
      <c r="A59" s="48"/>
      <c r="B5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9" s="48" t="s">
        <v>37</v>
      </c>
      <c r="D59" s="48" t="s">
        <v>18</v>
      </c>
      <c r="E59" s="48"/>
      <c r="F59" s="48" t="s">
        <v>112</v>
      </c>
      <c r="G59" s="48" t="s">
        <v>101</v>
      </c>
      <c r="H59" s="48"/>
      <c r="I59" s="48"/>
      <c r="J59" s="48"/>
      <c r="K59" s="48"/>
      <c r="L59" s="48"/>
      <c r="M59" s="48"/>
    </row>
    <row r="60" spans="1:13" ht="14.5" customHeight="1">
      <c r="A60" s="51" t="s">
        <v>435</v>
      </c>
      <c r="B6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0" s="51"/>
      <c r="D60" s="51"/>
      <c r="E60" s="51"/>
      <c r="F60" s="51"/>
      <c r="G60" s="51"/>
      <c r="H60" s="51"/>
      <c r="I60" s="51" t="s">
        <v>163</v>
      </c>
      <c r="J60" s="51" t="s">
        <v>269</v>
      </c>
      <c r="K60" s="51" t="s">
        <v>116</v>
      </c>
      <c r="L60" s="51"/>
      <c r="M60" s="51">
        <f>COUNTA(C60:L65)</f>
        <v>15</v>
      </c>
    </row>
    <row r="61" spans="1:13" ht="14.5" customHeight="1">
      <c r="A61" s="50"/>
      <c r="B6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1" s="50"/>
      <c r="D61" s="50"/>
      <c r="E61" s="50"/>
      <c r="F61" s="50"/>
      <c r="G61" s="50"/>
      <c r="H61" s="50"/>
      <c r="I61" s="50" t="s">
        <v>131</v>
      </c>
      <c r="J61" s="50" t="s">
        <v>144</v>
      </c>
      <c r="K61" s="50"/>
      <c r="L61" s="50"/>
      <c r="M61" s="50"/>
    </row>
    <row r="62" spans="1:13" ht="14.5" customHeight="1">
      <c r="A62" s="47"/>
      <c r="B6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2" s="47"/>
      <c r="D62" s="47"/>
      <c r="E62" s="47"/>
      <c r="F62" s="47"/>
      <c r="G62" s="47"/>
      <c r="H62" s="47"/>
      <c r="I62" s="47" t="s">
        <v>192</v>
      </c>
      <c r="J62" s="47" t="s">
        <v>256</v>
      </c>
      <c r="K62" s="47"/>
      <c r="L62" s="47"/>
      <c r="M62" s="47"/>
    </row>
    <row r="63" spans="1:13" ht="14.5" customHeight="1">
      <c r="A63" s="47"/>
      <c r="B6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3" s="47"/>
      <c r="D63" s="47"/>
      <c r="E63" s="47"/>
      <c r="F63" s="47"/>
      <c r="G63" s="47"/>
      <c r="H63" s="47"/>
      <c r="I63" s="47" t="s">
        <v>141</v>
      </c>
      <c r="J63" s="47" t="s">
        <v>134</v>
      </c>
      <c r="K63" s="47" t="s">
        <v>261</v>
      </c>
      <c r="L63" s="47"/>
      <c r="M63" s="47"/>
    </row>
    <row r="64" spans="1:13" ht="14.5" customHeight="1">
      <c r="A64" s="47"/>
      <c r="B6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4" s="47"/>
      <c r="D64" s="47"/>
      <c r="E64" s="47"/>
      <c r="F64" s="47"/>
      <c r="G64" s="47"/>
      <c r="H64" s="47"/>
      <c r="I64" s="47" t="s">
        <v>483</v>
      </c>
      <c r="J64" s="47"/>
      <c r="K64" s="47"/>
      <c r="L64" s="47"/>
      <c r="M64" s="47"/>
    </row>
    <row r="65" spans="1:15" ht="14.5" customHeight="1" thickBot="1">
      <c r="A65" s="52"/>
      <c r="B65" s="52"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5" s="52"/>
      <c r="D65" s="52"/>
      <c r="E65" s="52"/>
      <c r="F65" s="52"/>
      <c r="G65" s="52"/>
      <c r="H65" s="52"/>
      <c r="I65" s="52" t="s">
        <v>231</v>
      </c>
      <c r="J65" s="52" t="s">
        <v>136</v>
      </c>
      <c r="K65" s="52" t="s">
        <v>137</v>
      </c>
      <c r="L65" s="52" t="s">
        <v>232</v>
      </c>
      <c r="M65" s="52"/>
    </row>
    <row r="66" spans="1:15" ht="14.5" customHeight="1">
      <c r="A66" s="45"/>
      <c r="B66" s="45"/>
      <c r="C66" s="45"/>
      <c r="D66" s="45"/>
      <c r="E66" s="45"/>
      <c r="F66" s="45"/>
      <c r="G66" s="45"/>
      <c r="H66" s="45"/>
      <c r="I66" s="45"/>
      <c r="J66" s="45"/>
      <c r="K66" s="45"/>
      <c r="L66" s="45"/>
      <c r="M66" s="45"/>
    </row>
    <row r="67" spans="1:15" ht="20" customHeight="1">
      <c r="A67" s="136" t="s">
        <v>829</v>
      </c>
      <c r="B67" s="136"/>
      <c r="C67" s="136"/>
      <c r="D67" s="136"/>
      <c r="E67" s="136"/>
      <c r="F67" s="136"/>
      <c r="G67" s="136"/>
      <c r="H67" s="136"/>
      <c r="I67" s="136"/>
      <c r="J67" s="136"/>
      <c r="K67" s="136"/>
      <c r="L67" s="136"/>
      <c r="M67" s="136"/>
      <c r="N67" s="136"/>
      <c r="O67" s="136"/>
    </row>
    <row r="68" spans="1:15" ht="14.5" customHeight="1">
      <c r="A68" s="18"/>
      <c r="B68" s="19" t="s">
        <v>314</v>
      </c>
      <c r="C68" s="135" t="s">
        <v>762</v>
      </c>
      <c r="D68" s="135"/>
      <c r="E68" s="135"/>
      <c r="F68" s="135" t="s">
        <v>755</v>
      </c>
      <c r="G68" s="135"/>
      <c r="H68" s="18"/>
      <c r="I68" s="46" t="s">
        <v>314</v>
      </c>
      <c r="J68" s="135" t="s">
        <v>774</v>
      </c>
      <c r="K68" s="135"/>
      <c r="L68" s="135"/>
      <c r="M68" s="135" t="s">
        <v>755</v>
      </c>
      <c r="N68" s="135"/>
      <c r="O68" s="18"/>
    </row>
    <row r="69" spans="1:15" ht="14.5" customHeight="1">
      <c r="A69" s="18"/>
      <c r="B69" s="20">
        <v>1</v>
      </c>
      <c r="C69" s="134" t="s">
        <v>1157</v>
      </c>
      <c r="D69" s="134"/>
      <c r="E69" s="134"/>
      <c r="F69" s="134" t="s">
        <v>840</v>
      </c>
      <c r="G69" s="134"/>
      <c r="H69" s="18"/>
      <c r="I69" s="20">
        <v>10</v>
      </c>
      <c r="J69" s="134" t="s">
        <v>1101</v>
      </c>
      <c r="K69" s="134"/>
      <c r="L69" s="134"/>
      <c r="M69" s="134" t="s">
        <v>840</v>
      </c>
      <c r="N69" s="134"/>
      <c r="O69" s="18"/>
    </row>
    <row r="70" spans="1:15" ht="14.5" customHeight="1">
      <c r="A70" s="18"/>
      <c r="B70" s="20">
        <v>2</v>
      </c>
      <c r="C70" s="134" t="s">
        <v>1102</v>
      </c>
      <c r="D70" s="134"/>
      <c r="E70" s="134"/>
      <c r="F70" s="134" t="s">
        <v>840</v>
      </c>
      <c r="G70" s="134"/>
      <c r="H70" s="18"/>
      <c r="I70" s="20">
        <v>11</v>
      </c>
      <c r="J70" s="134" t="s">
        <v>1110</v>
      </c>
      <c r="K70" s="134"/>
      <c r="L70" s="134"/>
      <c r="M70" s="134" t="s">
        <v>840</v>
      </c>
      <c r="N70" s="134"/>
      <c r="O70" s="18"/>
    </row>
    <row r="71" spans="1:15" ht="14.5" customHeight="1">
      <c r="A71" s="18"/>
      <c r="B71" s="20">
        <v>3</v>
      </c>
      <c r="C71" s="134" t="s">
        <v>1112</v>
      </c>
      <c r="D71" s="134"/>
      <c r="E71" s="134"/>
      <c r="F71" s="134" t="s">
        <v>841</v>
      </c>
      <c r="G71" s="134"/>
      <c r="H71" s="18"/>
      <c r="I71" s="20">
        <v>12</v>
      </c>
      <c r="J71" s="134" t="s">
        <v>1111</v>
      </c>
      <c r="K71" s="134"/>
      <c r="L71" s="134"/>
      <c r="M71" s="134" t="s">
        <v>840</v>
      </c>
      <c r="N71" s="134"/>
      <c r="O71" s="18"/>
    </row>
    <row r="72" spans="1:15" ht="14.5" customHeight="1">
      <c r="A72" s="18"/>
      <c r="B72" s="20">
        <v>4</v>
      </c>
      <c r="C72" s="134" t="s">
        <v>1115</v>
      </c>
      <c r="D72" s="134"/>
      <c r="E72" s="134"/>
      <c r="F72" s="134" t="s">
        <v>841</v>
      </c>
      <c r="G72" s="134"/>
      <c r="H72" s="18"/>
      <c r="I72" s="20">
        <v>13</v>
      </c>
      <c r="J72" s="134" t="s">
        <v>1104</v>
      </c>
      <c r="K72" s="134"/>
      <c r="L72" s="134"/>
      <c r="M72" s="134" t="s">
        <v>841</v>
      </c>
      <c r="N72" s="134"/>
      <c r="O72" s="18"/>
    </row>
    <row r="73" spans="1:15" ht="14.5" customHeight="1">
      <c r="A73" s="18"/>
      <c r="B73" s="20">
        <v>5</v>
      </c>
      <c r="C73" s="134" t="s">
        <v>1152</v>
      </c>
      <c r="D73" s="134"/>
      <c r="E73" s="134"/>
      <c r="F73" s="134" t="s">
        <v>841</v>
      </c>
      <c r="G73" s="134"/>
      <c r="H73" s="18"/>
      <c r="I73" s="20">
        <v>14</v>
      </c>
      <c r="J73" s="134" t="s">
        <v>1113</v>
      </c>
      <c r="K73" s="134"/>
      <c r="L73" s="134"/>
      <c r="M73" s="134" t="s">
        <v>841</v>
      </c>
      <c r="N73" s="134"/>
      <c r="O73" s="18"/>
    </row>
    <row r="74" spans="1:15" ht="14.5" customHeight="1">
      <c r="A74" s="18"/>
      <c r="B74" s="20">
        <v>6</v>
      </c>
      <c r="C74" s="134" t="s">
        <v>1106</v>
      </c>
      <c r="D74" s="134"/>
      <c r="E74" s="134"/>
      <c r="F74" s="134" t="s">
        <v>841</v>
      </c>
      <c r="G74" s="134"/>
      <c r="H74" s="18"/>
      <c r="I74" s="20">
        <v>15</v>
      </c>
      <c r="J74" s="134" t="s">
        <v>1154</v>
      </c>
      <c r="K74" s="134"/>
      <c r="L74" s="134"/>
      <c r="M74" s="134" t="s">
        <v>841</v>
      </c>
      <c r="N74" s="134"/>
      <c r="O74" s="18"/>
    </row>
    <row r="75" spans="1:15" ht="14.5" customHeight="1">
      <c r="A75" s="18"/>
      <c r="B75" s="20">
        <v>7</v>
      </c>
      <c r="C75" s="134" t="s">
        <v>1107</v>
      </c>
      <c r="D75" s="134"/>
      <c r="E75" s="134"/>
      <c r="F75" s="134" t="s">
        <v>847</v>
      </c>
      <c r="G75" s="134"/>
      <c r="H75" s="18"/>
      <c r="I75" s="20">
        <v>16</v>
      </c>
      <c r="J75" s="134" t="s">
        <v>1155</v>
      </c>
      <c r="K75" s="134"/>
      <c r="L75" s="134"/>
      <c r="M75" s="134" t="s">
        <v>847</v>
      </c>
      <c r="N75" s="134"/>
      <c r="O75" s="18"/>
    </row>
    <row r="76" spans="1:15" ht="14.5" customHeight="1">
      <c r="A76" s="18"/>
      <c r="B76" s="20">
        <v>8</v>
      </c>
      <c r="C76" s="134" t="s">
        <v>1153</v>
      </c>
      <c r="D76" s="134"/>
      <c r="E76" s="134"/>
      <c r="F76" s="134" t="s">
        <v>847</v>
      </c>
      <c r="G76" s="134"/>
      <c r="H76" s="18"/>
      <c r="I76" s="20">
        <v>17</v>
      </c>
      <c r="J76" s="134" t="s">
        <v>1117</v>
      </c>
      <c r="K76" s="134"/>
      <c r="L76" s="134"/>
      <c r="M76" s="134" t="s">
        <v>847</v>
      </c>
      <c r="N76" s="134"/>
      <c r="O76" s="18"/>
    </row>
    <row r="77" spans="1:15" ht="14.5" customHeight="1">
      <c r="A77" s="18"/>
      <c r="B77" s="20">
        <v>9</v>
      </c>
      <c r="C77" s="134" t="s">
        <v>1118</v>
      </c>
      <c r="D77" s="134"/>
      <c r="E77" s="134"/>
      <c r="F77" s="134" t="s">
        <v>847</v>
      </c>
      <c r="G77" s="134"/>
      <c r="H77" s="18"/>
      <c r="I77" s="20">
        <v>18</v>
      </c>
      <c r="J77" s="134" t="s">
        <v>1156</v>
      </c>
      <c r="K77" s="134"/>
      <c r="L77" s="134"/>
      <c r="M77" s="134" t="s">
        <v>847</v>
      </c>
      <c r="N77" s="134"/>
      <c r="O77" s="18"/>
    </row>
    <row r="78" spans="1:15" ht="14.5" customHeight="1">
      <c r="A78" s="18"/>
      <c r="B78" s="18"/>
      <c r="C78" s="18"/>
      <c r="D78" s="18"/>
      <c r="E78" s="18"/>
      <c r="F78" s="18"/>
      <c r="G78" s="18"/>
      <c r="H78" s="18"/>
      <c r="I78" s="18"/>
      <c r="J78" s="18"/>
      <c r="K78" s="18"/>
      <c r="L78" s="18"/>
      <c r="M78" s="18"/>
      <c r="N78" s="18"/>
      <c r="O78" s="18"/>
    </row>
    <row r="79" spans="1:15" ht="14.5" customHeight="1">
      <c r="A79" s="18"/>
      <c r="B79" s="19" t="s">
        <v>314</v>
      </c>
      <c r="C79" s="135" t="s">
        <v>775</v>
      </c>
      <c r="D79" s="135"/>
      <c r="E79" s="135"/>
      <c r="F79" s="135" t="s">
        <v>755</v>
      </c>
      <c r="G79" s="135"/>
      <c r="H79" s="18"/>
      <c r="I79" s="18"/>
      <c r="J79" s="18"/>
      <c r="K79" s="18"/>
      <c r="L79" s="18"/>
      <c r="M79" s="18"/>
      <c r="N79" s="18"/>
      <c r="O79" s="18"/>
    </row>
    <row r="80" spans="1:15" ht="14.5" customHeight="1">
      <c r="A80" s="18"/>
      <c r="B80" s="20">
        <v>19</v>
      </c>
      <c r="C80" s="134" t="s">
        <v>1109</v>
      </c>
      <c r="D80" s="134"/>
      <c r="E80" s="134"/>
      <c r="F80" s="134" t="s">
        <v>840</v>
      </c>
      <c r="G80" s="134"/>
      <c r="H80" s="18"/>
      <c r="I80" s="18"/>
      <c r="J80" s="18"/>
      <c r="K80" s="18"/>
      <c r="L80" s="18"/>
      <c r="M80" s="18"/>
      <c r="N80" s="18"/>
      <c r="O80" s="18"/>
    </row>
    <row r="81" spans="1:15" ht="14.5" customHeight="1">
      <c r="A81" s="18"/>
      <c r="B81" s="20">
        <v>20</v>
      </c>
      <c r="C81" s="134" t="s">
        <v>1103</v>
      </c>
      <c r="D81" s="134"/>
      <c r="E81" s="134"/>
      <c r="F81" s="134" t="s">
        <v>840</v>
      </c>
      <c r="G81" s="134"/>
      <c r="H81" s="18"/>
      <c r="I81" s="18"/>
      <c r="J81" s="18"/>
      <c r="K81" s="18"/>
      <c r="L81" s="18"/>
      <c r="M81" s="18"/>
      <c r="N81" s="18"/>
      <c r="O81" s="18"/>
    </row>
    <row r="82" spans="1:15" ht="14.5" customHeight="1">
      <c r="A82" s="18"/>
      <c r="B82" s="20">
        <v>21</v>
      </c>
      <c r="C82" s="134" t="s">
        <v>1158</v>
      </c>
      <c r="D82" s="134"/>
      <c r="E82" s="134"/>
      <c r="F82" s="134" t="s">
        <v>841</v>
      </c>
      <c r="G82" s="134"/>
      <c r="H82" s="18"/>
      <c r="I82" s="18"/>
      <c r="J82" s="18"/>
      <c r="K82" s="18"/>
      <c r="L82" s="18"/>
      <c r="M82" s="18"/>
      <c r="N82" s="18"/>
      <c r="O82" s="18"/>
    </row>
    <row r="83" spans="1:15" ht="14.5" customHeight="1">
      <c r="A83" s="18"/>
      <c r="B83" s="20">
        <v>22</v>
      </c>
      <c r="C83" s="134" t="s">
        <v>1114</v>
      </c>
      <c r="D83" s="134"/>
      <c r="E83" s="134"/>
      <c r="F83" s="134" t="s">
        <v>841</v>
      </c>
      <c r="G83" s="134"/>
      <c r="H83" s="18"/>
      <c r="I83" s="18"/>
      <c r="J83" s="18"/>
      <c r="K83" s="18"/>
      <c r="L83" s="18"/>
      <c r="M83" s="18"/>
      <c r="N83" s="18"/>
      <c r="O83" s="18"/>
    </row>
    <row r="84" spans="1:15" ht="14.5" customHeight="1">
      <c r="A84" s="18"/>
      <c r="B84" s="20">
        <v>23</v>
      </c>
      <c r="C84" s="134" t="s">
        <v>1105</v>
      </c>
      <c r="D84" s="134"/>
      <c r="E84" s="134"/>
      <c r="F84" s="134" t="s">
        <v>841</v>
      </c>
      <c r="G84" s="134"/>
      <c r="H84" s="18"/>
      <c r="I84" s="18"/>
      <c r="J84" s="18"/>
      <c r="K84" s="18"/>
      <c r="L84" s="18"/>
      <c r="M84" s="18"/>
      <c r="N84" s="18"/>
      <c r="O84" s="18"/>
    </row>
    <row r="85" spans="1:15" ht="14.5" customHeight="1">
      <c r="A85" s="18"/>
      <c r="B85" s="20">
        <v>24</v>
      </c>
      <c r="C85" s="134" t="s">
        <v>1159</v>
      </c>
      <c r="D85" s="134"/>
      <c r="E85" s="134"/>
      <c r="F85" s="134" t="s">
        <v>841</v>
      </c>
      <c r="G85" s="134"/>
      <c r="H85" s="18"/>
      <c r="I85" s="18"/>
      <c r="J85" s="18"/>
      <c r="K85" s="18"/>
      <c r="L85" s="18"/>
      <c r="M85" s="18"/>
      <c r="N85" s="18"/>
      <c r="O85" s="18"/>
    </row>
    <row r="86" spans="1:15" ht="14.5" customHeight="1">
      <c r="A86" s="18"/>
      <c r="B86" s="20">
        <v>25</v>
      </c>
      <c r="C86" s="134" t="s">
        <v>1160</v>
      </c>
      <c r="D86" s="134"/>
      <c r="E86" s="134"/>
      <c r="F86" s="134" t="s">
        <v>847</v>
      </c>
      <c r="G86" s="134"/>
      <c r="H86" s="18"/>
      <c r="I86" s="18"/>
      <c r="J86" s="18"/>
      <c r="K86" s="18"/>
      <c r="L86" s="18"/>
      <c r="M86" s="18"/>
      <c r="N86" s="18"/>
      <c r="O86" s="18"/>
    </row>
    <row r="87" spans="1:15" ht="14.5" customHeight="1">
      <c r="A87" s="18"/>
      <c r="B87" s="20">
        <v>26</v>
      </c>
      <c r="C87" s="134" t="s">
        <v>1161</v>
      </c>
      <c r="D87" s="134"/>
      <c r="E87" s="134"/>
      <c r="F87" s="134" t="s">
        <v>847</v>
      </c>
      <c r="G87" s="134"/>
      <c r="H87" s="18"/>
      <c r="I87" s="18"/>
      <c r="J87" s="18"/>
      <c r="K87" s="18"/>
      <c r="L87" s="18"/>
      <c r="M87" s="18"/>
      <c r="N87" s="18"/>
      <c r="O87" s="18"/>
    </row>
    <row r="88" spans="1:15" ht="14.5" customHeight="1">
      <c r="A88" s="18"/>
      <c r="B88" s="20">
        <v>27</v>
      </c>
      <c r="C88" s="134" t="s">
        <v>1108</v>
      </c>
      <c r="D88" s="134"/>
      <c r="E88" s="134"/>
      <c r="F88" s="134" t="s">
        <v>847</v>
      </c>
      <c r="G88" s="134"/>
      <c r="H88" s="18"/>
      <c r="I88" s="18"/>
      <c r="J88" s="18"/>
      <c r="K88" s="18"/>
      <c r="L88" s="18"/>
      <c r="M88" s="18"/>
      <c r="N88" s="18"/>
      <c r="O88" s="18"/>
    </row>
    <row r="89" spans="1:15" ht="14.5" customHeight="1">
      <c r="A89" s="18"/>
      <c r="B89" s="20">
        <v>28</v>
      </c>
      <c r="C89" s="134" t="s">
        <v>1162</v>
      </c>
      <c r="D89" s="134"/>
      <c r="E89" s="134"/>
      <c r="F89" s="134" t="s">
        <v>847</v>
      </c>
      <c r="G89" s="134"/>
      <c r="H89" s="18"/>
      <c r="I89" s="18"/>
      <c r="J89" s="18"/>
      <c r="K89" s="18"/>
      <c r="L89" s="18"/>
      <c r="M89" s="18"/>
      <c r="N89" s="18"/>
      <c r="O89" s="18"/>
    </row>
    <row r="90" spans="1:15" ht="14.5" customHeight="1">
      <c r="A90" s="18"/>
      <c r="B90" s="18"/>
      <c r="C90" s="18"/>
      <c r="D90" s="18"/>
      <c r="E90" s="18"/>
      <c r="F90" s="18"/>
      <c r="G90" s="18"/>
      <c r="H90" s="18"/>
      <c r="I90" s="18"/>
      <c r="J90" s="18"/>
      <c r="K90" s="18"/>
      <c r="L90" s="18"/>
      <c r="M90" s="18"/>
      <c r="N90" s="18"/>
      <c r="O90" s="18"/>
    </row>
    <row r="91" spans="1:15" ht="14.5" customHeight="1">
      <c r="A91" s="18"/>
      <c r="B91" s="18"/>
      <c r="C91" s="18"/>
      <c r="D91" s="18"/>
      <c r="E91" s="18"/>
      <c r="F91" s="18"/>
      <c r="G91" s="18"/>
      <c r="H91" s="18"/>
      <c r="I91" s="18"/>
      <c r="J91" s="18"/>
      <c r="K91" s="18"/>
      <c r="L91" s="18"/>
      <c r="M91" s="18"/>
      <c r="N91" s="18"/>
      <c r="O91" s="18"/>
    </row>
    <row r="92" spans="1:15" ht="14.5" customHeight="1"/>
    <row r="93" spans="1:15" ht="14.5" customHeight="1"/>
    <row r="94" spans="1:15" ht="14.5" customHeight="1"/>
    <row r="95" spans="1:15" ht="14.5" customHeight="1"/>
    <row r="96" spans="1:15"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sheetData>
  <mergeCells count="67">
    <mergeCell ref="C68:E68"/>
    <mergeCell ref="F68:G68"/>
    <mergeCell ref="C69:E69"/>
    <mergeCell ref="F69:G69"/>
    <mergeCell ref="C70:E70"/>
    <mergeCell ref="F70:G70"/>
    <mergeCell ref="A1:M1"/>
    <mergeCell ref="C2:E2"/>
    <mergeCell ref="F2:H2"/>
    <mergeCell ref="I2:L2"/>
    <mergeCell ref="A67:O67"/>
    <mergeCell ref="F71:G71"/>
    <mergeCell ref="C72:E72"/>
    <mergeCell ref="F72:G72"/>
    <mergeCell ref="C73:E73"/>
    <mergeCell ref="F73:G73"/>
    <mergeCell ref="C71:E71"/>
    <mergeCell ref="C74:E74"/>
    <mergeCell ref="F74:G74"/>
    <mergeCell ref="C75:E75"/>
    <mergeCell ref="F75:G75"/>
    <mergeCell ref="C76:E76"/>
    <mergeCell ref="F76:G76"/>
    <mergeCell ref="C77:E77"/>
    <mergeCell ref="F77:G77"/>
    <mergeCell ref="J68:L68"/>
    <mergeCell ref="M68:N68"/>
    <mergeCell ref="J69:L69"/>
    <mergeCell ref="M69:N69"/>
    <mergeCell ref="J70:L70"/>
    <mergeCell ref="M70:N70"/>
    <mergeCell ref="J71:L71"/>
    <mergeCell ref="M71:N71"/>
    <mergeCell ref="J72:L72"/>
    <mergeCell ref="M72:N72"/>
    <mergeCell ref="J73:L73"/>
    <mergeCell ref="M73:N73"/>
    <mergeCell ref="J74:L74"/>
    <mergeCell ref="M74:N74"/>
    <mergeCell ref="J75:L75"/>
    <mergeCell ref="M75:N75"/>
    <mergeCell ref="J76:L76"/>
    <mergeCell ref="M76:N76"/>
    <mergeCell ref="J77:L77"/>
    <mergeCell ref="M77:N77"/>
    <mergeCell ref="C79:E79"/>
    <mergeCell ref="F79:G79"/>
    <mergeCell ref="C80:E80"/>
    <mergeCell ref="F80:G80"/>
    <mergeCell ref="C81:E81"/>
    <mergeCell ref="F81:G81"/>
    <mergeCell ref="C82:E82"/>
    <mergeCell ref="F82:G82"/>
    <mergeCell ref="C83:E83"/>
    <mergeCell ref="F83:G83"/>
    <mergeCell ref="C84:E84"/>
    <mergeCell ref="F84:G84"/>
    <mergeCell ref="C88:E88"/>
    <mergeCell ref="F88:G88"/>
    <mergeCell ref="C89:E89"/>
    <mergeCell ref="F89:G89"/>
    <mergeCell ref="C85:E85"/>
    <mergeCell ref="F85:G85"/>
    <mergeCell ref="C86:E86"/>
    <mergeCell ref="F86:G86"/>
    <mergeCell ref="C87:E87"/>
    <mergeCell ref="F87:G8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FCC11-8457-4645-8378-71934B682F16}">
  <dimension ref="A1:O111"/>
  <sheetViews>
    <sheetView showGridLines="0" rightToLeft="1" workbookViewId="0">
      <pane ySplit="3" topLeftCell="A39" activePane="bottomLeft" state="frozen"/>
      <selection pane="bottomLeft" activeCell="F81" sqref="B81:G90"/>
    </sheetView>
  </sheetViews>
  <sheetFormatPr defaultRowHeight="14"/>
  <cols>
    <col min="1" max="1" width="15.83203125" customWidth="1"/>
    <col min="2" max="2" width="17.5" customWidth="1"/>
    <col min="3" max="13" width="13" customWidth="1"/>
    <col min="14" max="14" width="17.5" customWidth="1"/>
  </cols>
  <sheetData>
    <row r="1" spans="1:14" ht="26" customHeight="1">
      <c r="A1" s="119" t="s">
        <v>485</v>
      </c>
      <c r="B1" s="119"/>
      <c r="C1" s="119"/>
      <c r="D1" s="119"/>
      <c r="E1" s="119"/>
      <c r="F1" s="119"/>
      <c r="G1" s="119"/>
      <c r="H1" s="119"/>
      <c r="I1" s="119"/>
      <c r="J1" s="119"/>
      <c r="K1" s="119"/>
      <c r="L1" s="119"/>
      <c r="M1" s="119"/>
      <c r="N1" s="119"/>
    </row>
    <row r="2" spans="1:14" ht="20" customHeight="1">
      <c r="A2" s="49"/>
      <c r="B2" s="49"/>
      <c r="C2" s="137" t="s">
        <v>445</v>
      </c>
      <c r="D2" s="137"/>
      <c r="E2" s="137"/>
      <c r="F2" s="137" t="s">
        <v>446</v>
      </c>
      <c r="G2" s="137"/>
      <c r="H2" s="137"/>
      <c r="I2" s="137"/>
      <c r="J2" s="137" t="s">
        <v>486</v>
      </c>
      <c r="K2" s="137"/>
      <c r="L2" s="137"/>
      <c r="M2" s="137"/>
      <c r="N2" s="49"/>
    </row>
    <row r="3" spans="1:14" ht="32" customHeight="1" thickBot="1">
      <c r="A3" s="49" t="s">
        <v>426</v>
      </c>
      <c r="B3" s="49" t="s">
        <v>7</v>
      </c>
      <c r="C3" s="49" t="s">
        <v>8</v>
      </c>
      <c r="D3" s="49" t="s">
        <v>9</v>
      </c>
      <c r="E3" s="49" t="s">
        <v>84</v>
      </c>
      <c r="F3" s="49" t="s">
        <v>8</v>
      </c>
      <c r="G3" s="49" t="s">
        <v>9</v>
      </c>
      <c r="H3" s="49" t="s">
        <v>84</v>
      </c>
      <c r="I3" s="49" t="s">
        <v>119</v>
      </c>
      <c r="J3" s="49" t="s">
        <v>8</v>
      </c>
      <c r="K3" s="49" t="s">
        <v>9</v>
      </c>
      <c r="L3" s="49" t="s">
        <v>84</v>
      </c>
      <c r="M3" s="49" t="s">
        <v>119</v>
      </c>
      <c r="N3" s="49" t="s">
        <v>427</v>
      </c>
    </row>
    <row r="4" spans="1:14"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15</v>
      </c>
      <c r="D4" s="51" t="s">
        <v>33</v>
      </c>
      <c r="E4" s="51"/>
      <c r="F4" s="51" t="s">
        <v>87</v>
      </c>
      <c r="G4" s="51" t="s">
        <v>97</v>
      </c>
      <c r="H4" s="51"/>
      <c r="I4" s="51"/>
      <c r="J4" s="51" t="s">
        <v>263</v>
      </c>
      <c r="K4" s="51" t="s">
        <v>146</v>
      </c>
      <c r="L4" s="51"/>
      <c r="M4" s="51"/>
      <c r="N4" s="51">
        <f>COUNTA(C4:M12)</f>
        <v>58</v>
      </c>
    </row>
    <row r="5" spans="1:14"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39</v>
      </c>
      <c r="D5" s="50" t="s">
        <v>10</v>
      </c>
      <c r="E5" s="50"/>
      <c r="F5" s="50" t="s">
        <v>126</v>
      </c>
      <c r="G5" s="50" t="s">
        <v>83</v>
      </c>
      <c r="H5" s="50" t="s">
        <v>222</v>
      </c>
      <c r="I5" s="50"/>
      <c r="J5" s="50" t="s">
        <v>157</v>
      </c>
      <c r="K5" s="50" t="s">
        <v>137</v>
      </c>
      <c r="L5" s="50" t="s">
        <v>141</v>
      </c>
      <c r="M5" s="50"/>
      <c r="N5" s="50"/>
    </row>
    <row r="6" spans="1:14"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26</v>
      </c>
      <c r="D6" s="47" t="s">
        <v>35</v>
      </c>
      <c r="E6" s="47"/>
      <c r="F6" s="47"/>
      <c r="G6" s="47"/>
      <c r="H6" s="47"/>
      <c r="I6" s="47"/>
      <c r="J6" s="47"/>
      <c r="K6" s="47"/>
      <c r="L6" s="47"/>
      <c r="M6" s="47"/>
      <c r="N6" s="47"/>
    </row>
    <row r="7" spans="1:14"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20</v>
      </c>
      <c r="D7" s="47" t="s">
        <v>41</v>
      </c>
      <c r="E7" s="47"/>
      <c r="F7" s="47" t="s">
        <v>140</v>
      </c>
      <c r="G7" s="47" t="s">
        <v>85</v>
      </c>
      <c r="H7" s="47" t="s">
        <v>59</v>
      </c>
      <c r="I7" s="47" t="s">
        <v>90</v>
      </c>
      <c r="J7" s="47" t="s">
        <v>229</v>
      </c>
      <c r="K7" s="47" t="s">
        <v>190</v>
      </c>
      <c r="L7" s="47" t="s">
        <v>123</v>
      </c>
      <c r="M7" s="47" t="s">
        <v>144</v>
      </c>
      <c r="N7" s="47"/>
    </row>
    <row r="8" spans="1:14"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32</v>
      </c>
      <c r="D8" s="47" t="s">
        <v>12</v>
      </c>
      <c r="E8" s="47"/>
      <c r="F8" s="47" t="s">
        <v>111</v>
      </c>
      <c r="G8" s="47"/>
      <c r="H8" s="47"/>
      <c r="I8" s="47"/>
      <c r="J8" s="47" t="s">
        <v>173</v>
      </c>
      <c r="K8" s="47"/>
      <c r="L8" s="47"/>
      <c r="M8" s="47"/>
      <c r="N8" s="47"/>
    </row>
    <row r="9" spans="1:14"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43</v>
      </c>
      <c r="D9" s="47" t="s">
        <v>30</v>
      </c>
      <c r="E9" s="47"/>
      <c r="F9" s="47" t="s">
        <v>86</v>
      </c>
      <c r="G9" s="47" t="s">
        <v>96</v>
      </c>
      <c r="H9" s="47"/>
      <c r="I9" s="47"/>
      <c r="J9" s="47" t="s">
        <v>260</v>
      </c>
      <c r="K9" s="47" t="s">
        <v>159</v>
      </c>
      <c r="L9" s="47"/>
      <c r="M9" s="47"/>
      <c r="N9" s="47"/>
    </row>
    <row r="10" spans="1:14"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18</v>
      </c>
      <c r="D10" s="47" t="s">
        <v>13</v>
      </c>
      <c r="E10" s="47"/>
      <c r="F10" s="47" t="s">
        <v>300</v>
      </c>
      <c r="G10" s="47" t="s">
        <v>103</v>
      </c>
      <c r="H10" s="47" t="s">
        <v>150</v>
      </c>
      <c r="I10" s="47"/>
      <c r="J10" s="47" t="s">
        <v>236</v>
      </c>
      <c r="K10" s="47" t="s">
        <v>230</v>
      </c>
      <c r="L10" s="47" t="s">
        <v>261</v>
      </c>
      <c r="M10" s="47"/>
      <c r="N10" s="47"/>
    </row>
    <row r="11" spans="1:14"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34</v>
      </c>
      <c r="D11" s="47"/>
      <c r="E11" s="47"/>
      <c r="F11" s="47" t="s">
        <v>88</v>
      </c>
      <c r="G11" s="47"/>
      <c r="H11" s="47"/>
      <c r="I11" s="47"/>
      <c r="J11" s="47" t="s">
        <v>153</v>
      </c>
      <c r="K11" s="47"/>
      <c r="L11" s="47"/>
      <c r="M11" s="47"/>
      <c r="N11" s="47"/>
    </row>
    <row r="12" spans="1:14"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16</v>
      </c>
      <c r="D12" s="48" t="s">
        <v>21</v>
      </c>
      <c r="E12" s="48" t="s">
        <v>45</v>
      </c>
      <c r="F12" s="48" t="s">
        <v>91</v>
      </c>
      <c r="G12" s="48" t="s">
        <v>113</v>
      </c>
      <c r="H12" s="48" t="s">
        <v>105</v>
      </c>
      <c r="I12" s="48" t="s">
        <v>110</v>
      </c>
      <c r="J12" s="48" t="s">
        <v>131</v>
      </c>
      <c r="K12" s="48" t="s">
        <v>255</v>
      </c>
      <c r="L12" s="48" t="s">
        <v>257</v>
      </c>
      <c r="M12" s="48" t="s">
        <v>357</v>
      </c>
      <c r="N12" s="48"/>
    </row>
    <row r="13" spans="1:14"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28</v>
      </c>
      <c r="D13" s="51"/>
      <c r="E13" s="51"/>
      <c r="F13" s="51" t="s">
        <v>99</v>
      </c>
      <c r="G13" s="51" t="s">
        <v>98</v>
      </c>
      <c r="H13" s="51"/>
      <c r="I13" s="51"/>
      <c r="J13" s="51" t="s">
        <v>148</v>
      </c>
      <c r="K13" s="51" t="s">
        <v>147</v>
      </c>
      <c r="L13" s="51"/>
      <c r="M13" s="51"/>
      <c r="N13" s="51">
        <f>COUNTA(C13:M22)</f>
        <v>58</v>
      </c>
    </row>
    <row r="14" spans="1:14"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37</v>
      </c>
      <c r="D14" s="50"/>
      <c r="E14" s="50"/>
      <c r="F14" s="50" t="s">
        <v>109</v>
      </c>
      <c r="G14" s="50" t="s">
        <v>75</v>
      </c>
      <c r="H14" s="50" t="s">
        <v>349</v>
      </c>
      <c r="I14" s="50"/>
      <c r="J14" s="50" t="s">
        <v>192</v>
      </c>
      <c r="K14" s="50" t="s">
        <v>134</v>
      </c>
      <c r="L14" s="50" t="s">
        <v>487</v>
      </c>
      <c r="M14" s="50"/>
      <c r="N14" s="50"/>
    </row>
    <row r="15" spans="1:14"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22</v>
      </c>
      <c r="D15" s="47" t="s">
        <v>40</v>
      </c>
      <c r="E15" s="47"/>
      <c r="F15" s="47"/>
      <c r="G15" s="47"/>
      <c r="H15" s="47"/>
      <c r="I15" s="47"/>
      <c r="J15" s="47"/>
      <c r="K15" s="47"/>
      <c r="L15" s="47"/>
      <c r="M15" s="47"/>
      <c r="N15" s="47"/>
    </row>
    <row r="16" spans="1:14"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14</v>
      </c>
      <c r="D16" s="47" t="s">
        <v>27</v>
      </c>
      <c r="E16" s="47"/>
      <c r="F16" s="47" t="s">
        <v>142</v>
      </c>
      <c r="G16" s="47" t="s">
        <v>139</v>
      </c>
      <c r="H16" s="47" t="s">
        <v>224</v>
      </c>
      <c r="I16" s="47" t="s">
        <v>135</v>
      </c>
      <c r="J16" s="47" t="s">
        <v>149</v>
      </c>
      <c r="K16" s="47" t="s">
        <v>143</v>
      </c>
      <c r="L16" s="47" t="s">
        <v>232</v>
      </c>
      <c r="M16" s="47" t="s">
        <v>180</v>
      </c>
      <c r="N16" s="47"/>
    </row>
    <row r="17" spans="1:14"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38</v>
      </c>
      <c r="D17" s="47" t="s">
        <v>36</v>
      </c>
      <c r="E17" s="47"/>
      <c r="F17" s="47" t="s">
        <v>351</v>
      </c>
      <c r="G17" s="47"/>
      <c r="H17" s="47"/>
      <c r="I17" s="47"/>
      <c r="J17" s="47" t="s">
        <v>484</v>
      </c>
      <c r="K17" s="47"/>
      <c r="L17" s="47"/>
      <c r="M17" s="47"/>
      <c r="N17" s="47"/>
    </row>
    <row r="18" spans="1:14"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19</v>
      </c>
      <c r="D18" s="47" t="s">
        <v>25</v>
      </c>
      <c r="E18" s="47"/>
      <c r="F18" s="47" t="s">
        <v>89</v>
      </c>
      <c r="G18" s="47" t="s">
        <v>94</v>
      </c>
      <c r="H18" s="47" t="s">
        <v>106</v>
      </c>
      <c r="I18" s="47"/>
      <c r="J18" s="47" t="s">
        <v>254</v>
      </c>
      <c r="K18" s="47" t="s">
        <v>231</v>
      </c>
      <c r="L18" s="47" t="s">
        <v>187</v>
      </c>
      <c r="M18" s="47"/>
      <c r="N18" s="47"/>
    </row>
    <row r="19" spans="1:14"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44</v>
      </c>
      <c r="D19" s="47" t="s">
        <v>11</v>
      </c>
      <c r="E19" s="47"/>
      <c r="F19" s="47" t="s">
        <v>67</v>
      </c>
      <c r="G19" s="47" t="s">
        <v>223</v>
      </c>
      <c r="H19" s="47"/>
      <c r="I19" s="47"/>
      <c r="J19" s="47" t="s">
        <v>127</v>
      </c>
      <c r="K19" s="47" t="s">
        <v>176</v>
      </c>
      <c r="L19" s="47"/>
      <c r="M19" s="47"/>
      <c r="N19" s="47"/>
    </row>
    <row r="20" spans="1:14"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24</v>
      </c>
      <c r="D20" s="47" t="s">
        <v>29</v>
      </c>
      <c r="E20" s="47"/>
      <c r="F20" s="47" t="s">
        <v>108</v>
      </c>
      <c r="G20" s="47"/>
      <c r="H20" s="47"/>
      <c r="I20" s="47"/>
      <c r="J20" s="47" t="s">
        <v>191</v>
      </c>
      <c r="K20" s="47"/>
      <c r="L20" s="47"/>
      <c r="M20" s="47"/>
      <c r="N20" s="47"/>
    </row>
    <row r="21" spans="1:14" ht="14.5" customHeight="1">
      <c r="A21" s="47"/>
      <c r="B21"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7" t="s">
        <v>23</v>
      </c>
      <c r="D21" s="47"/>
      <c r="E21" s="47"/>
      <c r="F21" s="47" t="s">
        <v>299</v>
      </c>
      <c r="G21" s="47" t="s">
        <v>104</v>
      </c>
      <c r="H21" s="47" t="s">
        <v>93</v>
      </c>
      <c r="I21" s="47" t="s">
        <v>82</v>
      </c>
      <c r="J21" s="47" t="s">
        <v>269</v>
      </c>
      <c r="K21" s="47" t="s">
        <v>162</v>
      </c>
      <c r="L21" s="47" t="s">
        <v>133</v>
      </c>
      <c r="M21" s="47" t="s">
        <v>124</v>
      </c>
      <c r="N21" s="47"/>
    </row>
    <row r="22" spans="1:14" ht="14.5" customHeight="1" thickBot="1">
      <c r="A22" s="48"/>
      <c r="B22"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22" s="48" t="s">
        <v>31</v>
      </c>
      <c r="D22" s="48" t="s">
        <v>42</v>
      </c>
      <c r="E22" s="48" t="s">
        <v>17</v>
      </c>
      <c r="F22" s="48"/>
      <c r="G22" s="48"/>
      <c r="H22" s="48"/>
      <c r="I22" s="48"/>
      <c r="J22" s="48"/>
      <c r="K22" s="48"/>
      <c r="L22" s="48"/>
      <c r="M22" s="48"/>
      <c r="N22" s="48"/>
    </row>
    <row r="23" spans="1:14" ht="14.5" customHeight="1">
      <c r="A23" s="51" t="s">
        <v>430</v>
      </c>
      <c r="B2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3" s="51" t="s">
        <v>37</v>
      </c>
      <c r="D23" s="51" t="s">
        <v>38</v>
      </c>
      <c r="E23" s="51"/>
      <c r="F23" s="51" t="s">
        <v>101</v>
      </c>
      <c r="G23" s="51" t="s">
        <v>112</v>
      </c>
      <c r="H23" s="51" t="s">
        <v>107</v>
      </c>
      <c r="I23" s="51" t="s">
        <v>80</v>
      </c>
      <c r="J23" s="51" t="s">
        <v>136</v>
      </c>
      <c r="K23" s="51" t="s">
        <v>152</v>
      </c>
      <c r="L23" s="51" t="s">
        <v>355</v>
      </c>
      <c r="M23" s="51" t="s">
        <v>138</v>
      </c>
      <c r="N23" s="51">
        <f>COUNTA(C23:M31)</f>
        <v>58</v>
      </c>
    </row>
    <row r="24" spans="1:14" ht="14.5" customHeight="1">
      <c r="A24" s="50"/>
      <c r="B2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4" s="50" t="s">
        <v>20</v>
      </c>
      <c r="D24" s="50"/>
      <c r="E24" s="50"/>
      <c r="F24" s="50" t="s">
        <v>102</v>
      </c>
      <c r="G24" s="50"/>
      <c r="H24" s="50"/>
      <c r="I24" s="50"/>
      <c r="J24" s="50" t="s">
        <v>163</v>
      </c>
      <c r="K24" s="50"/>
      <c r="L24" s="50"/>
      <c r="M24" s="50"/>
      <c r="N24" s="50"/>
    </row>
    <row r="25" spans="1:14" ht="14.5" customHeight="1">
      <c r="A25" s="47"/>
      <c r="B2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5" s="47" t="s">
        <v>26</v>
      </c>
      <c r="D25" s="47" t="s">
        <v>32</v>
      </c>
      <c r="E25" s="47" t="s">
        <v>41</v>
      </c>
      <c r="F25" s="47" t="s">
        <v>349</v>
      </c>
      <c r="G25" s="47" t="s">
        <v>97</v>
      </c>
      <c r="H25" s="47" t="s">
        <v>83</v>
      </c>
      <c r="I25" s="47"/>
      <c r="J25" s="47" t="s">
        <v>487</v>
      </c>
      <c r="K25" s="47" t="s">
        <v>146</v>
      </c>
      <c r="L25" s="47" t="s">
        <v>137</v>
      </c>
      <c r="M25" s="47"/>
      <c r="N25" s="47"/>
    </row>
    <row r="26" spans="1:14" ht="14.5" customHeight="1">
      <c r="A26" s="47"/>
      <c r="B2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6" s="47" t="s">
        <v>22</v>
      </c>
      <c r="D26" s="47"/>
      <c r="E26" s="47"/>
      <c r="F26" s="47" t="s">
        <v>111</v>
      </c>
      <c r="G26" s="47" t="s">
        <v>88</v>
      </c>
      <c r="H26" s="47"/>
      <c r="I26" s="47"/>
      <c r="J26" s="47" t="s">
        <v>173</v>
      </c>
      <c r="K26" s="47" t="s">
        <v>153</v>
      </c>
      <c r="L26" s="47"/>
      <c r="M26" s="47"/>
      <c r="N26" s="47"/>
    </row>
    <row r="27" spans="1:14" ht="14.5" customHeight="1">
      <c r="A27" s="47"/>
      <c r="B2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7" s="47" t="s">
        <v>25</v>
      </c>
      <c r="D27" s="47" t="s">
        <v>19</v>
      </c>
      <c r="E27" s="47" t="s">
        <v>39</v>
      </c>
      <c r="F27" s="47" t="s">
        <v>75</v>
      </c>
      <c r="G27" s="47" t="s">
        <v>113</v>
      </c>
      <c r="H27" s="47"/>
      <c r="I27" s="47"/>
      <c r="J27" s="47" t="s">
        <v>134</v>
      </c>
      <c r="K27" s="47" t="s">
        <v>255</v>
      </c>
      <c r="L27" s="47"/>
      <c r="M27" s="47"/>
      <c r="N27" s="47"/>
    </row>
    <row r="28" spans="1:14" ht="14.5" customHeight="1">
      <c r="A28" s="47"/>
      <c r="B2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8" s="47" t="s">
        <v>36</v>
      </c>
      <c r="D28" s="47"/>
      <c r="E28" s="47"/>
      <c r="F28" s="47" t="s">
        <v>108</v>
      </c>
      <c r="G28" s="47" t="s">
        <v>91</v>
      </c>
      <c r="H28" s="47" t="s">
        <v>104</v>
      </c>
      <c r="I28" s="47"/>
      <c r="J28" s="47" t="s">
        <v>191</v>
      </c>
      <c r="K28" s="47" t="s">
        <v>131</v>
      </c>
      <c r="L28" s="47" t="s">
        <v>162</v>
      </c>
      <c r="M28" s="47"/>
      <c r="N28" s="47"/>
    </row>
    <row r="29" spans="1:14" ht="14.5" customHeight="1">
      <c r="A29" s="47"/>
      <c r="B2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9" s="47" t="s">
        <v>21</v>
      </c>
      <c r="D29" s="47" t="s">
        <v>45</v>
      </c>
      <c r="E29" s="47" t="s">
        <v>24</v>
      </c>
      <c r="F29" s="47" t="s">
        <v>67</v>
      </c>
      <c r="G29" s="47"/>
      <c r="H29" s="47"/>
      <c r="I29" s="47"/>
      <c r="J29" s="47" t="s">
        <v>127</v>
      </c>
      <c r="K29" s="47"/>
      <c r="L29" s="47"/>
      <c r="M29" s="47"/>
      <c r="N29" s="47"/>
    </row>
    <row r="30" spans="1:14" ht="14.5" customHeight="1">
      <c r="A30" s="47"/>
      <c r="B3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0" s="47" t="s">
        <v>16</v>
      </c>
      <c r="D30" s="47"/>
      <c r="E30" s="47"/>
      <c r="F30" s="47" t="s">
        <v>300</v>
      </c>
      <c r="G30" s="47" t="s">
        <v>86</v>
      </c>
      <c r="H30" s="47" t="s">
        <v>223</v>
      </c>
      <c r="I30" s="47" t="s">
        <v>96</v>
      </c>
      <c r="J30" s="47" t="s">
        <v>236</v>
      </c>
      <c r="K30" s="47" t="s">
        <v>260</v>
      </c>
      <c r="L30" s="47" t="s">
        <v>176</v>
      </c>
      <c r="M30" s="47" t="s">
        <v>159</v>
      </c>
      <c r="N30" s="47"/>
    </row>
    <row r="31" spans="1:14" ht="14.5" customHeight="1" thickBot="1">
      <c r="A31" s="48"/>
      <c r="B3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1" s="48" t="s">
        <v>12</v>
      </c>
      <c r="D31" s="48" t="s">
        <v>34</v>
      </c>
      <c r="E31" s="48" t="s">
        <v>28</v>
      </c>
      <c r="F31" s="48"/>
      <c r="G31" s="48"/>
      <c r="H31" s="48"/>
      <c r="I31" s="48"/>
      <c r="J31" s="48"/>
      <c r="K31" s="48"/>
      <c r="L31" s="48"/>
      <c r="M31" s="48"/>
      <c r="N31" s="48"/>
    </row>
    <row r="32" spans="1:14"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42</v>
      </c>
      <c r="D32" s="51" t="s">
        <v>10</v>
      </c>
      <c r="E32" s="51"/>
      <c r="F32" s="51" t="s">
        <v>82</v>
      </c>
      <c r="G32" s="51" t="s">
        <v>107</v>
      </c>
      <c r="H32" s="51" t="s">
        <v>98</v>
      </c>
      <c r="I32" s="51" t="s">
        <v>351</v>
      </c>
      <c r="J32" s="51" t="s">
        <v>124</v>
      </c>
      <c r="K32" s="51" t="s">
        <v>355</v>
      </c>
      <c r="L32" s="51" t="s">
        <v>147</v>
      </c>
      <c r="M32" s="51" t="s">
        <v>484</v>
      </c>
      <c r="N32" s="51">
        <f>COUNTA(C32:M40)</f>
        <v>58</v>
      </c>
    </row>
    <row r="33" spans="1:14"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18</v>
      </c>
      <c r="D33" s="50"/>
      <c r="E33" s="50"/>
      <c r="F33" s="50" t="s">
        <v>142</v>
      </c>
      <c r="G33" s="50"/>
      <c r="H33" s="50"/>
      <c r="I33" s="50"/>
      <c r="J33" s="50" t="s">
        <v>149</v>
      </c>
      <c r="K33" s="50"/>
      <c r="L33" s="50"/>
      <c r="M33" s="50"/>
      <c r="N33" s="50"/>
    </row>
    <row r="34" spans="1:14"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27</v>
      </c>
      <c r="D34" s="47" t="s">
        <v>17</v>
      </c>
      <c r="E34" s="47" t="s">
        <v>44</v>
      </c>
      <c r="F34" s="47" t="s">
        <v>59</v>
      </c>
      <c r="G34" s="47" t="s">
        <v>102</v>
      </c>
      <c r="H34" s="47" t="s">
        <v>110</v>
      </c>
      <c r="I34" s="47"/>
      <c r="J34" s="47" t="s">
        <v>123</v>
      </c>
      <c r="K34" s="47" t="s">
        <v>163</v>
      </c>
      <c r="L34" s="47" t="s">
        <v>357</v>
      </c>
      <c r="M34" s="47"/>
      <c r="N34" s="47"/>
    </row>
    <row r="35" spans="1:14"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11</v>
      </c>
      <c r="D35" s="47"/>
      <c r="E35" s="47"/>
      <c r="F35" s="47" t="s">
        <v>112</v>
      </c>
      <c r="G35" s="47" t="s">
        <v>222</v>
      </c>
      <c r="H35" s="47"/>
      <c r="I35" s="47"/>
      <c r="J35" s="47" t="s">
        <v>152</v>
      </c>
      <c r="K35" s="47" t="s">
        <v>141</v>
      </c>
      <c r="L35" s="47"/>
      <c r="M35" s="47"/>
      <c r="N35" s="47"/>
    </row>
    <row r="36" spans="1:14"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31</v>
      </c>
      <c r="D36" s="47" t="s">
        <v>43</v>
      </c>
      <c r="E36" s="47" t="s">
        <v>29</v>
      </c>
      <c r="F36" s="47" t="s">
        <v>89</v>
      </c>
      <c r="G36" s="47" t="s">
        <v>103</v>
      </c>
      <c r="H36" s="47"/>
      <c r="I36" s="47"/>
      <c r="J36" s="47" t="s">
        <v>254</v>
      </c>
      <c r="K36" s="47" t="s">
        <v>230</v>
      </c>
      <c r="L36" s="47"/>
      <c r="M36" s="47"/>
      <c r="N36" s="47"/>
    </row>
    <row r="37" spans="1:14"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23</v>
      </c>
      <c r="D37" s="47"/>
      <c r="E37" s="47"/>
      <c r="F37" s="47" t="s">
        <v>150</v>
      </c>
      <c r="G37" s="47" t="s">
        <v>106</v>
      </c>
      <c r="H37" s="47" t="s">
        <v>94</v>
      </c>
      <c r="I37" s="47"/>
      <c r="J37" s="47" t="s">
        <v>261</v>
      </c>
      <c r="K37" s="47" t="s">
        <v>187</v>
      </c>
      <c r="L37" s="47" t="s">
        <v>231</v>
      </c>
      <c r="M37" s="47"/>
      <c r="N37" s="47"/>
    </row>
    <row r="38" spans="1:14"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35</v>
      </c>
      <c r="D38" s="47" t="s">
        <v>30</v>
      </c>
      <c r="E38" s="47" t="s">
        <v>40</v>
      </c>
      <c r="F38" s="47" t="s">
        <v>105</v>
      </c>
      <c r="G38" s="47"/>
      <c r="H38" s="47"/>
      <c r="I38" s="47"/>
      <c r="J38" s="47" t="s">
        <v>257</v>
      </c>
      <c r="K38" s="47"/>
      <c r="L38" s="47"/>
      <c r="M38" s="47"/>
      <c r="N38" s="47"/>
    </row>
    <row r="39" spans="1:14"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14</v>
      </c>
      <c r="D39" s="47"/>
      <c r="E39" s="47"/>
      <c r="F39" s="47" t="s">
        <v>101</v>
      </c>
      <c r="G39" s="47" t="s">
        <v>85</v>
      </c>
      <c r="H39" s="47" t="s">
        <v>140</v>
      </c>
      <c r="I39" s="47" t="s">
        <v>80</v>
      </c>
      <c r="J39" s="47" t="s">
        <v>136</v>
      </c>
      <c r="K39" s="47" t="s">
        <v>190</v>
      </c>
      <c r="L39" s="47" t="s">
        <v>229</v>
      </c>
      <c r="M39" s="47" t="s">
        <v>138</v>
      </c>
      <c r="N39" s="47"/>
    </row>
    <row r="40" spans="1:14" ht="14.5" customHeight="1" thickBot="1">
      <c r="A40" s="48"/>
      <c r="B4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8" t="s">
        <v>15</v>
      </c>
      <c r="D40" s="48" t="s">
        <v>33</v>
      </c>
      <c r="E40" s="48" t="s">
        <v>13</v>
      </c>
      <c r="F40" s="48"/>
      <c r="G40" s="48"/>
      <c r="H40" s="48"/>
      <c r="I40" s="48"/>
      <c r="J40" s="48"/>
      <c r="K40" s="48"/>
      <c r="L40" s="48"/>
      <c r="M40" s="48"/>
      <c r="N40" s="48"/>
    </row>
    <row r="41" spans="1:14" ht="14.5" customHeight="1">
      <c r="A41" s="51" t="s">
        <v>432</v>
      </c>
      <c r="B4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1" s="51" t="s">
        <v>19</v>
      </c>
      <c r="D41" s="51"/>
      <c r="E41" s="51"/>
      <c r="F41" s="51" t="s">
        <v>126</v>
      </c>
      <c r="G41" s="51" t="s">
        <v>99</v>
      </c>
      <c r="H41" s="51"/>
      <c r="I41" s="51"/>
      <c r="J41" s="51" t="s">
        <v>157</v>
      </c>
      <c r="K41" s="51" t="s">
        <v>148</v>
      </c>
      <c r="L41" s="51"/>
      <c r="M41" s="51"/>
      <c r="N41" s="51">
        <f>COUNTA(C41:M50)</f>
        <v>58</v>
      </c>
    </row>
    <row r="42" spans="1:14" ht="14.5" customHeight="1">
      <c r="A42" s="50"/>
      <c r="B4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2" s="50" t="s">
        <v>11</v>
      </c>
      <c r="D42" s="50" t="s">
        <v>17</v>
      </c>
      <c r="E42" s="50"/>
      <c r="F42" s="50" t="s">
        <v>224</v>
      </c>
      <c r="G42" s="50" t="s">
        <v>93</v>
      </c>
      <c r="H42" s="50" t="s">
        <v>299</v>
      </c>
      <c r="I42" s="50"/>
      <c r="J42" s="50" t="s">
        <v>232</v>
      </c>
      <c r="K42" s="50" t="s">
        <v>133</v>
      </c>
      <c r="L42" s="50" t="s">
        <v>269</v>
      </c>
      <c r="M42" s="50"/>
      <c r="N42" s="50"/>
    </row>
    <row r="43" spans="1:14" ht="14.5" customHeight="1">
      <c r="A43" s="47"/>
      <c r="B4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3" s="47" t="s">
        <v>27</v>
      </c>
      <c r="D43" s="47" t="s">
        <v>44</v>
      </c>
      <c r="E43" s="47"/>
      <c r="F43" s="47" t="s">
        <v>135</v>
      </c>
      <c r="G43" s="47"/>
      <c r="H43" s="47"/>
      <c r="I43" s="47"/>
      <c r="J43" s="47" t="s">
        <v>180</v>
      </c>
      <c r="K43" s="47"/>
      <c r="L43" s="47"/>
      <c r="M43" s="47"/>
      <c r="N43" s="47"/>
    </row>
    <row r="44" spans="1:14" ht="14.5" customHeight="1">
      <c r="A44" s="47"/>
      <c r="B4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4" s="47" t="s">
        <v>15</v>
      </c>
      <c r="D44" s="47"/>
      <c r="E44" s="47"/>
      <c r="F44" s="47" t="s">
        <v>109</v>
      </c>
      <c r="G44" s="47" t="s">
        <v>87</v>
      </c>
      <c r="H44" s="47" t="s">
        <v>90</v>
      </c>
      <c r="I44" s="47" t="s">
        <v>139</v>
      </c>
      <c r="J44" s="47" t="s">
        <v>192</v>
      </c>
      <c r="K44" s="47" t="s">
        <v>263</v>
      </c>
      <c r="L44" s="47" t="s">
        <v>144</v>
      </c>
      <c r="M44" s="47" t="s">
        <v>143</v>
      </c>
      <c r="N44" s="47"/>
    </row>
    <row r="45" spans="1:14" ht="14.5" customHeight="1">
      <c r="A45" s="47"/>
      <c r="B4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5" s="47" t="s">
        <v>13</v>
      </c>
      <c r="D45" s="47" t="s">
        <v>14</v>
      </c>
      <c r="E45" s="47" t="s">
        <v>33</v>
      </c>
      <c r="F45" s="47"/>
      <c r="G45" s="47"/>
      <c r="H45" s="47"/>
      <c r="I45" s="47"/>
      <c r="J45" s="47"/>
      <c r="K45" s="47"/>
      <c r="L45" s="47"/>
      <c r="M45" s="47"/>
      <c r="N45" s="47"/>
    </row>
    <row r="46" spans="1:14" ht="14.5" customHeight="1">
      <c r="A46" s="47"/>
      <c r="B4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6" s="47" t="s">
        <v>40</v>
      </c>
      <c r="D46" s="47"/>
      <c r="E46" s="47"/>
      <c r="F46" s="47" t="s">
        <v>108</v>
      </c>
      <c r="G46" s="47" t="s">
        <v>111</v>
      </c>
      <c r="H46" s="47" t="s">
        <v>112</v>
      </c>
      <c r="I46" s="47" t="s">
        <v>75</v>
      </c>
      <c r="J46" s="47" t="s">
        <v>191</v>
      </c>
      <c r="K46" s="47" t="s">
        <v>173</v>
      </c>
      <c r="L46" s="47" t="s">
        <v>152</v>
      </c>
      <c r="M46" s="47" t="s">
        <v>134</v>
      </c>
      <c r="N46" s="47"/>
    </row>
    <row r="47" spans="1:14" ht="14.5" customHeight="1">
      <c r="A47" s="47"/>
      <c r="B4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7" s="47" t="s">
        <v>20</v>
      </c>
      <c r="D47" s="47" t="s">
        <v>35</v>
      </c>
      <c r="E47" s="47"/>
      <c r="F47" s="47" t="s">
        <v>101</v>
      </c>
      <c r="G47" s="47"/>
      <c r="H47" s="47"/>
      <c r="I47" s="47"/>
      <c r="J47" s="47" t="s">
        <v>136</v>
      </c>
      <c r="K47" s="47"/>
      <c r="L47" s="47"/>
      <c r="M47" s="47"/>
      <c r="N47" s="47"/>
    </row>
    <row r="48" spans="1:14" ht="14.5" customHeight="1">
      <c r="A48" s="47"/>
      <c r="B4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8" s="47" t="s">
        <v>45</v>
      </c>
      <c r="D48" s="47" t="s">
        <v>23</v>
      </c>
      <c r="E48" s="47"/>
      <c r="F48" s="47" t="s">
        <v>91</v>
      </c>
      <c r="G48" s="47" t="s">
        <v>97</v>
      </c>
      <c r="H48" s="47"/>
      <c r="I48" s="47"/>
      <c r="J48" s="47" t="s">
        <v>131</v>
      </c>
      <c r="K48" s="47" t="s">
        <v>146</v>
      </c>
      <c r="L48" s="47"/>
      <c r="M48" s="47"/>
      <c r="N48" s="47"/>
    </row>
    <row r="49" spans="1:14" ht="14.5" customHeight="1">
      <c r="A49" s="47"/>
      <c r="B49"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9" s="47" t="s">
        <v>36</v>
      </c>
      <c r="D49" s="47" t="s">
        <v>24</v>
      </c>
      <c r="E49" s="47"/>
      <c r="F49" s="47" t="s">
        <v>351</v>
      </c>
      <c r="G49" s="47" t="s">
        <v>88</v>
      </c>
      <c r="H49" s="47" t="s">
        <v>107</v>
      </c>
      <c r="I49" s="47"/>
      <c r="J49" s="47" t="s">
        <v>484</v>
      </c>
      <c r="K49" s="47" t="s">
        <v>153</v>
      </c>
      <c r="L49" s="47" t="s">
        <v>355</v>
      </c>
      <c r="M49" s="47"/>
      <c r="N49" s="47"/>
    </row>
    <row r="50" spans="1:14" ht="14.5" customHeight="1" thickBot="1">
      <c r="A50" s="48"/>
      <c r="B50"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0" s="48" t="s">
        <v>28</v>
      </c>
      <c r="D50" s="48" t="s">
        <v>38</v>
      </c>
      <c r="E50" s="48"/>
      <c r="F50" s="48"/>
      <c r="G50" s="48"/>
      <c r="H50" s="48"/>
      <c r="I50" s="48"/>
      <c r="J50" s="48"/>
      <c r="K50" s="48"/>
      <c r="L50" s="48"/>
      <c r="M50" s="48"/>
      <c r="N50" s="48"/>
    </row>
    <row r="51" spans="1:14" ht="14.5" customHeight="1">
      <c r="A51" s="51" t="s">
        <v>434</v>
      </c>
      <c r="B5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1" s="51" t="s">
        <v>39</v>
      </c>
      <c r="D51" s="51" t="s">
        <v>25</v>
      </c>
      <c r="E51" s="51" t="s">
        <v>12</v>
      </c>
      <c r="F51" s="51" t="s">
        <v>222</v>
      </c>
      <c r="G51" s="51" t="s">
        <v>299</v>
      </c>
      <c r="H51" s="51" t="s">
        <v>102</v>
      </c>
      <c r="I51" s="51"/>
      <c r="J51" s="51" t="s">
        <v>141</v>
      </c>
      <c r="K51" s="51" t="s">
        <v>269</v>
      </c>
      <c r="L51" s="51" t="s">
        <v>163</v>
      </c>
      <c r="M51" s="51"/>
      <c r="N51" s="51">
        <f>COUNTA(C51:M59)</f>
        <v>58</v>
      </c>
    </row>
    <row r="52" spans="1:14" ht="14.5" customHeight="1">
      <c r="A52" s="50"/>
      <c r="B5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2" s="50" t="s">
        <v>16</v>
      </c>
      <c r="D52" s="50"/>
      <c r="E52" s="50"/>
      <c r="F52" s="50" t="s">
        <v>135</v>
      </c>
      <c r="G52" s="50" t="s">
        <v>67</v>
      </c>
      <c r="H52" s="50"/>
      <c r="I52" s="50"/>
      <c r="J52" s="50" t="s">
        <v>180</v>
      </c>
      <c r="K52" s="50" t="s">
        <v>127</v>
      </c>
      <c r="L52" s="50"/>
      <c r="M52" s="50"/>
      <c r="N52" s="50"/>
    </row>
    <row r="53" spans="1:14" ht="14.5" customHeight="1">
      <c r="A53" s="47"/>
      <c r="B5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3" s="47" t="s">
        <v>32</v>
      </c>
      <c r="D53" s="47" t="s">
        <v>43</v>
      </c>
      <c r="E53" s="47"/>
      <c r="F53" s="47" t="s">
        <v>96</v>
      </c>
      <c r="G53" s="47" t="s">
        <v>139</v>
      </c>
      <c r="H53" s="47" t="s">
        <v>104</v>
      </c>
      <c r="I53" s="47"/>
      <c r="J53" s="47" t="s">
        <v>159</v>
      </c>
      <c r="K53" s="47" t="s">
        <v>143</v>
      </c>
      <c r="L53" s="47" t="s">
        <v>162</v>
      </c>
      <c r="M53" s="47"/>
      <c r="N53" s="47"/>
    </row>
    <row r="54" spans="1:14" ht="14.5" customHeight="1">
      <c r="A54" s="47"/>
      <c r="B5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4" s="47" t="s">
        <v>26</v>
      </c>
      <c r="D54" s="47" t="s">
        <v>22</v>
      </c>
      <c r="E54" s="47"/>
      <c r="F54" s="47" t="s">
        <v>150</v>
      </c>
      <c r="G54" s="47" t="s">
        <v>110</v>
      </c>
      <c r="H54" s="47"/>
      <c r="I54" s="47"/>
      <c r="J54" s="47" t="s">
        <v>261</v>
      </c>
      <c r="K54" s="47" t="s">
        <v>357</v>
      </c>
      <c r="L54" s="47"/>
      <c r="M54" s="47"/>
      <c r="N54" s="47"/>
    </row>
    <row r="55" spans="1:14" ht="14.5" customHeight="1">
      <c r="A55" s="47"/>
      <c r="B5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5" s="47" t="s">
        <v>34</v>
      </c>
      <c r="D55" s="47" t="s">
        <v>41</v>
      </c>
      <c r="E55" s="47"/>
      <c r="F55" s="47" t="s">
        <v>142</v>
      </c>
      <c r="G55" s="47" t="s">
        <v>105</v>
      </c>
      <c r="H55" s="47"/>
      <c r="I55" s="47"/>
      <c r="J55" s="47" t="s">
        <v>149</v>
      </c>
      <c r="K55" s="47" t="s">
        <v>257</v>
      </c>
      <c r="L55" s="47"/>
      <c r="M55" s="47"/>
      <c r="N55" s="47"/>
    </row>
    <row r="56" spans="1:14" ht="14.5" customHeight="1">
      <c r="A56" s="47"/>
      <c r="B5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6" s="47" t="s">
        <v>30</v>
      </c>
      <c r="D56" s="47" t="s">
        <v>21</v>
      </c>
      <c r="E56" s="47"/>
      <c r="F56" s="47" t="s">
        <v>300</v>
      </c>
      <c r="G56" s="47" t="s">
        <v>87</v>
      </c>
      <c r="H56" s="47" t="s">
        <v>82</v>
      </c>
      <c r="I56" s="47"/>
      <c r="J56" s="47" t="s">
        <v>236</v>
      </c>
      <c r="K56" s="47" t="s">
        <v>263</v>
      </c>
      <c r="L56" s="47" t="s">
        <v>124</v>
      </c>
      <c r="M56" s="47"/>
      <c r="N56" s="47"/>
    </row>
    <row r="57" spans="1:14" ht="14.5" customHeight="1">
      <c r="A57" s="47"/>
      <c r="B5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7" s="47" t="s">
        <v>10</v>
      </c>
      <c r="D57" s="47" t="s">
        <v>31</v>
      </c>
      <c r="E57" s="47"/>
      <c r="F57" s="47" t="s">
        <v>109</v>
      </c>
      <c r="G57" s="47"/>
      <c r="H57" s="47"/>
      <c r="I57" s="47"/>
      <c r="J57" s="47" t="s">
        <v>192</v>
      </c>
      <c r="K57" s="47"/>
      <c r="L57" s="47"/>
      <c r="M57" s="47"/>
      <c r="N57" s="47"/>
    </row>
    <row r="58" spans="1:14" ht="14.5" customHeight="1">
      <c r="A58" s="47"/>
      <c r="B5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8" s="47" t="s">
        <v>29</v>
      </c>
      <c r="D58" s="47" t="s">
        <v>42</v>
      </c>
      <c r="E58" s="47"/>
      <c r="F58" s="47" t="s">
        <v>224</v>
      </c>
      <c r="G58" s="47" t="s">
        <v>83</v>
      </c>
      <c r="H58" s="47" t="s">
        <v>106</v>
      </c>
      <c r="I58" s="47" t="s">
        <v>93</v>
      </c>
      <c r="J58" s="47" t="s">
        <v>232</v>
      </c>
      <c r="K58" s="47" t="s">
        <v>137</v>
      </c>
      <c r="L58" s="47" t="s">
        <v>187</v>
      </c>
      <c r="M58" s="47" t="s">
        <v>133</v>
      </c>
      <c r="N58" s="47"/>
    </row>
    <row r="59" spans="1:14" ht="14.5" customHeight="1" thickBot="1">
      <c r="A59" s="48"/>
      <c r="B5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9" s="48" t="s">
        <v>37</v>
      </c>
      <c r="D59" s="48" t="s">
        <v>18</v>
      </c>
      <c r="E59" s="48"/>
      <c r="F59" s="48"/>
      <c r="G59" s="48"/>
      <c r="H59" s="48"/>
      <c r="I59" s="48"/>
      <c r="J59" s="48"/>
      <c r="K59" s="48"/>
      <c r="L59" s="48"/>
      <c r="M59" s="48"/>
      <c r="N59" s="48"/>
    </row>
    <row r="60" spans="1:14" ht="14.5" customHeight="1">
      <c r="A60" s="51" t="s">
        <v>435</v>
      </c>
      <c r="B6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0" s="51"/>
      <c r="D60" s="51"/>
      <c r="E60" s="51"/>
      <c r="F60" s="51" t="s">
        <v>140</v>
      </c>
      <c r="G60" s="51" t="s">
        <v>103</v>
      </c>
      <c r="H60" s="51" t="s">
        <v>59</v>
      </c>
      <c r="I60" s="51"/>
      <c r="J60" s="51" t="s">
        <v>229</v>
      </c>
      <c r="K60" s="51" t="s">
        <v>230</v>
      </c>
      <c r="L60" s="51" t="s">
        <v>123</v>
      </c>
      <c r="M60" s="51"/>
      <c r="N60" s="51">
        <f>COUNTA(C60:M65)</f>
        <v>30</v>
      </c>
    </row>
    <row r="61" spans="1:14" ht="14.5" customHeight="1">
      <c r="A61" s="50"/>
      <c r="B6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1" s="50"/>
      <c r="D61" s="50"/>
      <c r="E61" s="50"/>
      <c r="F61" s="50" t="s">
        <v>99</v>
      </c>
      <c r="G61" s="50" t="s">
        <v>98</v>
      </c>
      <c r="H61" s="50"/>
      <c r="I61" s="50"/>
      <c r="J61" s="50" t="s">
        <v>148</v>
      </c>
      <c r="K61" s="50" t="s">
        <v>147</v>
      </c>
      <c r="L61" s="50"/>
      <c r="M61" s="50"/>
      <c r="N61" s="50"/>
    </row>
    <row r="62" spans="1:14" ht="14.5" customHeight="1">
      <c r="A62" s="47"/>
      <c r="B6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2" s="47"/>
      <c r="D62" s="47"/>
      <c r="E62" s="47"/>
      <c r="F62" s="47" t="s">
        <v>126</v>
      </c>
      <c r="G62" s="47" t="s">
        <v>113</v>
      </c>
      <c r="H62" s="47"/>
      <c r="I62" s="47"/>
      <c r="J62" s="47" t="s">
        <v>157</v>
      </c>
      <c r="K62" s="47" t="s">
        <v>255</v>
      </c>
      <c r="L62" s="47"/>
      <c r="M62" s="47"/>
      <c r="N62" s="47"/>
    </row>
    <row r="63" spans="1:14" ht="14.5" customHeight="1">
      <c r="A63" s="47"/>
      <c r="B6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3" s="47"/>
      <c r="D63" s="47"/>
      <c r="E63" s="47"/>
      <c r="F63" s="47" t="s">
        <v>85</v>
      </c>
      <c r="G63" s="47" t="s">
        <v>80</v>
      </c>
      <c r="H63" s="47" t="s">
        <v>86</v>
      </c>
      <c r="I63" s="47"/>
      <c r="J63" s="47" t="s">
        <v>190</v>
      </c>
      <c r="K63" s="47" t="s">
        <v>138</v>
      </c>
      <c r="L63" s="47" t="s">
        <v>260</v>
      </c>
      <c r="M63" s="47"/>
      <c r="N63" s="47"/>
    </row>
    <row r="64" spans="1:14" ht="14.5" customHeight="1">
      <c r="A64" s="47"/>
      <c r="B6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4" s="47"/>
      <c r="D64" s="47"/>
      <c r="E64" s="47"/>
      <c r="F64" s="47" t="s">
        <v>349</v>
      </c>
      <c r="G64" s="47"/>
      <c r="H64" s="47"/>
      <c r="I64" s="47"/>
      <c r="J64" s="47" t="s">
        <v>487</v>
      </c>
      <c r="K64" s="47"/>
      <c r="L64" s="47"/>
      <c r="M64" s="47"/>
      <c r="N64" s="47"/>
    </row>
    <row r="65" spans="1:15" ht="14.5" customHeight="1" thickBot="1">
      <c r="A65" s="52"/>
      <c r="B65" s="52"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5" s="52"/>
      <c r="D65" s="52"/>
      <c r="E65" s="52"/>
      <c r="F65" s="52" t="s">
        <v>223</v>
      </c>
      <c r="G65" s="52" t="s">
        <v>89</v>
      </c>
      <c r="H65" s="52" t="s">
        <v>90</v>
      </c>
      <c r="I65" s="52" t="s">
        <v>94</v>
      </c>
      <c r="J65" s="52" t="s">
        <v>176</v>
      </c>
      <c r="K65" s="52" t="s">
        <v>254</v>
      </c>
      <c r="L65" s="52" t="s">
        <v>144</v>
      </c>
      <c r="M65" s="52" t="s">
        <v>231</v>
      </c>
      <c r="N65" s="52"/>
    </row>
    <row r="66" spans="1:15" ht="14.5" customHeight="1">
      <c r="A66" s="45"/>
      <c r="B66" s="45"/>
      <c r="C66" s="45"/>
      <c r="D66" s="45"/>
      <c r="E66" s="45"/>
      <c r="F66" s="45"/>
      <c r="G66" s="45"/>
      <c r="H66" s="45"/>
      <c r="I66" s="45"/>
      <c r="J66" s="45"/>
      <c r="K66" s="45"/>
      <c r="L66" s="45"/>
      <c r="M66" s="45"/>
      <c r="N66" s="45"/>
    </row>
    <row r="67" spans="1:15" ht="20" customHeight="1">
      <c r="A67" s="136" t="s">
        <v>830</v>
      </c>
      <c r="B67" s="136"/>
      <c r="C67" s="136"/>
      <c r="D67" s="136"/>
      <c r="E67" s="136"/>
      <c r="F67" s="136"/>
      <c r="G67" s="136"/>
      <c r="H67" s="136"/>
      <c r="I67" s="136"/>
      <c r="J67" s="136"/>
      <c r="K67" s="136"/>
      <c r="L67" s="136"/>
      <c r="M67" s="136"/>
      <c r="N67" s="136"/>
      <c r="O67" s="136"/>
    </row>
    <row r="68" spans="1:15" ht="14.5" customHeight="1">
      <c r="A68" s="18"/>
      <c r="B68" s="19" t="s">
        <v>314</v>
      </c>
      <c r="C68" s="135" t="s">
        <v>762</v>
      </c>
      <c r="D68" s="135"/>
      <c r="E68" s="135"/>
      <c r="F68" s="135" t="s">
        <v>755</v>
      </c>
      <c r="G68" s="135"/>
      <c r="H68" s="18"/>
      <c r="I68" s="19" t="s">
        <v>314</v>
      </c>
      <c r="J68" s="135" t="s">
        <v>771</v>
      </c>
      <c r="K68" s="135"/>
      <c r="L68" s="135"/>
      <c r="M68" s="135" t="s">
        <v>755</v>
      </c>
      <c r="N68" s="135"/>
      <c r="O68" s="18"/>
    </row>
    <row r="69" spans="1:15" ht="14.5" customHeight="1">
      <c r="A69" s="18"/>
      <c r="B69" s="20">
        <v>1</v>
      </c>
      <c r="C69" s="134" t="s">
        <v>1121</v>
      </c>
      <c r="D69" s="134"/>
      <c r="E69" s="134"/>
      <c r="F69" s="134" t="s">
        <v>840</v>
      </c>
      <c r="G69" s="134"/>
      <c r="H69" s="18"/>
      <c r="I69" s="20">
        <v>10</v>
      </c>
      <c r="J69" s="134" t="s">
        <v>1168</v>
      </c>
      <c r="K69" s="134"/>
      <c r="L69" s="134"/>
      <c r="M69" s="134" t="s">
        <v>841</v>
      </c>
      <c r="N69" s="134"/>
      <c r="O69" s="18"/>
    </row>
    <row r="70" spans="1:15" ht="14.5" customHeight="1">
      <c r="A70" s="18"/>
      <c r="B70" s="20">
        <v>2</v>
      </c>
      <c r="C70" s="134" t="s">
        <v>1163</v>
      </c>
      <c r="D70" s="134"/>
      <c r="E70" s="134"/>
      <c r="F70" s="134" t="s">
        <v>841</v>
      </c>
      <c r="G70" s="134"/>
      <c r="H70" s="18"/>
      <c r="I70" s="20">
        <v>11</v>
      </c>
      <c r="J70" s="134" t="s">
        <v>1123</v>
      </c>
      <c r="K70" s="134"/>
      <c r="L70" s="134"/>
      <c r="M70" s="134" t="s">
        <v>841</v>
      </c>
      <c r="N70" s="134"/>
      <c r="O70" s="18"/>
    </row>
    <row r="71" spans="1:15" ht="14.5" customHeight="1">
      <c r="A71" s="18"/>
      <c r="B71" s="20">
        <v>3</v>
      </c>
      <c r="C71" s="134" t="s">
        <v>1164</v>
      </c>
      <c r="D71" s="134"/>
      <c r="E71" s="134"/>
      <c r="F71" s="134" t="s">
        <v>841</v>
      </c>
      <c r="G71" s="134"/>
      <c r="H71" s="18"/>
      <c r="I71" s="20">
        <v>12</v>
      </c>
      <c r="J71" s="134" t="s">
        <v>1169</v>
      </c>
      <c r="K71" s="134"/>
      <c r="L71" s="134"/>
      <c r="M71" s="134" t="s">
        <v>841</v>
      </c>
      <c r="N71" s="134"/>
      <c r="O71" s="18"/>
    </row>
    <row r="72" spans="1:15" ht="14.5" customHeight="1">
      <c r="A72" s="18"/>
      <c r="B72" s="20">
        <v>4</v>
      </c>
      <c r="C72" s="134" t="s">
        <v>1165</v>
      </c>
      <c r="D72" s="134"/>
      <c r="E72" s="134"/>
      <c r="F72" s="134" t="s">
        <v>841</v>
      </c>
      <c r="G72" s="134"/>
      <c r="H72" s="18"/>
      <c r="I72" s="20">
        <v>13</v>
      </c>
      <c r="J72" s="134" t="s">
        <v>1124</v>
      </c>
      <c r="K72" s="134"/>
      <c r="L72" s="134"/>
      <c r="M72" s="134" t="s">
        <v>841</v>
      </c>
      <c r="N72" s="134"/>
      <c r="O72" s="18"/>
    </row>
    <row r="73" spans="1:15" ht="14.5" customHeight="1">
      <c r="A73" s="18"/>
      <c r="B73" s="20">
        <v>5</v>
      </c>
      <c r="C73" s="134" t="s">
        <v>1166</v>
      </c>
      <c r="D73" s="134"/>
      <c r="E73" s="134"/>
      <c r="F73" s="134" t="s">
        <v>847</v>
      </c>
      <c r="G73" s="134"/>
      <c r="H73" s="18"/>
      <c r="I73" s="20">
        <v>14</v>
      </c>
      <c r="J73" s="134" t="s">
        <v>1125</v>
      </c>
      <c r="K73" s="134"/>
      <c r="L73" s="134"/>
      <c r="M73" s="134" t="s">
        <v>847</v>
      </c>
      <c r="N73" s="134"/>
      <c r="O73" s="18"/>
    </row>
    <row r="74" spans="1:15" ht="14.5" customHeight="1">
      <c r="A74" s="18"/>
      <c r="B74" s="20">
        <v>6</v>
      </c>
      <c r="C74" s="134" t="s">
        <v>1138</v>
      </c>
      <c r="D74" s="134"/>
      <c r="E74" s="134"/>
      <c r="F74" s="134" t="s">
        <v>847</v>
      </c>
      <c r="G74" s="134"/>
      <c r="H74" s="18"/>
      <c r="I74" s="20">
        <v>15</v>
      </c>
      <c r="J74" s="134" t="s">
        <v>1135</v>
      </c>
      <c r="K74" s="134"/>
      <c r="L74" s="134"/>
      <c r="M74" s="134" t="s">
        <v>847</v>
      </c>
      <c r="N74" s="134"/>
      <c r="O74" s="18"/>
    </row>
    <row r="75" spans="1:15" ht="14.5" customHeight="1">
      <c r="A75" s="18"/>
      <c r="B75" s="20">
        <v>7</v>
      </c>
      <c r="C75" s="134" t="s">
        <v>1129</v>
      </c>
      <c r="D75" s="134"/>
      <c r="E75" s="134"/>
      <c r="F75" s="134" t="s">
        <v>847</v>
      </c>
      <c r="G75" s="134"/>
      <c r="H75" s="18"/>
      <c r="I75" s="20">
        <v>16</v>
      </c>
      <c r="J75" s="134" t="s">
        <v>1126</v>
      </c>
      <c r="K75" s="134"/>
      <c r="L75" s="134"/>
      <c r="M75" s="134" t="s">
        <v>847</v>
      </c>
      <c r="N75" s="134"/>
      <c r="O75" s="18"/>
    </row>
    <row r="76" spans="1:15" ht="14.5" customHeight="1">
      <c r="A76" s="18"/>
      <c r="B76" s="20">
        <v>8</v>
      </c>
      <c r="C76" s="134" t="s">
        <v>1167</v>
      </c>
      <c r="D76" s="134"/>
      <c r="E76" s="134"/>
      <c r="F76" s="134" t="s">
        <v>847</v>
      </c>
      <c r="G76" s="134"/>
      <c r="H76" s="18"/>
      <c r="I76" s="20">
        <v>17</v>
      </c>
      <c r="J76" s="134" t="s">
        <v>1137</v>
      </c>
      <c r="K76" s="134"/>
      <c r="L76" s="134"/>
      <c r="M76" s="134" t="s">
        <v>847</v>
      </c>
      <c r="N76" s="134"/>
      <c r="O76" s="18"/>
    </row>
    <row r="77" spans="1:15" ht="14.5" customHeight="1">
      <c r="A77" s="18"/>
      <c r="B77" s="20">
        <v>9</v>
      </c>
      <c r="C77" s="134" t="s">
        <v>1130</v>
      </c>
      <c r="D77" s="134"/>
      <c r="E77" s="134"/>
      <c r="F77" s="134" t="s">
        <v>847</v>
      </c>
      <c r="G77" s="134"/>
      <c r="H77" s="18"/>
      <c r="I77" s="20">
        <v>18</v>
      </c>
      <c r="J77" s="134" t="s">
        <v>1128</v>
      </c>
      <c r="K77" s="134"/>
      <c r="L77" s="134"/>
      <c r="M77" s="134" t="s">
        <v>847</v>
      </c>
      <c r="N77" s="134"/>
      <c r="O77" s="18"/>
    </row>
    <row r="78" spans="1:15" ht="14.5" customHeight="1">
      <c r="A78" s="18"/>
      <c r="B78" s="18"/>
      <c r="C78" s="18"/>
      <c r="D78" s="18"/>
      <c r="E78" s="18"/>
      <c r="F78" s="18"/>
      <c r="G78" s="18"/>
      <c r="H78" s="18"/>
      <c r="I78" s="20">
        <v>19</v>
      </c>
      <c r="J78" s="134" t="s">
        <v>1170</v>
      </c>
      <c r="K78" s="134"/>
      <c r="L78" s="134"/>
      <c r="M78" s="134" t="s">
        <v>847</v>
      </c>
      <c r="N78" s="134"/>
      <c r="O78" s="18"/>
    </row>
    <row r="79" spans="1:15" ht="14.5" customHeight="1">
      <c r="A79" s="18"/>
      <c r="B79" s="18"/>
      <c r="C79" s="18"/>
      <c r="D79" s="18"/>
      <c r="E79" s="18"/>
      <c r="F79" s="18"/>
      <c r="G79" s="18"/>
      <c r="H79" s="18"/>
      <c r="I79" s="18"/>
      <c r="J79" s="18"/>
      <c r="K79" s="18"/>
      <c r="L79" s="18"/>
      <c r="M79" s="18"/>
      <c r="N79" s="18"/>
      <c r="O79" s="18"/>
    </row>
    <row r="80" spans="1:15" ht="14.5" customHeight="1">
      <c r="A80" s="18"/>
      <c r="B80" s="19" t="s">
        <v>314</v>
      </c>
      <c r="C80" s="135" t="s">
        <v>776</v>
      </c>
      <c r="D80" s="135"/>
      <c r="E80" s="135"/>
      <c r="F80" s="135" t="s">
        <v>755</v>
      </c>
      <c r="G80" s="135"/>
      <c r="H80" s="18"/>
      <c r="I80" s="18"/>
      <c r="J80" s="18"/>
      <c r="K80" s="18"/>
      <c r="L80" s="18"/>
      <c r="M80" s="18"/>
      <c r="N80" s="18"/>
      <c r="O80" s="18"/>
    </row>
    <row r="81" spans="1:15" ht="14.5" customHeight="1">
      <c r="A81" s="18"/>
      <c r="B81" s="20">
        <v>20</v>
      </c>
      <c r="C81" s="134" t="s">
        <v>1131</v>
      </c>
      <c r="D81" s="134"/>
      <c r="E81" s="134"/>
      <c r="F81" s="134" t="s">
        <v>840</v>
      </c>
      <c r="G81" s="134"/>
      <c r="H81" s="18"/>
      <c r="I81" s="18"/>
      <c r="J81" s="18"/>
      <c r="K81" s="18"/>
      <c r="L81" s="18"/>
      <c r="M81" s="18"/>
      <c r="N81" s="18"/>
      <c r="O81" s="18"/>
    </row>
    <row r="82" spans="1:15" ht="14.5" customHeight="1">
      <c r="A82" s="18"/>
      <c r="B82" s="20">
        <v>21</v>
      </c>
      <c r="C82" s="134" t="s">
        <v>1132</v>
      </c>
      <c r="D82" s="134"/>
      <c r="E82" s="134"/>
      <c r="F82" s="134" t="s">
        <v>841</v>
      </c>
      <c r="G82" s="134"/>
      <c r="H82" s="18"/>
      <c r="I82" s="18"/>
      <c r="J82" s="18"/>
      <c r="K82" s="18"/>
      <c r="L82" s="18"/>
      <c r="M82" s="18"/>
      <c r="N82" s="18"/>
      <c r="O82" s="18"/>
    </row>
    <row r="83" spans="1:15" ht="14.5" customHeight="1">
      <c r="A83" s="18"/>
      <c r="B83" s="20">
        <v>22</v>
      </c>
      <c r="C83" s="134" t="s">
        <v>1171</v>
      </c>
      <c r="D83" s="134"/>
      <c r="E83" s="134"/>
      <c r="F83" s="134" t="s">
        <v>841</v>
      </c>
      <c r="G83" s="134"/>
      <c r="H83" s="18"/>
      <c r="I83" s="18"/>
      <c r="J83" s="18"/>
      <c r="K83" s="18"/>
      <c r="L83" s="18"/>
      <c r="M83" s="18"/>
      <c r="N83" s="18"/>
      <c r="O83" s="18"/>
    </row>
    <row r="84" spans="1:15" ht="14.5" customHeight="1">
      <c r="A84" s="18"/>
      <c r="B84" s="20">
        <v>23</v>
      </c>
      <c r="C84" s="134" t="s">
        <v>1133</v>
      </c>
      <c r="D84" s="134"/>
      <c r="E84" s="134"/>
      <c r="F84" s="134" t="s">
        <v>841</v>
      </c>
      <c r="G84" s="134"/>
      <c r="H84" s="18"/>
      <c r="I84" s="18"/>
      <c r="J84" s="18"/>
      <c r="K84" s="18"/>
      <c r="L84" s="18"/>
      <c r="M84" s="18"/>
      <c r="N84" s="18"/>
      <c r="O84" s="18"/>
    </row>
    <row r="85" spans="1:15" ht="14.5" customHeight="1">
      <c r="A85" s="18"/>
      <c r="B85" s="20">
        <v>24</v>
      </c>
      <c r="C85" s="134" t="s">
        <v>1172</v>
      </c>
      <c r="D85" s="134"/>
      <c r="E85" s="134"/>
      <c r="F85" s="134" t="s">
        <v>841</v>
      </c>
      <c r="G85" s="134"/>
      <c r="H85" s="18"/>
      <c r="I85" s="18"/>
      <c r="J85" s="18"/>
      <c r="K85" s="18"/>
      <c r="L85" s="18"/>
      <c r="M85" s="18"/>
      <c r="N85" s="18"/>
      <c r="O85" s="18"/>
    </row>
    <row r="86" spans="1:15" ht="14.5" customHeight="1">
      <c r="A86" s="18"/>
      <c r="B86" s="20">
        <v>25</v>
      </c>
      <c r="C86" s="134" t="s">
        <v>1136</v>
      </c>
      <c r="D86" s="134"/>
      <c r="E86" s="134"/>
      <c r="F86" s="134" t="s">
        <v>847</v>
      </c>
      <c r="G86" s="134"/>
      <c r="H86" s="18"/>
      <c r="I86" s="18"/>
      <c r="J86" s="18"/>
      <c r="K86" s="18"/>
      <c r="L86" s="18"/>
      <c r="M86" s="18"/>
      <c r="N86" s="18"/>
      <c r="O86" s="18"/>
    </row>
    <row r="87" spans="1:15" ht="14.5" customHeight="1">
      <c r="A87" s="18"/>
      <c r="B87" s="20">
        <v>26</v>
      </c>
      <c r="C87" s="134" t="s">
        <v>1173</v>
      </c>
      <c r="D87" s="134"/>
      <c r="E87" s="134"/>
      <c r="F87" s="134" t="s">
        <v>847</v>
      </c>
      <c r="G87" s="134"/>
      <c r="H87" s="18"/>
      <c r="I87" s="18"/>
      <c r="J87" s="18"/>
      <c r="K87" s="18"/>
      <c r="L87" s="18"/>
      <c r="M87" s="18"/>
      <c r="N87" s="18"/>
      <c r="O87" s="18"/>
    </row>
    <row r="88" spans="1:15" ht="14.5" customHeight="1">
      <c r="A88" s="18"/>
      <c r="B88" s="20">
        <v>27</v>
      </c>
      <c r="C88" s="134" t="s">
        <v>1127</v>
      </c>
      <c r="D88" s="134"/>
      <c r="E88" s="134"/>
      <c r="F88" s="134" t="s">
        <v>847</v>
      </c>
      <c r="G88" s="134"/>
      <c r="H88" s="18"/>
      <c r="I88" s="18"/>
      <c r="J88" s="18"/>
      <c r="K88" s="18"/>
      <c r="L88" s="18"/>
      <c r="M88" s="18"/>
      <c r="N88" s="18"/>
      <c r="O88" s="18"/>
    </row>
    <row r="89" spans="1:15" ht="14.5" customHeight="1">
      <c r="A89" s="18"/>
      <c r="B89" s="20">
        <v>28</v>
      </c>
      <c r="C89" s="134" t="s">
        <v>1139</v>
      </c>
      <c r="D89" s="134"/>
      <c r="E89" s="134"/>
      <c r="F89" s="134" t="s">
        <v>847</v>
      </c>
      <c r="G89" s="134"/>
      <c r="H89" s="18"/>
      <c r="I89" s="18"/>
      <c r="J89" s="18"/>
      <c r="K89" s="18"/>
      <c r="L89" s="18"/>
      <c r="M89" s="18"/>
      <c r="N89" s="18"/>
      <c r="O89" s="18"/>
    </row>
    <row r="90" spans="1:15" ht="14.5" customHeight="1">
      <c r="A90" s="18"/>
      <c r="B90" s="20">
        <v>29</v>
      </c>
      <c r="C90" s="134" t="s">
        <v>1140</v>
      </c>
      <c r="D90" s="134"/>
      <c r="E90" s="134"/>
      <c r="F90" s="134" t="s">
        <v>847</v>
      </c>
      <c r="G90" s="134"/>
      <c r="H90" s="18"/>
      <c r="I90" s="18"/>
      <c r="J90" s="18"/>
      <c r="K90" s="18"/>
      <c r="L90" s="18"/>
      <c r="M90" s="18"/>
      <c r="N90" s="18"/>
      <c r="O90" s="18"/>
    </row>
    <row r="91" spans="1:15" ht="14.5" customHeight="1">
      <c r="A91" s="18"/>
      <c r="B91" s="18"/>
      <c r="C91" s="18"/>
      <c r="D91" s="18"/>
      <c r="E91" s="18"/>
      <c r="F91" s="18"/>
      <c r="G91" s="18"/>
      <c r="H91" s="18"/>
      <c r="I91" s="18"/>
      <c r="J91" s="18"/>
      <c r="K91" s="18"/>
      <c r="L91" s="18"/>
      <c r="M91" s="18"/>
      <c r="N91" s="18"/>
      <c r="O91" s="18"/>
    </row>
    <row r="92" spans="1:15" ht="14.5" customHeight="1">
      <c r="A92" s="18"/>
      <c r="B92" s="18"/>
      <c r="C92" s="18"/>
      <c r="D92" s="18"/>
      <c r="E92" s="18"/>
      <c r="F92" s="18"/>
      <c r="G92" s="18"/>
      <c r="H92" s="18"/>
      <c r="I92" s="18"/>
      <c r="J92" s="18"/>
      <c r="K92" s="18"/>
      <c r="L92" s="18"/>
      <c r="M92" s="18"/>
      <c r="N92" s="18"/>
      <c r="O92" s="18"/>
    </row>
    <row r="93" spans="1:15" ht="14.5" customHeight="1"/>
    <row r="94" spans="1:15" ht="14.5" customHeight="1"/>
    <row r="95" spans="1:15" ht="14.5" customHeight="1"/>
    <row r="96" spans="1:15"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sheetData>
  <mergeCells count="69">
    <mergeCell ref="C68:E68"/>
    <mergeCell ref="F68:G68"/>
    <mergeCell ref="C69:E69"/>
    <mergeCell ref="F69:G69"/>
    <mergeCell ref="C70:E70"/>
    <mergeCell ref="F70:G70"/>
    <mergeCell ref="A1:N1"/>
    <mergeCell ref="C2:E2"/>
    <mergeCell ref="F2:I2"/>
    <mergeCell ref="J2:M2"/>
    <mergeCell ref="A67:O67"/>
    <mergeCell ref="F71:G71"/>
    <mergeCell ref="C72:E72"/>
    <mergeCell ref="F72:G72"/>
    <mergeCell ref="C73:E73"/>
    <mergeCell ref="F73:G73"/>
    <mergeCell ref="C71:E71"/>
    <mergeCell ref="C74:E74"/>
    <mergeCell ref="F74:G74"/>
    <mergeCell ref="C75:E75"/>
    <mergeCell ref="F75:G75"/>
    <mergeCell ref="C76:E76"/>
    <mergeCell ref="F76:G76"/>
    <mergeCell ref="C77:E77"/>
    <mergeCell ref="F77:G77"/>
    <mergeCell ref="J68:L68"/>
    <mergeCell ref="M68:N68"/>
    <mergeCell ref="J69:L69"/>
    <mergeCell ref="M69:N69"/>
    <mergeCell ref="J70:L70"/>
    <mergeCell ref="M70:N70"/>
    <mergeCell ref="J71:L71"/>
    <mergeCell ref="M71:N71"/>
    <mergeCell ref="J72:L72"/>
    <mergeCell ref="M72:N72"/>
    <mergeCell ref="J73:L73"/>
    <mergeCell ref="M73:N73"/>
    <mergeCell ref="J74:L74"/>
    <mergeCell ref="M74:N74"/>
    <mergeCell ref="J75:L75"/>
    <mergeCell ref="M75:N75"/>
    <mergeCell ref="J76:L76"/>
    <mergeCell ref="M76:N76"/>
    <mergeCell ref="J77:L77"/>
    <mergeCell ref="M77:N77"/>
    <mergeCell ref="J78:L78"/>
    <mergeCell ref="M78:N78"/>
    <mergeCell ref="C80:E80"/>
    <mergeCell ref="F80:G80"/>
    <mergeCell ref="C81:E81"/>
    <mergeCell ref="F81:G81"/>
    <mergeCell ref="C82:E82"/>
    <mergeCell ref="F82:G82"/>
    <mergeCell ref="C83:E83"/>
    <mergeCell ref="F83:G83"/>
    <mergeCell ref="C84:E84"/>
    <mergeCell ref="F84:G84"/>
    <mergeCell ref="C85:E85"/>
    <mergeCell ref="F85:G85"/>
    <mergeCell ref="C86:E86"/>
    <mergeCell ref="F86:G86"/>
    <mergeCell ref="C87:E87"/>
    <mergeCell ref="F87:G87"/>
    <mergeCell ref="C88:E88"/>
    <mergeCell ref="F88:G88"/>
    <mergeCell ref="C89:E89"/>
    <mergeCell ref="F89:G89"/>
    <mergeCell ref="C90:E90"/>
    <mergeCell ref="F90:G9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8D432-F291-466A-A063-05B1A00D0835}">
  <dimension ref="A1:O107"/>
  <sheetViews>
    <sheetView showGridLines="0" rightToLeft="1" topLeftCell="B1" workbookViewId="0">
      <pane ySplit="3" topLeftCell="A4" activePane="bottomLeft" state="frozen"/>
      <selection pane="bottomLeft" activeCell="F76" sqref="C76:G78"/>
    </sheetView>
  </sheetViews>
  <sheetFormatPr defaultRowHeight="14"/>
  <cols>
    <col min="1" max="1" width="15.83203125" customWidth="1"/>
    <col min="2" max="2" width="17.5" customWidth="1"/>
    <col min="3" max="14" width="13" customWidth="1"/>
    <col min="15" max="15" width="17.5" customWidth="1"/>
  </cols>
  <sheetData>
    <row r="1" spans="1:15" ht="26" customHeight="1">
      <c r="A1" s="119" t="s">
        <v>488</v>
      </c>
      <c r="B1" s="119"/>
      <c r="C1" s="119"/>
      <c r="D1" s="119"/>
      <c r="E1" s="119"/>
      <c r="F1" s="119"/>
      <c r="G1" s="119"/>
      <c r="H1" s="119"/>
      <c r="I1" s="119"/>
      <c r="J1" s="119"/>
      <c r="K1" s="119"/>
      <c r="L1" s="119"/>
      <c r="M1" s="119"/>
      <c r="N1" s="119"/>
      <c r="O1" s="119"/>
    </row>
    <row r="2" spans="1:15" ht="20" customHeight="1">
      <c r="A2" s="49"/>
      <c r="B2" s="49"/>
      <c r="C2" s="137" t="s">
        <v>447</v>
      </c>
      <c r="D2" s="137"/>
      <c r="E2" s="137"/>
      <c r="F2" s="137"/>
      <c r="G2" s="137" t="s">
        <v>448</v>
      </c>
      <c r="H2" s="137"/>
      <c r="I2" s="137"/>
      <c r="J2" s="137"/>
      <c r="K2" s="137" t="s">
        <v>489</v>
      </c>
      <c r="L2" s="137"/>
      <c r="M2" s="137"/>
      <c r="N2" s="137"/>
      <c r="O2" s="49"/>
    </row>
    <row r="3" spans="1:15" ht="32" customHeight="1" thickBot="1">
      <c r="A3" s="49" t="s">
        <v>426</v>
      </c>
      <c r="B3" s="49" t="s">
        <v>7</v>
      </c>
      <c r="C3" s="49" t="s">
        <v>8</v>
      </c>
      <c r="D3" s="49" t="s">
        <v>9</v>
      </c>
      <c r="E3" s="49" t="s">
        <v>84</v>
      </c>
      <c r="F3" s="49" t="s">
        <v>119</v>
      </c>
      <c r="G3" s="49" t="s">
        <v>8</v>
      </c>
      <c r="H3" s="49" t="s">
        <v>9</v>
      </c>
      <c r="I3" s="49" t="s">
        <v>84</v>
      </c>
      <c r="J3" s="49" t="s">
        <v>119</v>
      </c>
      <c r="K3" s="49" t="s">
        <v>8</v>
      </c>
      <c r="L3" s="49" t="s">
        <v>9</v>
      </c>
      <c r="M3" s="49" t="s">
        <v>84</v>
      </c>
      <c r="N3" s="49" t="s">
        <v>119</v>
      </c>
      <c r="O3" s="49" t="s">
        <v>427</v>
      </c>
    </row>
    <row r="4" spans="1:15"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28</v>
      </c>
      <c r="D4" s="51" t="s">
        <v>36</v>
      </c>
      <c r="E4" s="51"/>
      <c r="F4" s="51"/>
      <c r="G4" s="51" t="s">
        <v>299</v>
      </c>
      <c r="H4" s="51" t="s">
        <v>111</v>
      </c>
      <c r="I4" s="51"/>
      <c r="J4" s="51"/>
      <c r="K4" s="51" t="s">
        <v>269</v>
      </c>
      <c r="L4" s="51" t="s">
        <v>173</v>
      </c>
      <c r="M4" s="51"/>
      <c r="N4" s="51"/>
      <c r="O4" s="51">
        <f>COUNTA(C4:N12)</f>
        <v>60</v>
      </c>
    </row>
    <row r="5" spans="1:15"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49</v>
      </c>
      <c r="D5" s="50" t="s">
        <v>10</v>
      </c>
      <c r="E5" s="50" t="s">
        <v>12</v>
      </c>
      <c r="F5" s="50"/>
      <c r="G5" s="50" t="s">
        <v>116</v>
      </c>
      <c r="H5" s="50" t="s">
        <v>90</v>
      </c>
      <c r="I5" s="50" t="s">
        <v>85</v>
      </c>
      <c r="J5" s="50"/>
      <c r="K5" s="50" t="s">
        <v>165</v>
      </c>
      <c r="L5" s="50" t="s">
        <v>144</v>
      </c>
      <c r="M5" s="50" t="s">
        <v>190</v>
      </c>
      <c r="N5" s="50"/>
      <c r="O5" s="50"/>
    </row>
    <row r="6" spans="1:15"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c r="D6" s="47"/>
      <c r="E6" s="47"/>
      <c r="F6" s="47"/>
      <c r="G6" s="47"/>
      <c r="H6" s="47"/>
      <c r="I6" s="47"/>
      <c r="J6" s="47"/>
      <c r="K6" s="47"/>
      <c r="L6" s="47"/>
      <c r="M6" s="47"/>
      <c r="N6" s="47"/>
      <c r="O6" s="47"/>
    </row>
    <row r="7" spans="1:15"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48</v>
      </c>
      <c r="D7" s="47" t="s">
        <v>27</v>
      </c>
      <c r="E7" s="47" t="s">
        <v>14</v>
      </c>
      <c r="F7" s="47" t="s">
        <v>15</v>
      </c>
      <c r="G7" s="47" t="s">
        <v>114</v>
      </c>
      <c r="H7" s="47" t="s">
        <v>142</v>
      </c>
      <c r="I7" s="47" t="s">
        <v>75</v>
      </c>
      <c r="J7" s="47" t="s">
        <v>98</v>
      </c>
      <c r="K7" s="47" t="s">
        <v>160</v>
      </c>
      <c r="L7" s="47" t="s">
        <v>149</v>
      </c>
      <c r="M7" s="47" t="s">
        <v>134</v>
      </c>
      <c r="N7" s="47" t="s">
        <v>147</v>
      </c>
      <c r="O7" s="47"/>
    </row>
    <row r="8" spans="1:15"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38</v>
      </c>
      <c r="D8" s="47"/>
      <c r="E8" s="47"/>
      <c r="F8" s="47"/>
      <c r="G8" s="47" t="s">
        <v>135</v>
      </c>
      <c r="H8" s="47"/>
      <c r="I8" s="47"/>
      <c r="J8" s="47"/>
      <c r="K8" s="47" t="s">
        <v>180</v>
      </c>
      <c r="L8" s="47"/>
      <c r="M8" s="47"/>
      <c r="N8" s="47"/>
      <c r="O8" s="47"/>
    </row>
    <row r="9" spans="1:15"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24</v>
      </c>
      <c r="D9" s="47" t="s">
        <v>33</v>
      </c>
      <c r="E9" s="47"/>
      <c r="F9" s="47"/>
      <c r="G9" s="47" t="s">
        <v>224</v>
      </c>
      <c r="H9" s="47" t="s">
        <v>109</v>
      </c>
      <c r="I9" s="47"/>
      <c r="J9" s="47"/>
      <c r="K9" s="47" t="s">
        <v>232</v>
      </c>
      <c r="L9" s="47" t="s">
        <v>192</v>
      </c>
      <c r="M9" s="47"/>
      <c r="N9" s="47"/>
      <c r="O9" s="47"/>
    </row>
    <row r="10" spans="1:15"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51</v>
      </c>
      <c r="D10" s="47" t="s">
        <v>42</v>
      </c>
      <c r="E10" s="47" t="s">
        <v>23</v>
      </c>
      <c r="F10" s="47"/>
      <c r="G10" s="47" t="s">
        <v>115</v>
      </c>
      <c r="H10" s="47" t="s">
        <v>300</v>
      </c>
      <c r="I10" s="47" t="s">
        <v>86</v>
      </c>
      <c r="J10" s="47"/>
      <c r="K10" s="47" t="s">
        <v>264</v>
      </c>
      <c r="L10" s="47" t="s">
        <v>236</v>
      </c>
      <c r="M10" s="47" t="s">
        <v>260</v>
      </c>
      <c r="N10" s="47"/>
      <c r="O10" s="47"/>
    </row>
    <row r="11" spans="1:15"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26</v>
      </c>
      <c r="D11" s="47"/>
      <c r="E11" s="47"/>
      <c r="F11" s="47"/>
      <c r="G11" s="47" t="s">
        <v>96</v>
      </c>
      <c r="H11" s="47"/>
      <c r="I11" s="47"/>
      <c r="J11" s="47"/>
      <c r="K11" s="47" t="s">
        <v>159</v>
      </c>
      <c r="L11" s="47"/>
      <c r="M11" s="47"/>
      <c r="N11" s="47"/>
      <c r="O11" s="47"/>
    </row>
    <row r="12" spans="1:15"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13</v>
      </c>
      <c r="D12" s="48" t="s">
        <v>32</v>
      </c>
      <c r="E12" s="48" t="s">
        <v>43</v>
      </c>
      <c r="F12" s="48" t="s">
        <v>53</v>
      </c>
      <c r="G12" s="48" t="s">
        <v>99</v>
      </c>
      <c r="H12" s="48" t="s">
        <v>105</v>
      </c>
      <c r="I12" s="48" t="s">
        <v>110</v>
      </c>
      <c r="J12" s="48" t="s">
        <v>249</v>
      </c>
      <c r="K12" s="48" t="s">
        <v>148</v>
      </c>
      <c r="L12" s="48" t="s">
        <v>257</v>
      </c>
      <c r="M12" s="48" t="s">
        <v>357</v>
      </c>
      <c r="N12" s="48" t="s">
        <v>259</v>
      </c>
      <c r="O12" s="48"/>
    </row>
    <row r="13" spans="1:15"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19</v>
      </c>
      <c r="D13" s="51" t="s">
        <v>29</v>
      </c>
      <c r="E13" s="51"/>
      <c r="F13" s="51"/>
      <c r="G13" s="51" t="s">
        <v>88</v>
      </c>
      <c r="H13" s="51" t="s">
        <v>112</v>
      </c>
      <c r="I13" s="51"/>
      <c r="J13" s="51"/>
      <c r="K13" s="51" t="s">
        <v>153</v>
      </c>
      <c r="L13" s="51" t="s">
        <v>152</v>
      </c>
      <c r="M13" s="51"/>
      <c r="N13" s="51"/>
      <c r="O13" s="51">
        <f>COUNTA(C13:N21)</f>
        <v>60</v>
      </c>
    </row>
    <row r="14" spans="1:15"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44</v>
      </c>
      <c r="D14" s="50" t="s">
        <v>20</v>
      </c>
      <c r="E14" s="50" t="s">
        <v>46</v>
      </c>
      <c r="F14" s="50"/>
      <c r="G14" s="50" t="s">
        <v>126</v>
      </c>
      <c r="H14" s="50" t="s">
        <v>80</v>
      </c>
      <c r="I14" s="50" t="s">
        <v>118</v>
      </c>
      <c r="J14" s="50"/>
      <c r="K14" s="50" t="s">
        <v>157</v>
      </c>
      <c r="L14" s="50" t="s">
        <v>138</v>
      </c>
      <c r="M14" s="50" t="s">
        <v>352</v>
      </c>
      <c r="N14" s="50"/>
      <c r="O14" s="50"/>
    </row>
    <row r="15" spans="1:15"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c r="D15" s="47"/>
      <c r="E15" s="47"/>
      <c r="F15" s="47"/>
      <c r="G15" s="47"/>
      <c r="H15" s="47"/>
      <c r="I15" s="47"/>
      <c r="J15" s="47"/>
      <c r="K15" s="47"/>
      <c r="L15" s="47"/>
      <c r="M15" s="47"/>
      <c r="N15" s="47"/>
      <c r="O15" s="47"/>
    </row>
    <row r="16" spans="1:15"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31</v>
      </c>
      <c r="D16" s="47" t="s">
        <v>17</v>
      </c>
      <c r="E16" s="47" t="s">
        <v>30</v>
      </c>
      <c r="F16" s="47" t="s">
        <v>50</v>
      </c>
      <c r="G16" s="47" t="s">
        <v>102</v>
      </c>
      <c r="H16" s="47" t="s">
        <v>82</v>
      </c>
      <c r="I16" s="47" t="s">
        <v>94</v>
      </c>
      <c r="J16" s="47" t="s">
        <v>117</v>
      </c>
      <c r="K16" s="47" t="s">
        <v>163</v>
      </c>
      <c r="L16" s="47" t="s">
        <v>124</v>
      </c>
      <c r="M16" s="47" t="s">
        <v>231</v>
      </c>
      <c r="N16" s="47" t="s">
        <v>158</v>
      </c>
      <c r="O16" s="47"/>
    </row>
    <row r="17" spans="1:15"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39</v>
      </c>
      <c r="D17" s="47"/>
      <c r="E17" s="47"/>
      <c r="F17" s="47"/>
      <c r="G17" s="47" t="s">
        <v>107</v>
      </c>
      <c r="H17" s="47"/>
      <c r="I17" s="47"/>
      <c r="J17" s="47"/>
      <c r="K17" s="47" t="s">
        <v>355</v>
      </c>
      <c r="L17" s="47"/>
      <c r="M17" s="47"/>
      <c r="N17" s="47"/>
      <c r="O17" s="47"/>
    </row>
    <row r="18" spans="1:15"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25</v>
      </c>
      <c r="D18" s="47" t="s">
        <v>35</v>
      </c>
      <c r="E18" s="47" t="s">
        <v>54</v>
      </c>
      <c r="F18" s="47"/>
      <c r="G18" s="47" t="s">
        <v>97</v>
      </c>
      <c r="H18" s="47" t="s">
        <v>223</v>
      </c>
      <c r="I18" s="47" t="s">
        <v>226</v>
      </c>
      <c r="J18" s="47"/>
      <c r="K18" s="47" t="s">
        <v>146</v>
      </c>
      <c r="L18" s="47" t="s">
        <v>176</v>
      </c>
      <c r="M18" s="47" t="s">
        <v>228</v>
      </c>
      <c r="N18" s="47"/>
      <c r="O18" s="47"/>
    </row>
    <row r="19" spans="1:15"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41</v>
      </c>
      <c r="E19" s="47"/>
      <c r="F19" s="47"/>
      <c r="G19" s="47" t="s">
        <v>139</v>
      </c>
      <c r="H19" s="47" t="s">
        <v>106</v>
      </c>
      <c r="I19" s="47"/>
      <c r="J19" s="47"/>
      <c r="K19" s="47" t="s">
        <v>143</v>
      </c>
      <c r="L19" s="47" t="s">
        <v>187</v>
      </c>
      <c r="M19" s="47"/>
      <c r="N19" s="47"/>
      <c r="O19" s="47"/>
    </row>
    <row r="20" spans="1:15"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52</v>
      </c>
      <c r="D20" s="47"/>
      <c r="E20" s="47"/>
      <c r="F20" s="47"/>
      <c r="G20" s="47" t="s">
        <v>130</v>
      </c>
      <c r="H20" s="47"/>
      <c r="I20" s="47"/>
      <c r="J20" s="47"/>
      <c r="K20" s="47" t="s">
        <v>156</v>
      </c>
      <c r="L20" s="47"/>
      <c r="M20" s="47"/>
      <c r="N20" s="47"/>
      <c r="O20" s="47"/>
    </row>
    <row r="21" spans="1:15"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34</v>
      </c>
      <c r="D21" s="48" t="s">
        <v>40</v>
      </c>
      <c r="E21" s="48" t="s">
        <v>21</v>
      </c>
      <c r="F21" s="48" t="s">
        <v>16</v>
      </c>
      <c r="G21" s="48" t="s">
        <v>103</v>
      </c>
      <c r="H21" s="48" t="s">
        <v>108</v>
      </c>
      <c r="I21" s="48" t="s">
        <v>83</v>
      </c>
      <c r="J21" s="48" t="s">
        <v>222</v>
      </c>
      <c r="K21" s="48" t="s">
        <v>230</v>
      </c>
      <c r="L21" s="48" t="s">
        <v>191</v>
      </c>
      <c r="M21" s="48" t="s">
        <v>137</v>
      </c>
      <c r="N21" s="48" t="s">
        <v>141</v>
      </c>
      <c r="O21" s="48"/>
    </row>
    <row r="22" spans="1:15"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18</v>
      </c>
      <c r="D22" s="51" t="s">
        <v>37</v>
      </c>
      <c r="E22" s="51" t="s">
        <v>47</v>
      </c>
      <c r="F22" s="51" t="s">
        <v>22</v>
      </c>
      <c r="G22" s="51" t="s">
        <v>89</v>
      </c>
      <c r="H22" s="51" t="s">
        <v>104</v>
      </c>
      <c r="I22" s="51" t="s">
        <v>302</v>
      </c>
      <c r="J22" s="51" t="s">
        <v>91</v>
      </c>
      <c r="K22" s="51" t="s">
        <v>254</v>
      </c>
      <c r="L22" s="51" t="s">
        <v>162</v>
      </c>
      <c r="M22" s="51" t="s">
        <v>356</v>
      </c>
      <c r="N22" s="51" t="s">
        <v>131</v>
      </c>
      <c r="O22" s="51">
        <f>COUNTA(C22:N29)</f>
        <v>60</v>
      </c>
    </row>
    <row r="23" spans="1:15"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45</v>
      </c>
      <c r="D23" s="50"/>
      <c r="E23" s="50"/>
      <c r="F23" s="50"/>
      <c r="G23" s="50" t="s">
        <v>140</v>
      </c>
      <c r="H23" s="50"/>
      <c r="I23" s="50"/>
      <c r="J23" s="50"/>
      <c r="K23" s="50" t="s">
        <v>229</v>
      </c>
      <c r="L23" s="50"/>
      <c r="M23" s="50"/>
      <c r="N23" s="50"/>
      <c r="O23" s="50"/>
    </row>
    <row r="24" spans="1:15"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46</v>
      </c>
      <c r="D24" s="47" t="s">
        <v>36</v>
      </c>
      <c r="E24" s="47" t="s">
        <v>10</v>
      </c>
      <c r="F24" s="47"/>
      <c r="G24" s="47" t="s">
        <v>118</v>
      </c>
      <c r="H24" s="47" t="s">
        <v>111</v>
      </c>
      <c r="I24" s="47" t="s">
        <v>90</v>
      </c>
      <c r="J24" s="47"/>
      <c r="K24" s="47" t="s">
        <v>352</v>
      </c>
      <c r="L24" s="47" t="s">
        <v>173</v>
      </c>
      <c r="M24" s="47" t="s">
        <v>144</v>
      </c>
      <c r="N24" s="47"/>
      <c r="O24" s="47"/>
    </row>
    <row r="25" spans="1:15"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38</v>
      </c>
      <c r="D25" s="47" t="s">
        <v>26</v>
      </c>
      <c r="E25" s="47"/>
      <c r="F25" s="47"/>
      <c r="G25" s="47" t="s">
        <v>135</v>
      </c>
      <c r="H25" s="47" t="s">
        <v>96</v>
      </c>
      <c r="I25" s="47"/>
      <c r="J25" s="47"/>
      <c r="K25" s="47" t="s">
        <v>180</v>
      </c>
      <c r="L25" s="47" t="s">
        <v>159</v>
      </c>
      <c r="M25" s="47"/>
      <c r="N25" s="47"/>
      <c r="O25" s="47"/>
    </row>
    <row r="26" spans="1:15"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20</v>
      </c>
      <c r="D26" s="47" t="s">
        <v>32</v>
      </c>
      <c r="E26" s="47"/>
      <c r="F26" s="47"/>
      <c r="G26" s="47" t="s">
        <v>80</v>
      </c>
      <c r="H26" s="47" t="s">
        <v>105</v>
      </c>
      <c r="I26" s="47"/>
      <c r="J26" s="47"/>
      <c r="K26" s="47" t="s">
        <v>138</v>
      </c>
      <c r="L26" s="47" t="s">
        <v>257</v>
      </c>
      <c r="M26" s="47"/>
      <c r="N26" s="47"/>
      <c r="O26" s="47"/>
    </row>
    <row r="27" spans="1:15"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52</v>
      </c>
      <c r="D27" s="47" t="s">
        <v>13</v>
      </c>
      <c r="E27" s="47" t="s">
        <v>40</v>
      </c>
      <c r="F27" s="47"/>
      <c r="G27" s="47" t="s">
        <v>130</v>
      </c>
      <c r="H27" s="47" t="s">
        <v>99</v>
      </c>
      <c r="I27" s="47" t="s">
        <v>108</v>
      </c>
      <c r="J27" s="47"/>
      <c r="K27" s="47" t="s">
        <v>156</v>
      </c>
      <c r="L27" s="47" t="s">
        <v>148</v>
      </c>
      <c r="M27" s="47" t="s">
        <v>191</v>
      </c>
      <c r="N27" s="47"/>
      <c r="O27" s="47"/>
    </row>
    <row r="28" spans="1:15"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11</v>
      </c>
      <c r="D28" s="47"/>
      <c r="E28" s="47"/>
      <c r="F28" s="47"/>
      <c r="G28" s="47" t="s">
        <v>139</v>
      </c>
      <c r="H28" s="47"/>
      <c r="I28" s="47"/>
      <c r="J28" s="47"/>
      <c r="K28" s="47" t="s">
        <v>143</v>
      </c>
      <c r="L28" s="47"/>
      <c r="M28" s="47"/>
      <c r="N28" s="47"/>
      <c r="O28" s="47"/>
    </row>
    <row r="29" spans="1:15" ht="14.5" customHeight="1" thickBot="1">
      <c r="A29" s="48"/>
      <c r="B29"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8" t="s">
        <v>51</v>
      </c>
      <c r="D29" s="48" t="s">
        <v>24</v>
      </c>
      <c r="E29" s="48" t="s">
        <v>41</v>
      </c>
      <c r="F29" s="48" t="s">
        <v>33</v>
      </c>
      <c r="G29" s="48" t="s">
        <v>115</v>
      </c>
      <c r="H29" s="48" t="s">
        <v>224</v>
      </c>
      <c r="I29" s="48" t="s">
        <v>106</v>
      </c>
      <c r="J29" s="48" t="s">
        <v>109</v>
      </c>
      <c r="K29" s="48" t="s">
        <v>264</v>
      </c>
      <c r="L29" s="48" t="s">
        <v>232</v>
      </c>
      <c r="M29" s="48" t="s">
        <v>187</v>
      </c>
      <c r="N29" s="48" t="s">
        <v>192</v>
      </c>
      <c r="O29" s="48"/>
    </row>
    <row r="30" spans="1:15" ht="14.5" customHeight="1">
      <c r="A30" s="51" t="s">
        <v>431</v>
      </c>
      <c r="B3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0" s="51" t="s">
        <v>16</v>
      </c>
      <c r="D30" s="51" t="s">
        <v>47</v>
      </c>
      <c r="E30" s="51" t="s">
        <v>29</v>
      </c>
      <c r="F30" s="51" t="s">
        <v>39</v>
      </c>
      <c r="G30" s="51" t="s">
        <v>222</v>
      </c>
      <c r="H30" s="51" t="s">
        <v>302</v>
      </c>
      <c r="I30" s="51" t="s">
        <v>112</v>
      </c>
      <c r="J30" s="51" t="s">
        <v>107</v>
      </c>
      <c r="K30" s="51" t="s">
        <v>141</v>
      </c>
      <c r="L30" s="51" t="s">
        <v>356</v>
      </c>
      <c r="M30" s="51" t="s">
        <v>152</v>
      </c>
      <c r="N30" s="51" t="s">
        <v>355</v>
      </c>
      <c r="O30" s="51">
        <f>COUNTA(C30:N37)</f>
        <v>60</v>
      </c>
    </row>
    <row r="31" spans="1:15" ht="14.5" customHeight="1">
      <c r="A31" s="50"/>
      <c r="B3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1" s="50" t="s">
        <v>31</v>
      </c>
      <c r="D31" s="50"/>
      <c r="E31" s="50"/>
      <c r="F31" s="50"/>
      <c r="G31" s="50" t="s">
        <v>102</v>
      </c>
      <c r="H31" s="50"/>
      <c r="I31" s="50"/>
      <c r="J31" s="50"/>
      <c r="K31" s="50" t="s">
        <v>163</v>
      </c>
      <c r="L31" s="50"/>
      <c r="M31" s="50"/>
      <c r="N31" s="50"/>
      <c r="O31" s="50"/>
    </row>
    <row r="32" spans="1:15" ht="14.5" customHeight="1">
      <c r="A32" s="47"/>
      <c r="B3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2" s="47" t="s">
        <v>14</v>
      </c>
      <c r="D32" s="47" t="s">
        <v>45</v>
      </c>
      <c r="E32" s="47" t="s">
        <v>53</v>
      </c>
      <c r="F32" s="47"/>
      <c r="G32" s="47" t="s">
        <v>75</v>
      </c>
      <c r="H32" s="47" t="s">
        <v>140</v>
      </c>
      <c r="I32" s="47" t="s">
        <v>249</v>
      </c>
      <c r="J32" s="47"/>
      <c r="K32" s="47" t="s">
        <v>134</v>
      </c>
      <c r="L32" s="47" t="s">
        <v>229</v>
      </c>
      <c r="M32" s="47" t="s">
        <v>259</v>
      </c>
      <c r="N32" s="47"/>
      <c r="O32" s="47"/>
    </row>
    <row r="33" spans="1:15" ht="14.5" customHeight="1">
      <c r="A33" s="47"/>
      <c r="B3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3" s="47" t="s">
        <v>37</v>
      </c>
      <c r="D33" s="47" t="s">
        <v>12</v>
      </c>
      <c r="E33" s="47"/>
      <c r="F33" s="47"/>
      <c r="G33" s="47" t="s">
        <v>104</v>
      </c>
      <c r="H33" s="47" t="s">
        <v>85</v>
      </c>
      <c r="I33" s="47"/>
      <c r="J33" s="47"/>
      <c r="K33" s="47" t="s">
        <v>162</v>
      </c>
      <c r="L33" s="47" t="s">
        <v>190</v>
      </c>
      <c r="M33" s="47"/>
      <c r="N33" s="47"/>
      <c r="O33" s="47"/>
    </row>
    <row r="34" spans="1:15" ht="14.5" customHeight="1">
      <c r="A34" s="47"/>
      <c r="B3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4" s="47" t="s">
        <v>25</v>
      </c>
      <c r="D34" s="47" t="s">
        <v>42</v>
      </c>
      <c r="E34" s="47"/>
      <c r="F34" s="47"/>
      <c r="G34" s="47" t="s">
        <v>97</v>
      </c>
      <c r="H34" s="47" t="s">
        <v>300</v>
      </c>
      <c r="I34" s="47"/>
      <c r="J34" s="47"/>
      <c r="K34" s="47" t="s">
        <v>146</v>
      </c>
      <c r="L34" s="47" t="s">
        <v>236</v>
      </c>
      <c r="M34" s="47"/>
      <c r="N34" s="47"/>
      <c r="O34" s="47"/>
    </row>
    <row r="35" spans="1:15" ht="14.5" customHeight="1">
      <c r="A35" s="47"/>
      <c r="B3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5" s="47" t="s">
        <v>23</v>
      </c>
      <c r="D35" s="47" t="s">
        <v>54</v>
      </c>
      <c r="E35" s="47" t="s">
        <v>35</v>
      </c>
      <c r="F35" s="47"/>
      <c r="G35" s="47" t="s">
        <v>86</v>
      </c>
      <c r="H35" s="47" t="s">
        <v>226</v>
      </c>
      <c r="I35" s="47" t="s">
        <v>223</v>
      </c>
      <c r="J35" s="47"/>
      <c r="K35" s="47" t="s">
        <v>260</v>
      </c>
      <c r="L35" s="47" t="s">
        <v>228</v>
      </c>
      <c r="M35" s="47" t="s">
        <v>176</v>
      </c>
      <c r="N35" s="47"/>
      <c r="O35" s="47"/>
    </row>
    <row r="36" spans="1:15" ht="14.5" customHeight="1">
      <c r="A36" s="47"/>
      <c r="B36"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6" s="47" t="s">
        <v>43</v>
      </c>
      <c r="D36" s="47"/>
      <c r="E36" s="47"/>
      <c r="F36" s="47"/>
      <c r="G36" s="47" t="s">
        <v>110</v>
      </c>
      <c r="H36" s="47"/>
      <c r="I36" s="47"/>
      <c r="J36" s="47"/>
      <c r="K36" s="47" t="s">
        <v>357</v>
      </c>
      <c r="L36" s="47"/>
      <c r="M36" s="47"/>
      <c r="N36" s="47"/>
      <c r="O36" s="47"/>
    </row>
    <row r="37" spans="1:15" ht="14.5" customHeight="1" thickBot="1">
      <c r="A37" s="48"/>
      <c r="B37"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7" s="48" t="s">
        <v>18</v>
      </c>
      <c r="D37" s="48" t="s">
        <v>27</v>
      </c>
      <c r="E37" s="48" t="s">
        <v>48</v>
      </c>
      <c r="F37" s="48" t="s">
        <v>22</v>
      </c>
      <c r="G37" s="48" t="s">
        <v>89</v>
      </c>
      <c r="H37" s="48" t="s">
        <v>142</v>
      </c>
      <c r="I37" s="48" t="s">
        <v>114</v>
      </c>
      <c r="J37" s="48" t="s">
        <v>91</v>
      </c>
      <c r="K37" s="48" t="s">
        <v>254</v>
      </c>
      <c r="L37" s="48" t="s">
        <v>149</v>
      </c>
      <c r="M37" s="48" t="s">
        <v>160</v>
      </c>
      <c r="N37" s="48" t="s">
        <v>131</v>
      </c>
      <c r="O37" s="48"/>
    </row>
    <row r="38" spans="1:15" ht="14.5" customHeight="1">
      <c r="A38" s="51" t="s">
        <v>432</v>
      </c>
      <c r="B38"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8" s="51" t="s">
        <v>49</v>
      </c>
      <c r="D38" s="51" t="s">
        <v>19</v>
      </c>
      <c r="E38" s="51"/>
      <c r="F38" s="51"/>
      <c r="G38" s="51" t="s">
        <v>116</v>
      </c>
      <c r="H38" s="51" t="s">
        <v>88</v>
      </c>
      <c r="I38" s="51"/>
      <c r="J38" s="51"/>
      <c r="K38" s="51" t="s">
        <v>165</v>
      </c>
      <c r="L38" s="51" t="s">
        <v>153</v>
      </c>
      <c r="M38" s="51"/>
      <c r="N38" s="51"/>
      <c r="O38" s="51">
        <f>COUNTA(C38:N46)</f>
        <v>60</v>
      </c>
    </row>
    <row r="39" spans="1:15" ht="14.5" customHeight="1">
      <c r="A39" s="50"/>
      <c r="B39"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9" s="50" t="s">
        <v>30</v>
      </c>
      <c r="D39" s="50" t="s">
        <v>21</v>
      </c>
      <c r="E39" s="50" t="s">
        <v>34</v>
      </c>
      <c r="F39" s="50"/>
      <c r="G39" s="50" t="s">
        <v>94</v>
      </c>
      <c r="H39" s="50" t="s">
        <v>83</v>
      </c>
      <c r="I39" s="50" t="s">
        <v>103</v>
      </c>
      <c r="J39" s="50"/>
      <c r="K39" s="50" t="s">
        <v>231</v>
      </c>
      <c r="L39" s="50" t="s">
        <v>137</v>
      </c>
      <c r="M39" s="50" t="s">
        <v>230</v>
      </c>
      <c r="N39" s="50"/>
      <c r="O39" s="50"/>
    </row>
    <row r="40" spans="1:15" ht="14.5" customHeight="1">
      <c r="A40" s="47"/>
      <c r="B40"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0" s="47" t="s">
        <v>50</v>
      </c>
      <c r="D40" s="47"/>
      <c r="E40" s="47"/>
      <c r="F40" s="47"/>
      <c r="G40" s="47" t="s">
        <v>117</v>
      </c>
      <c r="H40" s="47"/>
      <c r="I40" s="47"/>
      <c r="J40" s="47"/>
      <c r="K40" s="47" t="s">
        <v>158</v>
      </c>
      <c r="L40" s="47"/>
      <c r="M40" s="47"/>
      <c r="N40" s="47"/>
      <c r="O40" s="47"/>
    </row>
    <row r="41" spans="1:15" ht="14.5" customHeight="1">
      <c r="A41" s="47"/>
      <c r="B41"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1" s="47" t="s">
        <v>44</v>
      </c>
      <c r="D41" s="47" t="s">
        <v>28</v>
      </c>
      <c r="E41" s="47" t="s">
        <v>15</v>
      </c>
      <c r="F41" s="47" t="s">
        <v>17</v>
      </c>
      <c r="G41" s="47" t="s">
        <v>126</v>
      </c>
      <c r="H41" s="47" t="s">
        <v>299</v>
      </c>
      <c r="I41" s="47" t="s">
        <v>98</v>
      </c>
      <c r="J41" s="47" t="s">
        <v>82</v>
      </c>
      <c r="K41" s="47" t="s">
        <v>157</v>
      </c>
      <c r="L41" s="47" t="s">
        <v>269</v>
      </c>
      <c r="M41" s="47" t="s">
        <v>147</v>
      </c>
      <c r="N41" s="47" t="s">
        <v>124</v>
      </c>
      <c r="O41" s="47"/>
    </row>
    <row r="42" spans="1:15" ht="14.5" customHeight="1">
      <c r="A42" s="47"/>
      <c r="B42"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2" s="47"/>
      <c r="D42" s="47"/>
      <c r="E42" s="47"/>
      <c r="F42" s="47"/>
      <c r="G42" s="47"/>
      <c r="H42" s="47"/>
      <c r="I42" s="47"/>
      <c r="J42" s="47"/>
      <c r="K42" s="47"/>
      <c r="L42" s="47"/>
      <c r="M42" s="47"/>
      <c r="N42" s="47"/>
      <c r="O42" s="47"/>
    </row>
    <row r="43" spans="1:15" ht="14.5" customHeight="1">
      <c r="A43" s="47"/>
      <c r="B43"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3" s="47" t="s">
        <v>52</v>
      </c>
      <c r="D43" s="47" t="s">
        <v>38</v>
      </c>
      <c r="E43" s="47" t="s">
        <v>37</v>
      </c>
      <c r="F43" s="47" t="s">
        <v>20</v>
      </c>
      <c r="G43" s="47" t="s">
        <v>130</v>
      </c>
      <c r="H43" s="47" t="s">
        <v>135</v>
      </c>
      <c r="I43" s="47" t="s">
        <v>104</v>
      </c>
      <c r="J43" s="47" t="s">
        <v>80</v>
      </c>
      <c r="K43" s="47" t="s">
        <v>156</v>
      </c>
      <c r="L43" s="47" t="s">
        <v>180</v>
      </c>
      <c r="M43" s="47" t="s">
        <v>162</v>
      </c>
      <c r="N43" s="47" t="s">
        <v>138</v>
      </c>
      <c r="O43" s="47"/>
    </row>
    <row r="44" spans="1:15" ht="14.5" customHeight="1">
      <c r="A44" s="47"/>
      <c r="B44"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4" s="47" t="s">
        <v>18</v>
      </c>
      <c r="D44" s="47"/>
      <c r="E44" s="47"/>
      <c r="F44" s="47"/>
      <c r="G44" s="47" t="s">
        <v>89</v>
      </c>
      <c r="H44" s="47"/>
      <c r="I44" s="47"/>
      <c r="J44" s="47"/>
      <c r="K44" s="47" t="s">
        <v>254</v>
      </c>
      <c r="L44" s="47"/>
      <c r="M44" s="47"/>
      <c r="N44" s="47"/>
      <c r="O44" s="47"/>
    </row>
    <row r="45" spans="1:15" ht="14.5" customHeight="1">
      <c r="A45" s="47"/>
      <c r="B45"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5" s="47" t="s">
        <v>13</v>
      </c>
      <c r="D45" s="47" t="s">
        <v>36</v>
      </c>
      <c r="E45" s="47"/>
      <c r="F45" s="47"/>
      <c r="G45" s="47" t="s">
        <v>99</v>
      </c>
      <c r="H45" s="47" t="s">
        <v>111</v>
      </c>
      <c r="I45" s="47"/>
      <c r="J45" s="47"/>
      <c r="K45" s="47" t="s">
        <v>148</v>
      </c>
      <c r="L45" s="47" t="s">
        <v>173</v>
      </c>
      <c r="M45" s="47"/>
      <c r="N45" s="47"/>
      <c r="O45" s="47"/>
    </row>
    <row r="46" spans="1:15" ht="14.5" customHeight="1" thickBot="1">
      <c r="A46" s="48"/>
      <c r="B46"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6" s="48" t="s">
        <v>39</v>
      </c>
      <c r="D46" s="48" t="s">
        <v>26</v>
      </c>
      <c r="E46" s="48" t="s">
        <v>47</v>
      </c>
      <c r="F46" s="48"/>
      <c r="G46" s="48" t="s">
        <v>107</v>
      </c>
      <c r="H46" s="48" t="s">
        <v>96</v>
      </c>
      <c r="I46" s="48" t="s">
        <v>302</v>
      </c>
      <c r="J46" s="48"/>
      <c r="K46" s="48" t="s">
        <v>355</v>
      </c>
      <c r="L46" s="48" t="s">
        <v>159</v>
      </c>
      <c r="M46" s="48" t="s">
        <v>356</v>
      </c>
      <c r="N46" s="48"/>
      <c r="O46" s="48"/>
    </row>
    <row r="47" spans="1:15" ht="14.5" customHeight="1">
      <c r="A47" s="51" t="s">
        <v>434</v>
      </c>
      <c r="B47"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7" s="51" t="s">
        <v>12</v>
      </c>
      <c r="D47" s="51" t="s">
        <v>34</v>
      </c>
      <c r="E47" s="51" t="s">
        <v>45</v>
      </c>
      <c r="F47" s="51"/>
      <c r="G47" s="51" t="s">
        <v>85</v>
      </c>
      <c r="H47" s="51" t="s">
        <v>103</v>
      </c>
      <c r="I47" s="51" t="s">
        <v>140</v>
      </c>
      <c r="J47" s="51"/>
      <c r="K47" s="51" t="s">
        <v>190</v>
      </c>
      <c r="L47" s="51" t="s">
        <v>230</v>
      </c>
      <c r="M47" s="51" t="s">
        <v>229</v>
      </c>
      <c r="N47" s="51"/>
      <c r="O47" s="51">
        <f>COUNTA(C47:N54)</f>
        <v>60</v>
      </c>
    </row>
    <row r="48" spans="1:15" ht="14.5" customHeight="1">
      <c r="A48" s="50"/>
      <c r="B48"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8" s="50" t="s">
        <v>50</v>
      </c>
      <c r="D48" s="50" t="s">
        <v>11</v>
      </c>
      <c r="E48" s="50"/>
      <c r="F48" s="50"/>
      <c r="G48" s="50" t="s">
        <v>117</v>
      </c>
      <c r="H48" s="50" t="s">
        <v>139</v>
      </c>
      <c r="I48" s="50"/>
      <c r="J48" s="50"/>
      <c r="K48" s="50" t="s">
        <v>158</v>
      </c>
      <c r="L48" s="50" t="s">
        <v>143</v>
      </c>
      <c r="M48" s="50"/>
      <c r="N48" s="50"/>
      <c r="O48" s="50"/>
    </row>
    <row r="49" spans="1:15" ht="14.5" customHeight="1">
      <c r="A49" s="47"/>
      <c r="B49"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9" s="47" t="s">
        <v>33</v>
      </c>
      <c r="D49" s="47" t="s">
        <v>17</v>
      </c>
      <c r="E49" s="47" t="s">
        <v>40</v>
      </c>
      <c r="F49" s="47"/>
      <c r="G49" s="47" t="s">
        <v>109</v>
      </c>
      <c r="H49" s="47" t="s">
        <v>82</v>
      </c>
      <c r="I49" s="47" t="s">
        <v>108</v>
      </c>
      <c r="J49" s="47"/>
      <c r="K49" s="47" t="s">
        <v>192</v>
      </c>
      <c r="L49" s="47" t="s">
        <v>124</v>
      </c>
      <c r="M49" s="47" t="s">
        <v>191</v>
      </c>
      <c r="N49" s="47"/>
      <c r="O49" s="47"/>
    </row>
    <row r="50" spans="1:15" ht="14.5" customHeight="1">
      <c r="A50" s="47"/>
      <c r="B50"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0" s="47" t="s">
        <v>23</v>
      </c>
      <c r="D50" s="47" t="s">
        <v>53</v>
      </c>
      <c r="E50" s="47"/>
      <c r="F50" s="47"/>
      <c r="G50" s="47" t="s">
        <v>86</v>
      </c>
      <c r="H50" s="47" t="s">
        <v>249</v>
      </c>
      <c r="I50" s="47"/>
      <c r="J50" s="47"/>
      <c r="K50" s="47" t="s">
        <v>260</v>
      </c>
      <c r="L50" s="47" t="s">
        <v>259</v>
      </c>
      <c r="M50" s="47"/>
      <c r="N50" s="47"/>
      <c r="O50" s="47"/>
    </row>
    <row r="51" spans="1:15" ht="14.5" customHeight="1">
      <c r="A51" s="47"/>
      <c r="B51"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1" s="47" t="s">
        <v>31</v>
      </c>
      <c r="D51" s="47" t="s">
        <v>43</v>
      </c>
      <c r="E51" s="47"/>
      <c r="F51" s="47"/>
      <c r="G51" s="47" t="s">
        <v>102</v>
      </c>
      <c r="H51" s="47" t="s">
        <v>110</v>
      </c>
      <c r="I51" s="47"/>
      <c r="J51" s="47"/>
      <c r="K51" s="47" t="s">
        <v>163</v>
      </c>
      <c r="L51" s="47" t="s">
        <v>357</v>
      </c>
      <c r="M51" s="47"/>
      <c r="N51" s="47"/>
      <c r="O51" s="47"/>
    </row>
    <row r="52" spans="1:15" ht="14.5" customHeight="1">
      <c r="A52" s="47"/>
      <c r="B52"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2" s="47" t="s">
        <v>51</v>
      </c>
      <c r="D52" s="47" t="s">
        <v>28</v>
      </c>
      <c r="E52" s="47" t="s">
        <v>16</v>
      </c>
      <c r="F52" s="47"/>
      <c r="G52" s="47" t="s">
        <v>115</v>
      </c>
      <c r="H52" s="47" t="s">
        <v>299</v>
      </c>
      <c r="I52" s="47" t="s">
        <v>222</v>
      </c>
      <c r="J52" s="47"/>
      <c r="K52" s="47" t="s">
        <v>264</v>
      </c>
      <c r="L52" s="47" t="s">
        <v>269</v>
      </c>
      <c r="M52" s="47" t="s">
        <v>141</v>
      </c>
      <c r="N52" s="47"/>
      <c r="O52" s="47"/>
    </row>
    <row r="53" spans="1:15" ht="14.5" customHeight="1">
      <c r="A53" s="47"/>
      <c r="B53"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3" s="47" t="s">
        <v>44</v>
      </c>
      <c r="D53" s="47"/>
      <c r="E53" s="47"/>
      <c r="F53" s="47"/>
      <c r="G53" s="47" t="s">
        <v>126</v>
      </c>
      <c r="H53" s="47"/>
      <c r="I53" s="47"/>
      <c r="J53" s="47"/>
      <c r="K53" s="47" t="s">
        <v>157</v>
      </c>
      <c r="L53" s="47"/>
      <c r="M53" s="47"/>
      <c r="N53" s="47"/>
      <c r="O53" s="47"/>
    </row>
    <row r="54" spans="1:15" ht="14.5" customHeight="1" thickBot="1">
      <c r="A54" s="48"/>
      <c r="B54"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4" s="48" t="s">
        <v>30</v>
      </c>
      <c r="D54" s="48" t="s">
        <v>10</v>
      </c>
      <c r="E54" s="48" t="s">
        <v>54</v>
      </c>
      <c r="F54" s="48" t="s">
        <v>21</v>
      </c>
      <c r="G54" s="48" t="s">
        <v>94</v>
      </c>
      <c r="H54" s="48" t="s">
        <v>90</v>
      </c>
      <c r="I54" s="48" t="s">
        <v>226</v>
      </c>
      <c r="J54" s="48" t="s">
        <v>83</v>
      </c>
      <c r="K54" s="48" t="s">
        <v>231</v>
      </c>
      <c r="L54" s="48" t="s">
        <v>144</v>
      </c>
      <c r="M54" s="48" t="s">
        <v>228</v>
      </c>
      <c r="N54" s="48" t="s">
        <v>137</v>
      </c>
      <c r="O54" s="48"/>
    </row>
    <row r="55" spans="1:15" ht="14.5" customHeight="1">
      <c r="A55" s="51" t="s">
        <v>435</v>
      </c>
      <c r="B55"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5" s="51" t="s">
        <v>48</v>
      </c>
      <c r="D55" s="51" t="s">
        <v>42</v>
      </c>
      <c r="E55" s="51" t="s">
        <v>14</v>
      </c>
      <c r="F55" s="51"/>
      <c r="G55" s="51" t="s">
        <v>114</v>
      </c>
      <c r="H55" s="51" t="s">
        <v>300</v>
      </c>
      <c r="I55" s="51" t="s">
        <v>75</v>
      </c>
      <c r="J55" s="51"/>
      <c r="K55" s="51" t="s">
        <v>160</v>
      </c>
      <c r="L55" s="51" t="s">
        <v>236</v>
      </c>
      <c r="M55" s="51" t="s">
        <v>134</v>
      </c>
      <c r="N55" s="51"/>
      <c r="O55" s="51">
        <f>COUNTA(C55:N60)</f>
        <v>45</v>
      </c>
    </row>
    <row r="56" spans="1:15" ht="14.5" customHeight="1">
      <c r="A56" s="50"/>
      <c r="B56"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6" s="50" t="s">
        <v>19</v>
      </c>
      <c r="D56" s="50" t="s">
        <v>29</v>
      </c>
      <c r="E56" s="50"/>
      <c r="F56" s="50"/>
      <c r="G56" s="50" t="s">
        <v>88</v>
      </c>
      <c r="H56" s="50" t="s">
        <v>112</v>
      </c>
      <c r="I56" s="50"/>
      <c r="J56" s="50"/>
      <c r="K56" s="50" t="s">
        <v>153</v>
      </c>
      <c r="L56" s="50" t="s">
        <v>152</v>
      </c>
      <c r="M56" s="50"/>
      <c r="N56" s="50"/>
      <c r="O56" s="50"/>
    </row>
    <row r="57" spans="1:15" ht="14.5" customHeight="1">
      <c r="A57" s="47"/>
      <c r="B57"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7" s="47" t="s">
        <v>49</v>
      </c>
      <c r="D57" s="47" t="s">
        <v>32</v>
      </c>
      <c r="E57" s="47"/>
      <c r="F57" s="47"/>
      <c r="G57" s="47" t="s">
        <v>116</v>
      </c>
      <c r="H57" s="47" t="s">
        <v>105</v>
      </c>
      <c r="I57" s="47"/>
      <c r="J57" s="47"/>
      <c r="K57" s="47" t="s">
        <v>165</v>
      </c>
      <c r="L57" s="47" t="s">
        <v>257</v>
      </c>
      <c r="M57" s="47"/>
      <c r="N57" s="47"/>
      <c r="O57" s="47"/>
    </row>
    <row r="58" spans="1:15" ht="14.5" customHeight="1">
      <c r="A58" s="47"/>
      <c r="B58"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8" s="47" t="s">
        <v>27</v>
      </c>
      <c r="D58" s="47" t="s">
        <v>22</v>
      </c>
      <c r="E58" s="47" t="s">
        <v>24</v>
      </c>
      <c r="F58" s="47"/>
      <c r="G58" s="47" t="s">
        <v>142</v>
      </c>
      <c r="H58" s="47" t="s">
        <v>91</v>
      </c>
      <c r="I58" s="47" t="s">
        <v>224</v>
      </c>
      <c r="J58" s="47"/>
      <c r="K58" s="47" t="s">
        <v>149</v>
      </c>
      <c r="L58" s="47" t="s">
        <v>131</v>
      </c>
      <c r="M58" s="47" t="s">
        <v>232</v>
      </c>
      <c r="N58" s="47"/>
      <c r="O58" s="47"/>
    </row>
    <row r="59" spans="1:15" ht="14.5" customHeight="1">
      <c r="A59" s="47"/>
      <c r="B59"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9" s="47" t="s">
        <v>46</v>
      </c>
      <c r="D59" s="47"/>
      <c r="E59" s="47"/>
      <c r="F59" s="47"/>
      <c r="G59" s="47" t="s">
        <v>118</v>
      </c>
      <c r="H59" s="47"/>
      <c r="I59" s="47"/>
      <c r="J59" s="47"/>
      <c r="K59" s="47" t="s">
        <v>352</v>
      </c>
      <c r="L59" s="47"/>
      <c r="M59" s="47"/>
      <c r="N59" s="47"/>
      <c r="O59" s="47"/>
    </row>
    <row r="60" spans="1:15" ht="14.5" customHeight="1" thickBot="1">
      <c r="A60" s="52"/>
      <c r="B60" s="52"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0" s="52" t="s">
        <v>41</v>
      </c>
      <c r="D60" s="52" t="s">
        <v>25</v>
      </c>
      <c r="E60" s="52" t="s">
        <v>15</v>
      </c>
      <c r="F60" s="52" t="s">
        <v>35</v>
      </c>
      <c r="G60" s="52" t="s">
        <v>106</v>
      </c>
      <c r="H60" s="52" t="s">
        <v>97</v>
      </c>
      <c r="I60" s="52" t="s">
        <v>98</v>
      </c>
      <c r="J60" s="52" t="s">
        <v>223</v>
      </c>
      <c r="K60" s="52" t="s">
        <v>187</v>
      </c>
      <c r="L60" s="52" t="s">
        <v>146</v>
      </c>
      <c r="M60" s="52" t="s">
        <v>147</v>
      </c>
      <c r="N60" s="52" t="s">
        <v>176</v>
      </c>
      <c r="O60" s="52"/>
    </row>
    <row r="61" spans="1:15" ht="14.5" customHeight="1">
      <c r="A61" s="45"/>
      <c r="B61" s="45"/>
      <c r="C61" s="45"/>
      <c r="D61" s="45"/>
      <c r="E61" s="45"/>
      <c r="F61" s="45"/>
      <c r="G61" s="45"/>
      <c r="H61" s="45"/>
      <c r="I61" s="45"/>
      <c r="J61" s="45"/>
      <c r="K61" s="45"/>
      <c r="L61" s="45"/>
      <c r="M61" s="45"/>
      <c r="N61" s="45"/>
      <c r="O61" s="45"/>
    </row>
    <row r="62" spans="1:15" ht="20" customHeight="1">
      <c r="A62" s="136" t="s">
        <v>831</v>
      </c>
      <c r="B62" s="136"/>
      <c r="C62" s="136"/>
      <c r="D62" s="136"/>
      <c r="E62" s="136"/>
      <c r="F62" s="136"/>
      <c r="G62" s="136"/>
      <c r="H62" s="136"/>
      <c r="I62" s="136"/>
      <c r="J62" s="136"/>
      <c r="K62" s="136"/>
      <c r="L62" s="136"/>
      <c r="M62" s="136"/>
      <c r="N62" s="136"/>
      <c r="O62" s="136"/>
    </row>
    <row r="63" spans="1:15" ht="14.5" customHeight="1">
      <c r="A63" s="18"/>
      <c r="B63" s="19" t="s">
        <v>314</v>
      </c>
      <c r="C63" s="135" t="s">
        <v>763</v>
      </c>
      <c r="D63" s="135"/>
      <c r="E63" s="135"/>
      <c r="F63" s="135" t="s">
        <v>755</v>
      </c>
      <c r="G63" s="135"/>
      <c r="H63" s="18"/>
      <c r="I63" s="19" t="s">
        <v>314</v>
      </c>
      <c r="J63" s="135" t="s">
        <v>777</v>
      </c>
      <c r="K63" s="135"/>
      <c r="L63" s="135"/>
      <c r="M63" s="135" t="s">
        <v>755</v>
      </c>
      <c r="N63" s="135"/>
      <c r="O63" s="18"/>
    </row>
    <row r="64" spans="1:15" ht="14.5" customHeight="1">
      <c r="A64" s="18"/>
      <c r="B64" s="20">
        <v>1</v>
      </c>
      <c r="C64" s="134" t="s">
        <v>1174</v>
      </c>
      <c r="D64" s="134"/>
      <c r="E64" s="134"/>
      <c r="F64" s="134" t="s">
        <v>840</v>
      </c>
      <c r="G64" s="134"/>
      <c r="H64" s="18"/>
      <c r="I64" s="20">
        <v>11</v>
      </c>
      <c r="J64" s="134" t="s">
        <v>1184</v>
      </c>
      <c r="K64" s="134"/>
      <c r="L64" s="134"/>
      <c r="M64" s="134" t="s">
        <v>840</v>
      </c>
      <c r="N64" s="134"/>
      <c r="O64" s="18"/>
    </row>
    <row r="65" spans="1:15" ht="14.5" customHeight="1">
      <c r="A65" s="18"/>
      <c r="B65" s="20">
        <v>2</v>
      </c>
      <c r="C65" s="134" t="s">
        <v>1185</v>
      </c>
      <c r="D65" s="134"/>
      <c r="E65" s="134"/>
      <c r="F65" s="134" t="s">
        <v>840</v>
      </c>
      <c r="G65" s="134"/>
      <c r="H65" s="18"/>
      <c r="I65" s="20">
        <v>12</v>
      </c>
      <c r="J65" s="134" t="s">
        <v>1175</v>
      </c>
      <c r="K65" s="134"/>
      <c r="L65" s="134"/>
      <c r="M65" s="134" t="s">
        <v>840</v>
      </c>
      <c r="N65" s="134"/>
      <c r="O65" s="18"/>
    </row>
    <row r="66" spans="1:15" ht="14.5" customHeight="1">
      <c r="A66" s="18"/>
      <c r="B66" s="20">
        <v>3</v>
      </c>
      <c r="C66" s="134" t="s">
        <v>1176</v>
      </c>
      <c r="D66" s="134"/>
      <c r="E66" s="134"/>
      <c r="F66" s="134" t="s">
        <v>840</v>
      </c>
      <c r="G66" s="134"/>
      <c r="H66" s="18"/>
      <c r="I66" s="20">
        <v>13</v>
      </c>
      <c r="J66" s="134" t="s">
        <v>1186</v>
      </c>
      <c r="K66" s="134"/>
      <c r="L66" s="134"/>
      <c r="M66" s="134" t="s">
        <v>840</v>
      </c>
      <c r="N66" s="134"/>
      <c r="O66" s="18"/>
    </row>
    <row r="67" spans="1:15" ht="14.5" customHeight="1">
      <c r="A67" s="18"/>
      <c r="B67" s="20">
        <v>4</v>
      </c>
      <c r="C67" s="134" t="s">
        <v>1177</v>
      </c>
      <c r="D67" s="134"/>
      <c r="E67" s="134"/>
      <c r="F67" s="134" t="s">
        <v>841</v>
      </c>
      <c r="G67" s="134"/>
      <c r="H67" s="18"/>
      <c r="I67" s="20">
        <v>14</v>
      </c>
      <c r="J67" s="134" t="s">
        <v>1187</v>
      </c>
      <c r="K67" s="134"/>
      <c r="L67" s="134"/>
      <c r="M67" s="134" t="s">
        <v>841</v>
      </c>
      <c r="N67" s="134"/>
      <c r="O67" s="18"/>
    </row>
    <row r="68" spans="1:15" ht="14.5" customHeight="1">
      <c r="A68" s="18"/>
      <c r="B68" s="20">
        <v>5</v>
      </c>
      <c r="C68" s="134" t="s">
        <v>1178</v>
      </c>
      <c r="D68" s="134"/>
      <c r="E68" s="134"/>
      <c r="F68" s="134" t="s">
        <v>841</v>
      </c>
      <c r="G68" s="134"/>
      <c r="H68" s="18"/>
      <c r="I68" s="20">
        <v>15</v>
      </c>
      <c r="J68" s="134" t="s">
        <v>1188</v>
      </c>
      <c r="K68" s="134"/>
      <c r="L68" s="134"/>
      <c r="M68" s="134" t="s">
        <v>841</v>
      </c>
      <c r="N68" s="134"/>
      <c r="O68" s="18"/>
    </row>
    <row r="69" spans="1:15" ht="14.5" customHeight="1">
      <c r="A69" s="18"/>
      <c r="B69" s="20">
        <v>6</v>
      </c>
      <c r="C69" s="134" t="s">
        <v>1179</v>
      </c>
      <c r="D69" s="134"/>
      <c r="E69" s="134"/>
      <c r="F69" s="134" t="s">
        <v>841</v>
      </c>
      <c r="G69" s="134"/>
      <c r="H69" s="18"/>
      <c r="I69" s="20">
        <v>16</v>
      </c>
      <c r="J69" s="134" t="s">
        <v>1189</v>
      </c>
      <c r="K69" s="134"/>
      <c r="L69" s="134"/>
      <c r="M69" s="134" t="s">
        <v>841</v>
      </c>
      <c r="N69" s="134"/>
      <c r="O69" s="18"/>
    </row>
    <row r="70" spans="1:15" ht="14.5" customHeight="1">
      <c r="A70" s="18"/>
      <c r="B70" s="20">
        <v>7</v>
      </c>
      <c r="C70" s="134" t="s">
        <v>1180</v>
      </c>
      <c r="D70" s="134"/>
      <c r="E70" s="134"/>
      <c r="F70" s="134" t="s">
        <v>841</v>
      </c>
      <c r="G70" s="134"/>
      <c r="H70" s="18"/>
      <c r="I70" s="20">
        <v>17</v>
      </c>
      <c r="J70" s="134" t="s">
        <v>1190</v>
      </c>
      <c r="K70" s="134"/>
      <c r="L70" s="134"/>
      <c r="M70" s="134" t="s">
        <v>841</v>
      </c>
      <c r="N70" s="134"/>
      <c r="O70" s="18"/>
    </row>
    <row r="71" spans="1:15" ht="14.5" customHeight="1">
      <c r="A71" s="18"/>
      <c r="B71" s="20">
        <v>8</v>
      </c>
      <c r="C71" s="134" t="s">
        <v>1181</v>
      </c>
      <c r="D71" s="134"/>
      <c r="E71" s="134"/>
      <c r="F71" s="134" t="s">
        <v>841</v>
      </c>
      <c r="G71" s="134"/>
      <c r="H71" s="18"/>
      <c r="I71" s="20">
        <v>18</v>
      </c>
      <c r="J71" s="134" t="s">
        <v>1191</v>
      </c>
      <c r="K71" s="134"/>
      <c r="L71" s="134"/>
      <c r="M71" s="134" t="s">
        <v>841</v>
      </c>
      <c r="N71" s="134"/>
      <c r="O71" s="18"/>
    </row>
    <row r="72" spans="1:15" ht="14.5" customHeight="1">
      <c r="A72" s="18"/>
      <c r="B72" s="20">
        <v>9</v>
      </c>
      <c r="C72" s="134" t="s">
        <v>1182</v>
      </c>
      <c r="D72" s="134"/>
      <c r="E72" s="134"/>
      <c r="F72" s="134" t="s">
        <v>841</v>
      </c>
      <c r="G72" s="134"/>
      <c r="H72" s="18"/>
      <c r="I72" s="20">
        <v>19</v>
      </c>
      <c r="J72" s="134" t="s">
        <v>1192</v>
      </c>
      <c r="K72" s="134"/>
      <c r="L72" s="134"/>
      <c r="M72" s="134" t="s">
        <v>841</v>
      </c>
      <c r="N72" s="134"/>
      <c r="O72" s="18"/>
    </row>
    <row r="73" spans="1:15" ht="14.5" customHeight="1">
      <c r="A73" s="18"/>
      <c r="B73" s="20">
        <v>10</v>
      </c>
      <c r="C73" s="134" t="s">
        <v>1183</v>
      </c>
      <c r="D73" s="134"/>
      <c r="E73" s="134"/>
      <c r="F73" s="134" t="s">
        <v>841</v>
      </c>
      <c r="G73" s="134"/>
      <c r="H73" s="18"/>
      <c r="I73" s="20">
        <v>20</v>
      </c>
      <c r="J73" s="134" t="s">
        <v>1193</v>
      </c>
      <c r="K73" s="134"/>
      <c r="L73" s="134"/>
      <c r="M73" s="134" t="s">
        <v>847</v>
      </c>
      <c r="N73" s="134"/>
      <c r="O73" s="18"/>
    </row>
    <row r="74" spans="1:15" ht="14.5" customHeight="1">
      <c r="A74" s="18"/>
      <c r="B74" s="18"/>
      <c r="C74" s="18"/>
      <c r="D74" s="18"/>
      <c r="E74" s="18"/>
      <c r="F74" s="18"/>
      <c r="G74" s="18"/>
      <c r="H74" s="18"/>
      <c r="I74" s="18"/>
      <c r="J74" s="18"/>
      <c r="K74" s="18"/>
      <c r="L74" s="18"/>
      <c r="M74" s="18"/>
      <c r="N74" s="18"/>
      <c r="O74" s="18"/>
    </row>
    <row r="75" spans="1:15" ht="14.5" customHeight="1">
      <c r="A75" s="18"/>
      <c r="B75" s="19" t="s">
        <v>314</v>
      </c>
      <c r="C75" s="135" t="s">
        <v>778</v>
      </c>
      <c r="D75" s="135"/>
      <c r="E75" s="135"/>
      <c r="F75" s="135" t="s">
        <v>755</v>
      </c>
      <c r="G75" s="135"/>
      <c r="H75" s="18"/>
      <c r="I75" s="18"/>
      <c r="J75" s="18"/>
      <c r="K75" s="18"/>
      <c r="L75" s="18"/>
      <c r="M75" s="18"/>
      <c r="N75" s="18"/>
      <c r="O75" s="18"/>
    </row>
    <row r="76" spans="1:15" ht="14.5" customHeight="1">
      <c r="A76" s="18"/>
      <c r="B76" s="20">
        <v>21</v>
      </c>
      <c r="C76" s="134" t="s">
        <v>1194</v>
      </c>
      <c r="D76" s="134"/>
      <c r="E76" s="134"/>
      <c r="F76" s="134" t="s">
        <v>840</v>
      </c>
      <c r="G76" s="134"/>
      <c r="H76" s="18"/>
      <c r="I76" s="18"/>
      <c r="J76" s="18"/>
      <c r="K76" s="18"/>
      <c r="L76" s="18"/>
      <c r="M76" s="18"/>
      <c r="N76" s="18"/>
      <c r="O76" s="18"/>
    </row>
    <row r="77" spans="1:15" ht="14.5" customHeight="1">
      <c r="A77" s="18"/>
      <c r="B77" s="20">
        <v>22</v>
      </c>
      <c r="C77" s="134" t="s">
        <v>1195</v>
      </c>
      <c r="D77" s="134"/>
      <c r="E77" s="134"/>
      <c r="F77" s="134" t="s">
        <v>840</v>
      </c>
      <c r="G77" s="134"/>
      <c r="H77" s="18"/>
      <c r="I77" s="18"/>
      <c r="J77" s="18"/>
      <c r="K77" s="18"/>
      <c r="L77" s="18"/>
      <c r="M77" s="18"/>
      <c r="N77" s="18"/>
      <c r="O77" s="18"/>
    </row>
    <row r="78" spans="1:15" ht="14.5" customHeight="1">
      <c r="A78" s="18"/>
      <c r="B78" s="20">
        <v>23</v>
      </c>
      <c r="C78" s="134" t="s">
        <v>1196</v>
      </c>
      <c r="D78" s="134"/>
      <c r="E78" s="134"/>
      <c r="F78" s="134" t="s">
        <v>840</v>
      </c>
      <c r="G78" s="134"/>
      <c r="H78" s="18"/>
      <c r="I78" s="18"/>
      <c r="J78" s="18"/>
      <c r="K78" s="18"/>
      <c r="L78" s="18"/>
      <c r="M78" s="18"/>
      <c r="N78" s="18"/>
      <c r="O78" s="18"/>
    </row>
    <row r="79" spans="1:15" ht="14.5" customHeight="1">
      <c r="A79" s="18"/>
      <c r="B79" s="20">
        <v>24</v>
      </c>
      <c r="C79" s="134" t="s">
        <v>1197</v>
      </c>
      <c r="D79" s="134"/>
      <c r="E79" s="134"/>
      <c r="F79" s="134" t="s">
        <v>841</v>
      </c>
      <c r="G79" s="134"/>
      <c r="H79" s="18"/>
      <c r="I79" s="18"/>
      <c r="J79" s="18"/>
      <c r="K79" s="18"/>
      <c r="L79" s="18"/>
      <c r="M79" s="18"/>
      <c r="N79" s="18"/>
      <c r="O79" s="18"/>
    </row>
    <row r="80" spans="1:15" ht="14.5" customHeight="1">
      <c r="A80" s="18"/>
      <c r="B80" s="20">
        <v>25</v>
      </c>
      <c r="C80" s="134" t="s">
        <v>1198</v>
      </c>
      <c r="D80" s="134"/>
      <c r="E80" s="134"/>
      <c r="F80" s="134" t="s">
        <v>841</v>
      </c>
      <c r="G80" s="134"/>
      <c r="H80" s="18"/>
      <c r="I80" s="18"/>
      <c r="J80" s="18"/>
      <c r="K80" s="18"/>
      <c r="L80" s="18"/>
      <c r="M80" s="18"/>
      <c r="N80" s="18"/>
      <c r="O80" s="18"/>
    </row>
    <row r="81" spans="1:15" ht="14.5" customHeight="1">
      <c r="A81" s="18"/>
      <c r="B81" s="20">
        <v>26</v>
      </c>
      <c r="C81" s="134" t="s">
        <v>1199</v>
      </c>
      <c r="D81" s="134"/>
      <c r="E81" s="134"/>
      <c r="F81" s="134" t="s">
        <v>841</v>
      </c>
      <c r="G81" s="134"/>
      <c r="H81" s="18"/>
      <c r="I81" s="18"/>
      <c r="J81" s="18"/>
      <c r="K81" s="18"/>
      <c r="L81" s="18"/>
      <c r="M81" s="18"/>
      <c r="N81" s="18"/>
      <c r="O81" s="18"/>
    </row>
    <row r="82" spans="1:15" ht="14.5" customHeight="1">
      <c r="A82" s="18"/>
      <c r="B82" s="20">
        <v>27</v>
      </c>
      <c r="C82" s="134" t="s">
        <v>1200</v>
      </c>
      <c r="D82" s="134"/>
      <c r="E82" s="134"/>
      <c r="F82" s="134" t="s">
        <v>841</v>
      </c>
      <c r="G82" s="134"/>
      <c r="H82" s="18"/>
      <c r="I82" s="18"/>
      <c r="J82" s="18"/>
      <c r="K82" s="18"/>
      <c r="L82" s="18"/>
      <c r="M82" s="18"/>
      <c r="N82" s="18"/>
      <c r="O82" s="18"/>
    </row>
    <row r="83" spans="1:15" ht="14.5" customHeight="1">
      <c r="A83" s="18"/>
      <c r="B83" s="20">
        <v>28</v>
      </c>
      <c r="C83" s="134" t="s">
        <v>1201</v>
      </c>
      <c r="D83" s="134"/>
      <c r="E83" s="134"/>
      <c r="F83" s="134" t="s">
        <v>841</v>
      </c>
      <c r="G83" s="134"/>
      <c r="H83" s="18"/>
      <c r="I83" s="18"/>
      <c r="J83" s="18"/>
      <c r="K83" s="18"/>
      <c r="L83" s="18"/>
      <c r="M83" s="18"/>
      <c r="N83" s="18"/>
      <c r="O83" s="18"/>
    </row>
    <row r="84" spans="1:15" ht="14.5" customHeight="1">
      <c r="A84" s="18"/>
      <c r="B84" s="20">
        <v>29</v>
      </c>
      <c r="C84" s="134" t="s">
        <v>1202</v>
      </c>
      <c r="D84" s="134"/>
      <c r="E84" s="134"/>
      <c r="F84" s="134" t="s">
        <v>841</v>
      </c>
      <c r="G84" s="134"/>
      <c r="H84" s="18"/>
      <c r="I84" s="18"/>
      <c r="J84" s="18"/>
      <c r="K84" s="18"/>
      <c r="L84" s="18"/>
      <c r="M84" s="18"/>
      <c r="N84" s="18"/>
      <c r="O84" s="18"/>
    </row>
    <row r="85" spans="1:15" ht="14.5" customHeight="1">
      <c r="A85" s="18"/>
      <c r="B85" s="20">
        <v>30</v>
      </c>
      <c r="C85" s="134" t="s">
        <v>1203</v>
      </c>
      <c r="D85" s="134"/>
      <c r="E85" s="134"/>
      <c r="F85" s="134" t="s">
        <v>847</v>
      </c>
      <c r="G85" s="134"/>
      <c r="H85" s="18"/>
      <c r="I85" s="18"/>
      <c r="J85" s="18"/>
      <c r="K85" s="18"/>
      <c r="L85" s="18"/>
      <c r="M85" s="18"/>
      <c r="N85" s="18"/>
      <c r="O85" s="18"/>
    </row>
    <row r="86" spans="1:15" ht="14.5" customHeight="1">
      <c r="A86" s="18"/>
      <c r="B86" s="18"/>
      <c r="C86" s="18"/>
      <c r="D86" s="18"/>
      <c r="E86" s="18"/>
      <c r="F86" s="18"/>
      <c r="G86" s="18"/>
      <c r="H86" s="18"/>
      <c r="I86" s="18"/>
      <c r="J86" s="18"/>
      <c r="K86" s="18"/>
      <c r="L86" s="18"/>
      <c r="M86" s="18"/>
      <c r="N86" s="18"/>
      <c r="O86" s="18"/>
    </row>
    <row r="87" spans="1:15" ht="14.5" customHeight="1">
      <c r="A87" s="18"/>
      <c r="B87" s="18"/>
      <c r="C87" s="18"/>
      <c r="D87" s="18"/>
      <c r="E87" s="18"/>
      <c r="F87" s="18"/>
      <c r="G87" s="18"/>
      <c r="H87" s="18"/>
      <c r="I87" s="18"/>
      <c r="J87" s="18"/>
      <c r="K87" s="18"/>
      <c r="L87" s="18"/>
      <c r="M87" s="18"/>
      <c r="N87" s="18"/>
      <c r="O87" s="18"/>
    </row>
    <row r="88" spans="1:15" ht="14.5" customHeight="1"/>
    <row r="89" spans="1:15" ht="14.5" customHeight="1"/>
    <row r="90" spans="1:15" ht="14.5" customHeight="1"/>
    <row r="91" spans="1:15" ht="14.5" customHeight="1"/>
    <row r="92" spans="1:15" ht="14.5" customHeight="1"/>
    <row r="93" spans="1:15" ht="14.5" customHeight="1"/>
    <row r="94" spans="1:15" ht="14.5" customHeight="1"/>
    <row r="95" spans="1:15" ht="14.5" customHeight="1"/>
    <row r="96" spans="1:15"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sheetData>
  <mergeCells count="71">
    <mergeCell ref="C63:E63"/>
    <mergeCell ref="F63:G63"/>
    <mergeCell ref="C64:E64"/>
    <mergeCell ref="F64:G64"/>
    <mergeCell ref="C65:E65"/>
    <mergeCell ref="F65:G65"/>
    <mergeCell ref="A1:O1"/>
    <mergeCell ref="C2:F2"/>
    <mergeCell ref="G2:J2"/>
    <mergeCell ref="K2:N2"/>
    <mergeCell ref="A62:O62"/>
    <mergeCell ref="F66:G66"/>
    <mergeCell ref="C67:E67"/>
    <mergeCell ref="F67:G67"/>
    <mergeCell ref="C68:E68"/>
    <mergeCell ref="F68:G68"/>
    <mergeCell ref="C66:E66"/>
    <mergeCell ref="C69:E69"/>
    <mergeCell ref="F69:G69"/>
    <mergeCell ref="C70:E70"/>
    <mergeCell ref="F70:G70"/>
    <mergeCell ref="C71:E71"/>
    <mergeCell ref="F71:G71"/>
    <mergeCell ref="M63:N63"/>
    <mergeCell ref="J64:L64"/>
    <mergeCell ref="M64:N64"/>
    <mergeCell ref="J65:L65"/>
    <mergeCell ref="M65:N65"/>
    <mergeCell ref="J63:L63"/>
    <mergeCell ref="M66:N66"/>
    <mergeCell ref="J67:L67"/>
    <mergeCell ref="M67:N67"/>
    <mergeCell ref="J68:L68"/>
    <mergeCell ref="M68:N68"/>
    <mergeCell ref="J66:L66"/>
    <mergeCell ref="M69:N69"/>
    <mergeCell ref="J70:L70"/>
    <mergeCell ref="M70:N70"/>
    <mergeCell ref="J71:L71"/>
    <mergeCell ref="M71:N71"/>
    <mergeCell ref="J69:L69"/>
    <mergeCell ref="M72:N72"/>
    <mergeCell ref="J73:L73"/>
    <mergeCell ref="M73:N73"/>
    <mergeCell ref="C75:E75"/>
    <mergeCell ref="F75:G75"/>
    <mergeCell ref="C72:E72"/>
    <mergeCell ref="F72:G72"/>
    <mergeCell ref="C73:E73"/>
    <mergeCell ref="F73:G73"/>
    <mergeCell ref="J72:L72"/>
    <mergeCell ref="C76:E76"/>
    <mergeCell ref="F76:G76"/>
    <mergeCell ref="C77:E77"/>
    <mergeCell ref="F77:G77"/>
    <mergeCell ref="C78:E78"/>
    <mergeCell ref="F78:G78"/>
    <mergeCell ref="C79:E79"/>
    <mergeCell ref="F79:G79"/>
    <mergeCell ref="C80:E80"/>
    <mergeCell ref="F80:G80"/>
    <mergeCell ref="C81:E81"/>
    <mergeCell ref="F81:G81"/>
    <mergeCell ref="C85:E85"/>
    <mergeCell ref="F85:G85"/>
    <mergeCell ref="C82:E82"/>
    <mergeCell ref="F82:G82"/>
    <mergeCell ref="C83:E83"/>
    <mergeCell ref="F83:G83"/>
    <mergeCell ref="C84:E84"/>
    <mergeCell ref="F84:G8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4405-01AF-4C82-AEC4-CD9D276C53E8}">
  <dimension ref="A1:O130"/>
  <sheetViews>
    <sheetView showGridLines="0" rightToLeft="1" workbookViewId="0">
      <pane ySplit="3" topLeftCell="A61" activePane="bottomLeft" state="frozen"/>
      <selection pane="bottomLeft" activeCell="F118" sqref="C118:G120"/>
    </sheetView>
  </sheetViews>
  <sheetFormatPr defaultRowHeight="14"/>
  <cols>
    <col min="1" max="1" width="15.83203125" customWidth="1"/>
    <col min="2" max="2" width="17.5" customWidth="1"/>
    <col min="3" max="14" width="13" customWidth="1"/>
    <col min="15" max="15" width="17.5" customWidth="1"/>
  </cols>
  <sheetData>
    <row r="1" spans="1:15" ht="26" customHeight="1">
      <c r="A1" s="119" t="s">
        <v>458</v>
      </c>
      <c r="B1" s="119"/>
      <c r="C1" s="119"/>
      <c r="D1" s="119"/>
      <c r="E1" s="119"/>
      <c r="F1" s="119"/>
      <c r="G1" s="119"/>
      <c r="H1" s="119"/>
      <c r="I1" s="119"/>
      <c r="J1" s="119"/>
      <c r="K1" s="119"/>
      <c r="L1" s="119"/>
      <c r="M1" s="119"/>
      <c r="N1" s="119"/>
      <c r="O1" s="119"/>
    </row>
    <row r="2" spans="1:15" ht="20" customHeight="1">
      <c r="A2" s="49"/>
      <c r="B2" s="49"/>
      <c r="C2" s="137" t="s">
        <v>447</v>
      </c>
      <c r="D2" s="137"/>
      <c r="E2" s="137"/>
      <c r="F2" s="137"/>
      <c r="G2" s="137" t="s">
        <v>448</v>
      </c>
      <c r="H2" s="137"/>
      <c r="I2" s="137"/>
      <c r="J2" s="137"/>
      <c r="K2" s="137" t="s">
        <v>459</v>
      </c>
      <c r="L2" s="137"/>
      <c r="M2" s="137"/>
      <c r="N2" s="137"/>
      <c r="O2" s="49"/>
    </row>
    <row r="3" spans="1:15" ht="32" customHeight="1" thickBot="1">
      <c r="A3" s="49" t="s">
        <v>426</v>
      </c>
      <c r="B3" s="49" t="s">
        <v>7</v>
      </c>
      <c r="C3" s="49" t="s">
        <v>8</v>
      </c>
      <c r="D3" s="49" t="s">
        <v>9</v>
      </c>
      <c r="E3" s="49" t="s">
        <v>84</v>
      </c>
      <c r="F3" s="49" t="s">
        <v>119</v>
      </c>
      <c r="G3" s="49" t="s">
        <v>8</v>
      </c>
      <c r="H3" s="49" t="s">
        <v>9</v>
      </c>
      <c r="I3" s="49" t="s">
        <v>84</v>
      </c>
      <c r="J3" s="49" t="s">
        <v>119</v>
      </c>
      <c r="K3" s="49" t="s">
        <v>8</v>
      </c>
      <c r="L3" s="49" t="s">
        <v>9</v>
      </c>
      <c r="M3" s="49" t="s">
        <v>84</v>
      </c>
      <c r="N3" s="49" t="s">
        <v>119</v>
      </c>
      <c r="O3" s="49" t="s">
        <v>427</v>
      </c>
    </row>
    <row r="4" spans="1:15"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28</v>
      </c>
      <c r="D4" s="51" t="s">
        <v>36</v>
      </c>
      <c r="E4" s="51"/>
      <c r="F4" s="51"/>
      <c r="G4" s="51" t="s">
        <v>299</v>
      </c>
      <c r="H4" s="51" t="s">
        <v>111</v>
      </c>
      <c r="I4" s="51"/>
      <c r="J4" s="51"/>
      <c r="K4" s="51" t="s">
        <v>134</v>
      </c>
      <c r="L4" s="51" t="s">
        <v>176</v>
      </c>
      <c r="M4" s="51" t="s">
        <v>156</v>
      </c>
      <c r="N4" s="51"/>
      <c r="O4" s="51">
        <f>COUNTA(C4:N12)</f>
        <v>62</v>
      </c>
    </row>
    <row r="5" spans="1:15"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49</v>
      </c>
      <c r="D5" s="50" t="s">
        <v>10</v>
      </c>
      <c r="E5" s="50" t="s">
        <v>12</v>
      </c>
      <c r="F5" s="50"/>
      <c r="G5" s="50" t="s">
        <v>116</v>
      </c>
      <c r="H5" s="50" t="s">
        <v>90</v>
      </c>
      <c r="I5" s="50" t="s">
        <v>85</v>
      </c>
      <c r="J5" s="50"/>
      <c r="K5" s="50" t="s">
        <v>147</v>
      </c>
      <c r="L5" s="50" t="s">
        <v>227</v>
      </c>
      <c r="M5" s="50"/>
      <c r="N5" s="50"/>
      <c r="O5" s="50"/>
    </row>
    <row r="6" spans="1:15"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c r="D6" s="47"/>
      <c r="E6" s="47"/>
      <c r="F6" s="47"/>
      <c r="G6" s="47"/>
      <c r="H6" s="47"/>
      <c r="I6" s="47"/>
      <c r="J6" s="47"/>
      <c r="K6" s="47" t="s">
        <v>357</v>
      </c>
      <c r="L6" s="47" t="s">
        <v>269</v>
      </c>
      <c r="M6" s="47"/>
      <c r="N6" s="47"/>
      <c r="O6" s="47"/>
    </row>
    <row r="7" spans="1:15"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48</v>
      </c>
      <c r="D7" s="47" t="s">
        <v>27</v>
      </c>
      <c r="E7" s="47" t="s">
        <v>14</v>
      </c>
      <c r="F7" s="47" t="s">
        <v>15</v>
      </c>
      <c r="G7" s="47" t="s">
        <v>114</v>
      </c>
      <c r="H7" s="47" t="s">
        <v>142</v>
      </c>
      <c r="I7" s="47" t="s">
        <v>75</v>
      </c>
      <c r="J7" s="47" t="s">
        <v>98</v>
      </c>
      <c r="K7" s="47" t="s">
        <v>264</v>
      </c>
      <c r="L7" s="47" t="s">
        <v>163</v>
      </c>
      <c r="M7" s="47" t="s">
        <v>141</v>
      </c>
      <c r="N7" s="47"/>
      <c r="O7" s="47"/>
    </row>
    <row r="8" spans="1:15"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38</v>
      </c>
      <c r="D8" s="47"/>
      <c r="E8" s="47"/>
      <c r="F8" s="47"/>
      <c r="G8" s="47" t="s">
        <v>135</v>
      </c>
      <c r="H8" s="47"/>
      <c r="I8" s="47"/>
      <c r="J8" s="47"/>
      <c r="K8" s="47" t="s">
        <v>229</v>
      </c>
      <c r="L8" s="47" t="s">
        <v>354</v>
      </c>
      <c r="M8" s="47"/>
      <c r="N8" s="47"/>
      <c r="O8" s="47"/>
    </row>
    <row r="9" spans="1:15"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24</v>
      </c>
      <c r="D9" s="47" t="s">
        <v>33</v>
      </c>
      <c r="E9" s="47"/>
      <c r="F9" s="47"/>
      <c r="G9" s="47" t="s">
        <v>224</v>
      </c>
      <c r="H9" s="47" t="s">
        <v>109</v>
      </c>
      <c r="I9" s="47"/>
      <c r="J9" s="47"/>
      <c r="K9" s="47" t="s">
        <v>144</v>
      </c>
      <c r="L9" s="47" t="s">
        <v>190</v>
      </c>
      <c r="M9" s="47"/>
      <c r="N9" s="47"/>
      <c r="O9" s="47"/>
    </row>
    <row r="10" spans="1:15"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51</v>
      </c>
      <c r="D10" s="47" t="s">
        <v>42</v>
      </c>
      <c r="E10" s="47" t="s">
        <v>23</v>
      </c>
      <c r="F10" s="47"/>
      <c r="G10" s="47" t="s">
        <v>115</v>
      </c>
      <c r="H10" s="47" t="s">
        <v>300</v>
      </c>
      <c r="I10" s="47" t="s">
        <v>86</v>
      </c>
      <c r="J10" s="47"/>
      <c r="K10" s="47" t="s">
        <v>352</v>
      </c>
      <c r="L10" s="47" t="s">
        <v>170</v>
      </c>
      <c r="M10" s="47" t="s">
        <v>173</v>
      </c>
      <c r="N10" s="47"/>
      <c r="O10" s="47"/>
    </row>
    <row r="11" spans="1:15"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26</v>
      </c>
      <c r="D11" s="47"/>
      <c r="E11" s="47"/>
      <c r="F11" s="47"/>
      <c r="G11" s="47" t="s">
        <v>96</v>
      </c>
      <c r="H11" s="47"/>
      <c r="I11" s="47"/>
      <c r="J11" s="47"/>
      <c r="K11" s="47" t="s">
        <v>152</v>
      </c>
      <c r="L11" s="47" t="s">
        <v>153</v>
      </c>
      <c r="M11" s="47"/>
      <c r="N11" s="47"/>
      <c r="O11" s="47"/>
    </row>
    <row r="12" spans="1:15"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13</v>
      </c>
      <c r="D12" s="48" t="s">
        <v>32</v>
      </c>
      <c r="E12" s="48" t="s">
        <v>43</v>
      </c>
      <c r="F12" s="48" t="s">
        <v>53</v>
      </c>
      <c r="G12" s="48" t="s">
        <v>99</v>
      </c>
      <c r="H12" s="48" t="s">
        <v>105</v>
      </c>
      <c r="I12" s="48" t="s">
        <v>110</v>
      </c>
      <c r="J12" s="48" t="s">
        <v>249</v>
      </c>
      <c r="K12" s="48" t="s">
        <v>168</v>
      </c>
      <c r="L12" s="48" t="s">
        <v>230</v>
      </c>
      <c r="M12" s="48" t="s">
        <v>236</v>
      </c>
      <c r="N12" s="48"/>
      <c r="O12" s="48"/>
    </row>
    <row r="13" spans="1:15"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19</v>
      </c>
      <c r="D13" s="51" t="s">
        <v>29</v>
      </c>
      <c r="E13" s="51"/>
      <c r="F13" s="51"/>
      <c r="G13" s="51" t="s">
        <v>88</v>
      </c>
      <c r="H13" s="51" t="s">
        <v>112</v>
      </c>
      <c r="I13" s="51"/>
      <c r="J13" s="51"/>
      <c r="K13" s="51" t="s">
        <v>187</v>
      </c>
      <c r="L13" s="51" t="s">
        <v>353</v>
      </c>
      <c r="M13" s="51"/>
      <c r="N13" s="51"/>
      <c r="O13" s="51">
        <f>COUNTA(C13:N21)</f>
        <v>62</v>
      </c>
    </row>
    <row r="14" spans="1:15"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44</v>
      </c>
      <c r="D14" s="50" t="s">
        <v>20</v>
      </c>
      <c r="E14" s="50" t="s">
        <v>46</v>
      </c>
      <c r="F14" s="50"/>
      <c r="G14" s="50" t="s">
        <v>126</v>
      </c>
      <c r="H14" s="50" t="s">
        <v>80</v>
      </c>
      <c r="I14" s="50" t="s">
        <v>118</v>
      </c>
      <c r="J14" s="50"/>
      <c r="K14" s="50" t="s">
        <v>131</v>
      </c>
      <c r="L14" s="50"/>
      <c r="M14" s="50"/>
      <c r="N14" s="50"/>
      <c r="O14" s="50"/>
    </row>
    <row r="15" spans="1:15"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c r="D15" s="47"/>
      <c r="E15" s="47"/>
      <c r="F15" s="47"/>
      <c r="G15" s="47"/>
      <c r="H15" s="47"/>
      <c r="I15" s="47"/>
      <c r="J15" s="47"/>
      <c r="K15" s="47" t="s">
        <v>228</v>
      </c>
      <c r="L15" s="47" t="s">
        <v>149</v>
      </c>
      <c r="M15" s="47" t="s">
        <v>355</v>
      </c>
      <c r="N15" s="47" t="s">
        <v>164</v>
      </c>
      <c r="O15" s="47"/>
    </row>
    <row r="16" spans="1:15"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31</v>
      </c>
      <c r="D16" s="47" t="s">
        <v>17</v>
      </c>
      <c r="E16" s="47" t="s">
        <v>30</v>
      </c>
      <c r="F16" s="47" t="s">
        <v>50</v>
      </c>
      <c r="G16" s="47" t="s">
        <v>102</v>
      </c>
      <c r="H16" s="47" t="s">
        <v>82</v>
      </c>
      <c r="I16" s="47" t="s">
        <v>94</v>
      </c>
      <c r="J16" s="47" t="s">
        <v>117</v>
      </c>
      <c r="K16" s="47" t="s">
        <v>124</v>
      </c>
      <c r="L16" s="47"/>
      <c r="M16" s="47"/>
      <c r="N16" s="47"/>
      <c r="O16" s="47"/>
    </row>
    <row r="17" spans="1:15"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39</v>
      </c>
      <c r="D17" s="47"/>
      <c r="E17" s="47"/>
      <c r="F17" s="47"/>
      <c r="G17" s="47" t="s">
        <v>107</v>
      </c>
      <c r="H17" s="47"/>
      <c r="I17" s="47"/>
      <c r="J17" s="47"/>
      <c r="K17" s="47" t="s">
        <v>260</v>
      </c>
      <c r="L17" s="47" t="s">
        <v>265</v>
      </c>
      <c r="M17" s="47" t="s">
        <v>159</v>
      </c>
      <c r="N17" s="47" t="s">
        <v>160</v>
      </c>
      <c r="O17" s="47"/>
    </row>
    <row r="18" spans="1:15"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25</v>
      </c>
      <c r="D18" s="47" t="s">
        <v>35</v>
      </c>
      <c r="E18" s="47" t="s">
        <v>54</v>
      </c>
      <c r="F18" s="47"/>
      <c r="G18" s="47" t="s">
        <v>97</v>
      </c>
      <c r="H18" s="47" t="s">
        <v>223</v>
      </c>
      <c r="I18" s="47" t="s">
        <v>226</v>
      </c>
      <c r="J18" s="47"/>
      <c r="K18" s="47" t="s">
        <v>180</v>
      </c>
      <c r="L18" s="47"/>
      <c r="M18" s="47"/>
      <c r="N18" s="47"/>
      <c r="O18" s="47"/>
    </row>
    <row r="19" spans="1:15"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41</v>
      </c>
      <c r="E19" s="47"/>
      <c r="F19" s="47"/>
      <c r="G19" s="47" t="s">
        <v>139</v>
      </c>
      <c r="H19" s="47" t="s">
        <v>106</v>
      </c>
      <c r="I19" s="47"/>
      <c r="J19" s="47"/>
      <c r="K19" s="47" t="s">
        <v>231</v>
      </c>
      <c r="L19" s="47" t="s">
        <v>257</v>
      </c>
      <c r="M19" s="47" t="s">
        <v>232</v>
      </c>
      <c r="N19" s="47" t="s">
        <v>158</v>
      </c>
      <c r="O19" s="47"/>
    </row>
    <row r="20" spans="1:15"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52</v>
      </c>
      <c r="D20" s="47"/>
      <c r="E20" s="47"/>
      <c r="F20" s="47"/>
      <c r="G20" s="47" t="s">
        <v>130</v>
      </c>
      <c r="H20" s="47"/>
      <c r="I20" s="47"/>
      <c r="J20" s="47"/>
      <c r="K20" s="47" t="s">
        <v>258</v>
      </c>
      <c r="L20" s="47"/>
      <c r="M20" s="47"/>
      <c r="N20" s="47"/>
      <c r="O20" s="47"/>
    </row>
    <row r="21" spans="1:15"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34</v>
      </c>
      <c r="D21" s="48" t="s">
        <v>40</v>
      </c>
      <c r="E21" s="48" t="s">
        <v>21</v>
      </c>
      <c r="F21" s="48" t="s">
        <v>16</v>
      </c>
      <c r="G21" s="48" t="s">
        <v>103</v>
      </c>
      <c r="H21" s="48" t="s">
        <v>108</v>
      </c>
      <c r="I21" s="48" t="s">
        <v>83</v>
      </c>
      <c r="J21" s="48" t="s">
        <v>222</v>
      </c>
      <c r="K21" s="48" t="s">
        <v>143</v>
      </c>
      <c r="L21" s="48" t="s">
        <v>192</v>
      </c>
      <c r="M21" s="48" t="s">
        <v>191</v>
      </c>
      <c r="N21" s="48" t="s">
        <v>356</v>
      </c>
      <c r="O21" s="48"/>
    </row>
    <row r="22" spans="1:15"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18</v>
      </c>
      <c r="D22" s="51" t="s">
        <v>37</v>
      </c>
      <c r="E22" s="51" t="s">
        <v>47</v>
      </c>
      <c r="F22" s="51" t="s">
        <v>22</v>
      </c>
      <c r="G22" s="51" t="s">
        <v>89</v>
      </c>
      <c r="H22" s="51" t="s">
        <v>104</v>
      </c>
      <c r="I22" s="51" t="s">
        <v>302</v>
      </c>
      <c r="J22" s="51" t="s">
        <v>91</v>
      </c>
      <c r="K22" s="51" t="s">
        <v>165</v>
      </c>
      <c r="L22" s="51" t="s">
        <v>254</v>
      </c>
      <c r="M22" s="51"/>
      <c r="N22" s="51"/>
      <c r="O22" s="51">
        <f>COUNTA(C22:N31)</f>
        <v>62</v>
      </c>
    </row>
    <row r="23" spans="1:15"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45</v>
      </c>
      <c r="D23" s="50"/>
      <c r="E23" s="50"/>
      <c r="F23" s="50"/>
      <c r="G23" s="50" t="s">
        <v>140</v>
      </c>
      <c r="H23" s="50"/>
      <c r="I23" s="50"/>
      <c r="J23" s="50"/>
      <c r="K23" s="50" t="s">
        <v>162</v>
      </c>
      <c r="L23" s="50" t="s">
        <v>146</v>
      </c>
      <c r="M23" s="50"/>
      <c r="N23" s="50"/>
      <c r="O23" s="50"/>
    </row>
    <row r="24" spans="1:15"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46</v>
      </c>
      <c r="D24" s="47" t="s">
        <v>36</v>
      </c>
      <c r="E24" s="47" t="s">
        <v>10</v>
      </c>
      <c r="F24" s="47"/>
      <c r="G24" s="47" t="s">
        <v>118</v>
      </c>
      <c r="H24" s="47" t="s">
        <v>111</v>
      </c>
      <c r="I24" s="47" t="s">
        <v>90</v>
      </c>
      <c r="J24" s="47"/>
      <c r="K24" s="47" t="s">
        <v>259</v>
      </c>
      <c r="L24" s="47" t="s">
        <v>155</v>
      </c>
      <c r="M24" s="47" t="s">
        <v>137</v>
      </c>
      <c r="N24" s="47"/>
      <c r="O24" s="47"/>
    </row>
    <row r="25" spans="1:15"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38</v>
      </c>
      <c r="D25" s="47" t="s">
        <v>26</v>
      </c>
      <c r="E25" s="47"/>
      <c r="F25" s="47"/>
      <c r="G25" s="47" t="s">
        <v>135</v>
      </c>
      <c r="H25" s="47" t="s">
        <v>96</v>
      </c>
      <c r="I25" s="47"/>
      <c r="J25" s="47"/>
      <c r="K25" s="47" t="s">
        <v>157</v>
      </c>
      <c r="L25" s="47"/>
      <c r="M25" s="47"/>
      <c r="N25" s="47"/>
      <c r="O25" s="47"/>
    </row>
    <row r="26" spans="1:15"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20</v>
      </c>
      <c r="D26" s="47" t="s">
        <v>32</v>
      </c>
      <c r="E26" s="47"/>
      <c r="F26" s="47"/>
      <c r="G26" s="47" t="s">
        <v>80</v>
      </c>
      <c r="H26" s="47" t="s">
        <v>105</v>
      </c>
      <c r="I26" s="47"/>
      <c r="J26" s="47"/>
      <c r="K26" s="47" t="s">
        <v>161</v>
      </c>
      <c r="L26" s="47" t="s">
        <v>138</v>
      </c>
      <c r="M26" s="47" t="s">
        <v>148</v>
      </c>
      <c r="N26" s="47"/>
      <c r="O26" s="47"/>
    </row>
    <row r="27" spans="1:15"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52</v>
      </c>
      <c r="D27" s="47" t="s">
        <v>13</v>
      </c>
      <c r="E27" s="47" t="s">
        <v>40</v>
      </c>
      <c r="F27" s="47"/>
      <c r="G27" s="47" t="s">
        <v>130</v>
      </c>
      <c r="H27" s="47" t="s">
        <v>99</v>
      </c>
      <c r="I27" s="47" t="s">
        <v>108</v>
      </c>
      <c r="J27" s="47"/>
      <c r="K27" s="47" t="s">
        <v>352</v>
      </c>
      <c r="L27" s="47" t="s">
        <v>163</v>
      </c>
      <c r="M27" s="47"/>
      <c r="N27" s="47"/>
      <c r="O27" s="47"/>
    </row>
    <row r="28" spans="1:15"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11</v>
      </c>
      <c r="D28" s="47"/>
      <c r="E28" s="47"/>
      <c r="F28" s="47"/>
      <c r="G28" s="47" t="s">
        <v>139</v>
      </c>
      <c r="H28" s="47"/>
      <c r="I28" s="47"/>
      <c r="J28" s="47"/>
      <c r="K28" s="47" t="s">
        <v>149</v>
      </c>
      <c r="L28" s="47" t="s">
        <v>265</v>
      </c>
      <c r="M28" s="47" t="s">
        <v>357</v>
      </c>
      <c r="N28" s="47"/>
      <c r="O28" s="47"/>
    </row>
    <row r="29" spans="1:15"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51</v>
      </c>
      <c r="D29" s="47" t="s">
        <v>24</v>
      </c>
      <c r="E29" s="47" t="s">
        <v>41</v>
      </c>
      <c r="F29" s="47" t="s">
        <v>33</v>
      </c>
      <c r="G29" s="47" t="s">
        <v>115</v>
      </c>
      <c r="H29" s="47" t="s">
        <v>224</v>
      </c>
      <c r="I29" s="47" t="s">
        <v>106</v>
      </c>
      <c r="J29" s="47" t="s">
        <v>109</v>
      </c>
      <c r="K29" s="47" t="s">
        <v>264</v>
      </c>
      <c r="L29" s="47"/>
      <c r="M29" s="47"/>
      <c r="N29" s="47"/>
      <c r="O29" s="47"/>
    </row>
    <row r="30" spans="1:15" ht="14.5" customHeight="1">
      <c r="A30" s="47"/>
      <c r="B3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7"/>
      <c r="D30" s="47"/>
      <c r="E30" s="47"/>
      <c r="F30" s="47"/>
      <c r="G30" s="47"/>
      <c r="H30" s="47"/>
      <c r="I30" s="47"/>
      <c r="J30" s="47"/>
      <c r="K30" s="47" t="s">
        <v>232</v>
      </c>
      <c r="L30" s="47" t="s">
        <v>229</v>
      </c>
      <c r="M30" s="47" t="s">
        <v>141</v>
      </c>
      <c r="N30" s="47" t="s">
        <v>257</v>
      </c>
      <c r="O30" s="47"/>
    </row>
    <row r="31" spans="1:15" ht="14.5" customHeight="1" thickBot="1">
      <c r="A31" s="48"/>
      <c r="B3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31" s="48"/>
      <c r="D31" s="48"/>
      <c r="E31" s="48"/>
      <c r="F31" s="48"/>
      <c r="G31" s="48"/>
      <c r="H31" s="48"/>
      <c r="I31" s="48"/>
      <c r="J31" s="48"/>
      <c r="K31" s="48" t="s">
        <v>258</v>
      </c>
      <c r="L31" s="48"/>
      <c r="M31" s="48"/>
      <c r="N31" s="48"/>
      <c r="O31" s="48"/>
    </row>
    <row r="32" spans="1:15" ht="14.5" customHeight="1">
      <c r="A32" s="51" t="s">
        <v>431</v>
      </c>
      <c r="B3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2" s="51" t="s">
        <v>16</v>
      </c>
      <c r="D32" s="51" t="s">
        <v>47</v>
      </c>
      <c r="E32" s="51" t="s">
        <v>29</v>
      </c>
      <c r="F32" s="51" t="s">
        <v>39</v>
      </c>
      <c r="G32" s="51" t="s">
        <v>222</v>
      </c>
      <c r="H32" s="51" t="s">
        <v>302</v>
      </c>
      <c r="I32" s="51" t="s">
        <v>112</v>
      </c>
      <c r="J32" s="51" t="s">
        <v>107</v>
      </c>
      <c r="K32" s="51" t="s">
        <v>153</v>
      </c>
      <c r="L32" s="51"/>
      <c r="M32" s="51"/>
      <c r="N32" s="51"/>
      <c r="O32" s="51">
        <f>COUNTA(C32:N41)</f>
        <v>62</v>
      </c>
    </row>
    <row r="33" spans="1:15" ht="14.5" customHeight="1">
      <c r="A33" s="50"/>
      <c r="B3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3" s="50" t="s">
        <v>31</v>
      </c>
      <c r="D33" s="50"/>
      <c r="E33" s="50"/>
      <c r="F33" s="50"/>
      <c r="G33" s="50" t="s">
        <v>102</v>
      </c>
      <c r="H33" s="50"/>
      <c r="I33" s="50"/>
      <c r="J33" s="50"/>
      <c r="K33" s="50" t="s">
        <v>355</v>
      </c>
      <c r="L33" s="50" t="s">
        <v>230</v>
      </c>
      <c r="M33" s="50"/>
      <c r="N33" s="50"/>
      <c r="O33" s="50"/>
    </row>
    <row r="34" spans="1:15" ht="14.5" customHeight="1">
      <c r="A34" s="47"/>
      <c r="B3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4" s="47" t="s">
        <v>14</v>
      </c>
      <c r="D34" s="47" t="s">
        <v>45</v>
      </c>
      <c r="E34" s="47" t="s">
        <v>53</v>
      </c>
      <c r="F34" s="47"/>
      <c r="G34" s="47" t="s">
        <v>75</v>
      </c>
      <c r="H34" s="47" t="s">
        <v>140</v>
      </c>
      <c r="I34" s="47" t="s">
        <v>249</v>
      </c>
      <c r="J34" s="47"/>
      <c r="K34" s="47" t="s">
        <v>131</v>
      </c>
      <c r="L34" s="47"/>
      <c r="M34" s="47"/>
      <c r="N34" s="47"/>
      <c r="O34" s="47"/>
    </row>
    <row r="35" spans="1:15" ht="14.5" customHeight="1">
      <c r="A35" s="47"/>
      <c r="B3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5" s="47" t="s">
        <v>37</v>
      </c>
      <c r="D35" s="47" t="s">
        <v>12</v>
      </c>
      <c r="E35" s="47"/>
      <c r="F35" s="47"/>
      <c r="G35" s="47" t="s">
        <v>104</v>
      </c>
      <c r="H35" s="47" t="s">
        <v>85</v>
      </c>
      <c r="I35" s="47"/>
      <c r="J35" s="47"/>
      <c r="K35" s="47" t="s">
        <v>353</v>
      </c>
      <c r="L35" s="47" t="s">
        <v>191</v>
      </c>
      <c r="M35" s="47" t="s">
        <v>158</v>
      </c>
      <c r="N35" s="47" t="s">
        <v>269</v>
      </c>
      <c r="O35" s="47"/>
    </row>
    <row r="36" spans="1:15" ht="14.5" customHeight="1">
      <c r="A36" s="47"/>
      <c r="B3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6" s="47" t="s">
        <v>25</v>
      </c>
      <c r="D36" s="47" t="s">
        <v>42</v>
      </c>
      <c r="E36" s="47"/>
      <c r="F36" s="47"/>
      <c r="G36" s="47" t="s">
        <v>97</v>
      </c>
      <c r="H36" s="47" t="s">
        <v>300</v>
      </c>
      <c r="I36" s="47"/>
      <c r="J36" s="47"/>
      <c r="K36" s="47" t="s">
        <v>176</v>
      </c>
      <c r="L36" s="47"/>
      <c r="M36" s="47"/>
      <c r="N36" s="47"/>
      <c r="O36" s="47"/>
    </row>
    <row r="37" spans="1:15" ht="14.5" customHeight="1">
      <c r="A37" s="47"/>
      <c r="B3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7" s="47" t="s">
        <v>23</v>
      </c>
      <c r="D37" s="47" t="s">
        <v>54</v>
      </c>
      <c r="E37" s="47" t="s">
        <v>35</v>
      </c>
      <c r="F37" s="47"/>
      <c r="G37" s="47" t="s">
        <v>86</v>
      </c>
      <c r="H37" s="47" t="s">
        <v>226</v>
      </c>
      <c r="I37" s="47" t="s">
        <v>223</v>
      </c>
      <c r="J37" s="47"/>
      <c r="K37" s="47" t="s">
        <v>146</v>
      </c>
      <c r="L37" s="47" t="s">
        <v>259</v>
      </c>
      <c r="M37" s="47" t="s">
        <v>187</v>
      </c>
      <c r="N37" s="47" t="s">
        <v>354</v>
      </c>
      <c r="O37" s="47"/>
    </row>
    <row r="38" spans="1:15" ht="14.5" customHeight="1">
      <c r="A38" s="47"/>
      <c r="B3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8" s="47" t="s">
        <v>43</v>
      </c>
      <c r="D38" s="47"/>
      <c r="E38" s="47"/>
      <c r="F38" s="47"/>
      <c r="G38" s="47" t="s">
        <v>110</v>
      </c>
      <c r="H38" s="47"/>
      <c r="I38" s="47"/>
      <c r="J38" s="47"/>
      <c r="K38" s="47" t="s">
        <v>190</v>
      </c>
      <c r="L38" s="47"/>
      <c r="M38" s="47"/>
      <c r="N38" s="47"/>
      <c r="O38" s="47"/>
    </row>
    <row r="39" spans="1:15" ht="14.5" customHeight="1">
      <c r="A39" s="47"/>
      <c r="B3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9" s="47" t="s">
        <v>18</v>
      </c>
      <c r="D39" s="47" t="s">
        <v>27</v>
      </c>
      <c r="E39" s="47" t="s">
        <v>48</v>
      </c>
      <c r="F39" s="47" t="s">
        <v>22</v>
      </c>
      <c r="G39" s="47" t="s">
        <v>89</v>
      </c>
      <c r="H39" s="47" t="s">
        <v>142</v>
      </c>
      <c r="I39" s="47" t="s">
        <v>114</v>
      </c>
      <c r="J39" s="47" t="s">
        <v>91</v>
      </c>
      <c r="K39" s="47" t="s">
        <v>156</v>
      </c>
      <c r="L39" s="47" t="s">
        <v>164</v>
      </c>
      <c r="M39" s="47" t="s">
        <v>236</v>
      </c>
      <c r="N39" s="47"/>
      <c r="O39" s="47"/>
    </row>
    <row r="40" spans="1:15" ht="14.5" customHeight="1">
      <c r="A40" s="47"/>
      <c r="B4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0" s="47"/>
      <c r="D40" s="47"/>
      <c r="E40" s="47"/>
      <c r="F40" s="47"/>
      <c r="G40" s="47"/>
      <c r="H40" s="47"/>
      <c r="I40" s="47"/>
      <c r="J40" s="47"/>
      <c r="K40" s="47" t="s">
        <v>134</v>
      </c>
      <c r="L40" s="47" t="s">
        <v>148</v>
      </c>
      <c r="M40" s="47"/>
      <c r="N40" s="47"/>
      <c r="O40" s="47"/>
    </row>
    <row r="41" spans="1:15" ht="14.5" customHeight="1" thickBot="1">
      <c r="A41" s="48"/>
      <c r="B4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41" s="48"/>
      <c r="D41" s="48"/>
      <c r="E41" s="48"/>
      <c r="F41" s="48"/>
      <c r="G41" s="48"/>
      <c r="H41" s="48"/>
      <c r="I41" s="48"/>
      <c r="J41" s="48"/>
      <c r="K41" s="48" t="s">
        <v>168</v>
      </c>
      <c r="L41" s="48" t="s">
        <v>173</v>
      </c>
      <c r="M41" s="48" t="s">
        <v>159</v>
      </c>
      <c r="N41" s="48"/>
      <c r="O41" s="48"/>
    </row>
    <row r="42" spans="1:15" ht="14.5" customHeight="1">
      <c r="A42" s="51" t="s">
        <v>432</v>
      </c>
      <c r="B4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2" s="51" t="s">
        <v>49</v>
      </c>
      <c r="D42" s="51" t="s">
        <v>19</v>
      </c>
      <c r="E42" s="51"/>
      <c r="F42" s="51"/>
      <c r="G42" s="51" t="s">
        <v>116</v>
      </c>
      <c r="H42" s="51" t="s">
        <v>88</v>
      </c>
      <c r="I42" s="51"/>
      <c r="J42" s="51"/>
      <c r="K42" s="51" t="s">
        <v>137</v>
      </c>
      <c r="L42" s="51"/>
      <c r="M42" s="51"/>
      <c r="N42" s="51"/>
      <c r="O42" s="51">
        <f>COUNTA(C42:N51)</f>
        <v>62</v>
      </c>
    </row>
    <row r="43" spans="1:15" ht="14.5" customHeight="1">
      <c r="A43" s="50"/>
      <c r="B4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3" s="50" t="s">
        <v>30</v>
      </c>
      <c r="D43" s="50" t="s">
        <v>21</v>
      </c>
      <c r="E43" s="50" t="s">
        <v>34</v>
      </c>
      <c r="F43" s="50"/>
      <c r="G43" s="50" t="s">
        <v>94</v>
      </c>
      <c r="H43" s="50" t="s">
        <v>83</v>
      </c>
      <c r="I43" s="50" t="s">
        <v>103</v>
      </c>
      <c r="J43" s="50"/>
      <c r="K43" s="50" t="s">
        <v>162</v>
      </c>
      <c r="L43" s="50" t="s">
        <v>147</v>
      </c>
      <c r="M43" s="50"/>
      <c r="N43" s="50"/>
      <c r="O43" s="50"/>
    </row>
    <row r="44" spans="1:15" ht="14.5" customHeight="1">
      <c r="A44" s="47"/>
      <c r="B4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4" s="47" t="s">
        <v>50</v>
      </c>
      <c r="D44" s="47"/>
      <c r="E44" s="47"/>
      <c r="F44" s="47"/>
      <c r="G44" s="47" t="s">
        <v>117</v>
      </c>
      <c r="H44" s="47"/>
      <c r="I44" s="47"/>
      <c r="J44" s="47"/>
      <c r="K44" s="47" t="s">
        <v>356</v>
      </c>
      <c r="L44" s="47" t="s">
        <v>152</v>
      </c>
      <c r="M44" s="47"/>
      <c r="N44" s="47"/>
      <c r="O44" s="47"/>
    </row>
    <row r="45" spans="1:15" ht="14.5" customHeight="1">
      <c r="A45" s="47"/>
      <c r="B4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5" s="47" t="s">
        <v>44</v>
      </c>
      <c r="D45" s="47" t="s">
        <v>28</v>
      </c>
      <c r="E45" s="47" t="s">
        <v>15</v>
      </c>
      <c r="F45" s="47" t="s">
        <v>17</v>
      </c>
      <c r="G45" s="47" t="s">
        <v>126</v>
      </c>
      <c r="H45" s="47" t="s">
        <v>299</v>
      </c>
      <c r="I45" s="47" t="s">
        <v>98</v>
      </c>
      <c r="J45" s="47" t="s">
        <v>82</v>
      </c>
      <c r="K45" s="47" t="s">
        <v>260</v>
      </c>
      <c r="L45" s="47" t="s">
        <v>157</v>
      </c>
      <c r="M45" s="47" t="s">
        <v>155</v>
      </c>
      <c r="N45" s="47"/>
      <c r="O45" s="47"/>
    </row>
    <row r="46" spans="1:15" ht="14.5" customHeight="1">
      <c r="A46" s="47"/>
      <c r="B4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6" s="47"/>
      <c r="D46" s="47"/>
      <c r="E46" s="47"/>
      <c r="F46" s="47"/>
      <c r="G46" s="47"/>
      <c r="H46" s="47"/>
      <c r="I46" s="47"/>
      <c r="J46" s="47"/>
      <c r="K46" s="47" t="s">
        <v>138</v>
      </c>
      <c r="L46" s="47"/>
      <c r="M46" s="47"/>
      <c r="N46" s="47"/>
      <c r="O46" s="47"/>
    </row>
    <row r="47" spans="1:15" ht="14.5" customHeight="1">
      <c r="A47" s="47"/>
      <c r="B4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7" s="47" t="s">
        <v>52</v>
      </c>
      <c r="D47" s="47" t="s">
        <v>38</v>
      </c>
      <c r="E47" s="47" t="s">
        <v>37</v>
      </c>
      <c r="F47" s="47" t="s">
        <v>20</v>
      </c>
      <c r="G47" s="47" t="s">
        <v>130</v>
      </c>
      <c r="H47" s="47" t="s">
        <v>135</v>
      </c>
      <c r="I47" s="47" t="s">
        <v>104</v>
      </c>
      <c r="J47" s="47" t="s">
        <v>80</v>
      </c>
      <c r="K47" s="47" t="s">
        <v>161</v>
      </c>
      <c r="L47" s="47" t="s">
        <v>180</v>
      </c>
      <c r="M47" s="47" t="s">
        <v>160</v>
      </c>
      <c r="N47" s="47" t="s">
        <v>254</v>
      </c>
      <c r="O47" s="47"/>
    </row>
    <row r="48" spans="1:15" ht="14.5" customHeight="1">
      <c r="A48" s="47"/>
      <c r="B4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8" s="47" t="s">
        <v>18</v>
      </c>
      <c r="D48" s="47"/>
      <c r="E48" s="47"/>
      <c r="F48" s="47"/>
      <c r="G48" s="47" t="s">
        <v>89</v>
      </c>
      <c r="H48" s="47"/>
      <c r="I48" s="47"/>
      <c r="J48" s="47"/>
      <c r="K48" s="47" t="s">
        <v>144</v>
      </c>
      <c r="L48" s="47"/>
      <c r="M48" s="47"/>
      <c r="N48" s="47"/>
      <c r="O48" s="47"/>
    </row>
    <row r="49" spans="1:15" ht="14.5" customHeight="1">
      <c r="A49" s="47"/>
      <c r="B4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9" s="47" t="s">
        <v>13</v>
      </c>
      <c r="D49" s="47" t="s">
        <v>36</v>
      </c>
      <c r="E49" s="47"/>
      <c r="F49" s="47"/>
      <c r="G49" s="47" t="s">
        <v>99</v>
      </c>
      <c r="H49" s="47" t="s">
        <v>111</v>
      </c>
      <c r="I49" s="47"/>
      <c r="J49" s="47"/>
      <c r="K49" s="47" t="s">
        <v>192</v>
      </c>
      <c r="L49" s="47" t="s">
        <v>170</v>
      </c>
      <c r="M49" s="47" t="s">
        <v>228</v>
      </c>
      <c r="N49" s="47" t="s">
        <v>143</v>
      </c>
      <c r="O49" s="47"/>
    </row>
    <row r="50" spans="1:15" ht="14.5" customHeight="1">
      <c r="A50" s="47"/>
      <c r="B5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0" s="47" t="s">
        <v>39</v>
      </c>
      <c r="D50" s="47" t="s">
        <v>26</v>
      </c>
      <c r="E50" s="47" t="s">
        <v>47</v>
      </c>
      <c r="F50" s="47"/>
      <c r="G50" s="47" t="s">
        <v>107</v>
      </c>
      <c r="H50" s="47" t="s">
        <v>96</v>
      </c>
      <c r="I50" s="47" t="s">
        <v>302</v>
      </c>
      <c r="J50" s="47"/>
      <c r="K50" s="47" t="s">
        <v>124</v>
      </c>
      <c r="L50" s="47"/>
      <c r="M50" s="47"/>
      <c r="N50" s="47"/>
      <c r="O50" s="47"/>
    </row>
    <row r="51" spans="1:15" ht="14.5" customHeight="1" thickBot="1">
      <c r="A51" s="48"/>
      <c r="B5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51" s="48"/>
      <c r="D51" s="48"/>
      <c r="E51" s="48"/>
      <c r="F51" s="48"/>
      <c r="G51" s="48"/>
      <c r="H51" s="48"/>
      <c r="I51" s="48"/>
      <c r="J51" s="48"/>
      <c r="K51" s="48" t="s">
        <v>227</v>
      </c>
      <c r="L51" s="48" t="s">
        <v>165</v>
      </c>
      <c r="M51" s="48" t="s">
        <v>231</v>
      </c>
      <c r="N51" s="48"/>
      <c r="O51" s="48"/>
    </row>
    <row r="52" spans="1:15" ht="14.5" customHeight="1">
      <c r="A52" s="51" t="s">
        <v>434</v>
      </c>
      <c r="B5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2" s="51" t="s">
        <v>12</v>
      </c>
      <c r="D52" s="51" t="s">
        <v>34</v>
      </c>
      <c r="E52" s="51" t="s">
        <v>45</v>
      </c>
      <c r="F52" s="51"/>
      <c r="G52" s="51" t="s">
        <v>85</v>
      </c>
      <c r="H52" s="51" t="s">
        <v>103</v>
      </c>
      <c r="I52" s="51" t="s">
        <v>140</v>
      </c>
      <c r="J52" s="51"/>
      <c r="K52" s="51" t="s">
        <v>173</v>
      </c>
      <c r="L52" s="51"/>
      <c r="M52" s="51"/>
      <c r="N52" s="51"/>
      <c r="O52" s="51">
        <f>COUNTA(C52:N61)</f>
        <v>62</v>
      </c>
    </row>
    <row r="53" spans="1:15" ht="14.5" customHeight="1">
      <c r="A53" s="50"/>
      <c r="B5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3" s="50" t="s">
        <v>50</v>
      </c>
      <c r="D53" s="50" t="s">
        <v>11</v>
      </c>
      <c r="E53" s="50"/>
      <c r="F53" s="50"/>
      <c r="G53" s="50" t="s">
        <v>117</v>
      </c>
      <c r="H53" s="50" t="s">
        <v>139</v>
      </c>
      <c r="I53" s="50"/>
      <c r="J53" s="50"/>
      <c r="K53" s="50" t="s">
        <v>159</v>
      </c>
      <c r="L53" s="50" t="s">
        <v>168</v>
      </c>
      <c r="M53" s="50" t="s">
        <v>134</v>
      </c>
      <c r="N53" s="50"/>
      <c r="O53" s="50"/>
    </row>
    <row r="54" spans="1:15" ht="14.5" customHeight="1">
      <c r="A54" s="47"/>
      <c r="B5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4" s="47" t="s">
        <v>33</v>
      </c>
      <c r="D54" s="47" t="s">
        <v>17</v>
      </c>
      <c r="E54" s="47" t="s">
        <v>40</v>
      </c>
      <c r="F54" s="47"/>
      <c r="G54" s="47" t="s">
        <v>109</v>
      </c>
      <c r="H54" s="47" t="s">
        <v>82</v>
      </c>
      <c r="I54" s="47" t="s">
        <v>108</v>
      </c>
      <c r="J54" s="47"/>
      <c r="K54" s="47" t="s">
        <v>162</v>
      </c>
      <c r="L54" s="47"/>
      <c r="M54" s="47"/>
      <c r="N54" s="47"/>
      <c r="O54" s="47"/>
    </row>
    <row r="55" spans="1:15" ht="14.5" customHeight="1">
      <c r="A55" s="47"/>
      <c r="B5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5" s="47" t="s">
        <v>23</v>
      </c>
      <c r="D55" s="47" t="s">
        <v>53</v>
      </c>
      <c r="E55" s="47"/>
      <c r="F55" s="47"/>
      <c r="G55" s="47" t="s">
        <v>86</v>
      </c>
      <c r="H55" s="47" t="s">
        <v>249</v>
      </c>
      <c r="I55" s="47"/>
      <c r="J55" s="47"/>
      <c r="K55" s="47" t="s">
        <v>236</v>
      </c>
      <c r="L55" s="47" t="s">
        <v>356</v>
      </c>
      <c r="M55" s="47" t="s">
        <v>258</v>
      </c>
      <c r="N55" s="47" t="s">
        <v>254</v>
      </c>
      <c r="O55" s="47"/>
    </row>
    <row r="56" spans="1:15" ht="14.5" customHeight="1">
      <c r="A56" s="47"/>
      <c r="B5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6" s="47" t="s">
        <v>31</v>
      </c>
      <c r="D56" s="47" t="s">
        <v>43</v>
      </c>
      <c r="E56" s="47"/>
      <c r="F56" s="47"/>
      <c r="G56" s="47" t="s">
        <v>102</v>
      </c>
      <c r="H56" s="47" t="s">
        <v>110</v>
      </c>
      <c r="I56" s="47"/>
      <c r="J56" s="47"/>
      <c r="K56" s="47" t="s">
        <v>192</v>
      </c>
      <c r="L56" s="47"/>
      <c r="M56" s="47"/>
      <c r="N56" s="47"/>
      <c r="O56" s="47"/>
    </row>
    <row r="57" spans="1:15" ht="14.5" customHeight="1">
      <c r="A57" s="47"/>
      <c r="B5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7" s="47" t="s">
        <v>51</v>
      </c>
      <c r="D57" s="47" t="s">
        <v>28</v>
      </c>
      <c r="E57" s="47" t="s">
        <v>16</v>
      </c>
      <c r="F57" s="47"/>
      <c r="G57" s="47" t="s">
        <v>115</v>
      </c>
      <c r="H57" s="47" t="s">
        <v>299</v>
      </c>
      <c r="I57" s="47" t="s">
        <v>222</v>
      </c>
      <c r="J57" s="47"/>
      <c r="K57" s="47" t="s">
        <v>180</v>
      </c>
      <c r="L57" s="47" t="s">
        <v>147</v>
      </c>
      <c r="M57" s="47" t="s">
        <v>227</v>
      </c>
      <c r="N57" s="47" t="s">
        <v>352</v>
      </c>
      <c r="O57" s="47"/>
    </row>
    <row r="58" spans="1:15" ht="14.5" customHeight="1">
      <c r="A58" s="47"/>
      <c r="B5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8" s="47" t="s">
        <v>44</v>
      </c>
      <c r="D58" s="47"/>
      <c r="E58" s="47"/>
      <c r="F58" s="47"/>
      <c r="G58" s="47" t="s">
        <v>126</v>
      </c>
      <c r="H58" s="47"/>
      <c r="I58" s="47"/>
      <c r="J58" s="47"/>
      <c r="K58" s="47" t="s">
        <v>230</v>
      </c>
      <c r="L58" s="47"/>
      <c r="M58" s="47"/>
      <c r="N58" s="47"/>
      <c r="O58" s="47"/>
    </row>
    <row r="59" spans="1:15" ht="14.5" customHeight="1">
      <c r="A59" s="47"/>
      <c r="B5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9" s="47" t="s">
        <v>30</v>
      </c>
      <c r="D59" s="47" t="s">
        <v>10</v>
      </c>
      <c r="E59" s="47" t="s">
        <v>54</v>
      </c>
      <c r="F59" s="47" t="s">
        <v>21</v>
      </c>
      <c r="G59" s="47" t="s">
        <v>94</v>
      </c>
      <c r="H59" s="47" t="s">
        <v>90</v>
      </c>
      <c r="I59" s="47" t="s">
        <v>226</v>
      </c>
      <c r="J59" s="47" t="s">
        <v>83</v>
      </c>
      <c r="K59" s="47" t="s">
        <v>259</v>
      </c>
      <c r="L59" s="47" t="s">
        <v>148</v>
      </c>
      <c r="M59" s="47" t="s">
        <v>229</v>
      </c>
      <c r="N59" s="47"/>
      <c r="O59" s="47"/>
    </row>
    <row r="60" spans="1:15" ht="14.5" customHeight="1">
      <c r="A60" s="47"/>
      <c r="B6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60" s="47"/>
      <c r="D60" s="47"/>
      <c r="E60" s="47"/>
      <c r="F60" s="47"/>
      <c r="G60" s="47"/>
      <c r="H60" s="47"/>
      <c r="I60" s="47"/>
      <c r="J60" s="47"/>
      <c r="K60" s="47" t="s">
        <v>232</v>
      </c>
      <c r="L60" s="47" t="s">
        <v>354</v>
      </c>
      <c r="M60" s="47"/>
      <c r="N60" s="47"/>
      <c r="O60" s="47"/>
    </row>
    <row r="61" spans="1:15" ht="14.5" customHeight="1" thickBot="1">
      <c r="A61" s="48"/>
      <c r="B61" s="48"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61" s="48"/>
      <c r="D61" s="48"/>
      <c r="E61" s="48"/>
      <c r="F61" s="48"/>
      <c r="G61" s="48"/>
      <c r="H61" s="48"/>
      <c r="I61" s="48"/>
      <c r="J61" s="48"/>
      <c r="K61" s="48" t="s">
        <v>152</v>
      </c>
      <c r="L61" s="48" t="s">
        <v>187</v>
      </c>
      <c r="M61" s="48"/>
      <c r="N61" s="48"/>
      <c r="O61" s="48"/>
    </row>
    <row r="62" spans="1:15" ht="14.5" customHeight="1">
      <c r="A62" s="51" t="s">
        <v>435</v>
      </c>
      <c r="B6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62" s="51" t="s">
        <v>48</v>
      </c>
      <c r="D62" s="51" t="s">
        <v>42</v>
      </c>
      <c r="E62" s="51" t="s">
        <v>14</v>
      </c>
      <c r="F62" s="51"/>
      <c r="G62" s="51" t="s">
        <v>114</v>
      </c>
      <c r="H62" s="51" t="s">
        <v>300</v>
      </c>
      <c r="I62" s="51" t="s">
        <v>75</v>
      </c>
      <c r="J62" s="51"/>
      <c r="K62" s="51" t="s">
        <v>165</v>
      </c>
      <c r="L62" s="51"/>
      <c r="M62" s="51"/>
      <c r="N62" s="51"/>
      <c r="O62" s="51">
        <f>COUNTA(C62:N75)</f>
        <v>63</v>
      </c>
    </row>
    <row r="63" spans="1:15" ht="14.5" customHeight="1">
      <c r="A63" s="50"/>
      <c r="B6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63" s="50" t="s">
        <v>19</v>
      </c>
      <c r="D63" s="50" t="s">
        <v>29</v>
      </c>
      <c r="E63" s="50"/>
      <c r="F63" s="50"/>
      <c r="G63" s="50" t="s">
        <v>88</v>
      </c>
      <c r="H63" s="50" t="s">
        <v>112</v>
      </c>
      <c r="I63" s="50"/>
      <c r="J63" s="50"/>
      <c r="K63" s="50" t="s">
        <v>190</v>
      </c>
      <c r="L63" s="50" t="s">
        <v>257</v>
      </c>
      <c r="M63" s="50"/>
      <c r="N63" s="50"/>
      <c r="O63" s="50"/>
    </row>
    <row r="64" spans="1:15" ht="14.5" customHeight="1">
      <c r="A64" s="47"/>
      <c r="B6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4" s="47" t="s">
        <v>49</v>
      </c>
      <c r="D64" s="47" t="s">
        <v>32</v>
      </c>
      <c r="E64" s="47"/>
      <c r="F64" s="47"/>
      <c r="G64" s="47" t="s">
        <v>116</v>
      </c>
      <c r="H64" s="47" t="s">
        <v>105</v>
      </c>
      <c r="I64" s="47"/>
      <c r="J64" s="47"/>
      <c r="K64" s="47" t="s">
        <v>138</v>
      </c>
      <c r="L64" s="47" t="s">
        <v>156</v>
      </c>
      <c r="M64" s="47"/>
      <c r="N64" s="47"/>
      <c r="O64" s="47"/>
    </row>
    <row r="65" spans="1:15" ht="14.5" customHeight="1">
      <c r="A65" s="47"/>
      <c r="B6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65" s="47" t="s">
        <v>27</v>
      </c>
      <c r="D65" s="47" t="s">
        <v>22</v>
      </c>
      <c r="E65" s="47" t="s">
        <v>24</v>
      </c>
      <c r="F65" s="47"/>
      <c r="G65" s="47" t="s">
        <v>142</v>
      </c>
      <c r="H65" s="47" t="s">
        <v>91</v>
      </c>
      <c r="I65" s="47" t="s">
        <v>224</v>
      </c>
      <c r="J65" s="47"/>
      <c r="K65" s="47" t="s">
        <v>191</v>
      </c>
      <c r="L65" s="47" t="s">
        <v>260</v>
      </c>
      <c r="M65" s="47" t="s">
        <v>164</v>
      </c>
      <c r="N65" s="47"/>
      <c r="O65" s="47"/>
    </row>
    <row r="66" spans="1:15" ht="14.5" customHeight="1">
      <c r="A66" s="47"/>
      <c r="B6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66" s="47" t="s">
        <v>46</v>
      </c>
      <c r="D66" s="47"/>
      <c r="E66" s="47"/>
      <c r="F66" s="47"/>
      <c r="G66" s="47" t="s">
        <v>118</v>
      </c>
      <c r="H66" s="47"/>
      <c r="I66" s="47"/>
      <c r="J66" s="47"/>
      <c r="K66" s="47" t="s">
        <v>124</v>
      </c>
      <c r="L66" s="47"/>
      <c r="M66" s="47"/>
      <c r="N66" s="47"/>
      <c r="O66" s="47"/>
    </row>
    <row r="67" spans="1:15" ht="14.5" customHeight="1">
      <c r="A67" s="47"/>
      <c r="B6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7" s="47" t="s">
        <v>41</v>
      </c>
      <c r="D67" s="47" t="s">
        <v>25</v>
      </c>
      <c r="E67" s="47" t="s">
        <v>15</v>
      </c>
      <c r="F67" s="47" t="s">
        <v>35</v>
      </c>
      <c r="G67" s="47" t="s">
        <v>106</v>
      </c>
      <c r="H67" s="47" t="s">
        <v>97</v>
      </c>
      <c r="I67" s="47" t="s">
        <v>98</v>
      </c>
      <c r="J67" s="47" t="s">
        <v>223</v>
      </c>
      <c r="K67" s="47" t="s">
        <v>141</v>
      </c>
      <c r="L67" s="47" t="s">
        <v>170</v>
      </c>
      <c r="M67" s="47" t="s">
        <v>269</v>
      </c>
      <c r="N67" s="47" t="s">
        <v>228</v>
      </c>
      <c r="O67" s="47"/>
    </row>
    <row r="68" spans="1:15" ht="14.5" customHeight="1">
      <c r="A68" s="47"/>
      <c r="B6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68" s="47"/>
      <c r="D68" s="47"/>
      <c r="E68" s="47"/>
      <c r="F68" s="47"/>
      <c r="G68" s="47"/>
      <c r="H68" s="47"/>
      <c r="I68" s="47"/>
      <c r="J68" s="47"/>
      <c r="K68" s="47" t="s">
        <v>176</v>
      </c>
      <c r="L68" s="47"/>
      <c r="M68" s="47"/>
      <c r="N68" s="47"/>
      <c r="O68" s="47"/>
    </row>
    <row r="69" spans="1:15" ht="14.5" customHeight="1">
      <c r="A69" s="47"/>
      <c r="B6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69" s="47"/>
      <c r="D69" s="47"/>
      <c r="E69" s="47"/>
      <c r="F69" s="47"/>
      <c r="G69" s="47"/>
      <c r="H69" s="47"/>
      <c r="I69" s="47"/>
      <c r="J69" s="47"/>
      <c r="K69" s="47" t="s">
        <v>155</v>
      </c>
      <c r="L69" s="47" t="s">
        <v>158</v>
      </c>
      <c r="M69" s="47" t="s">
        <v>143</v>
      </c>
      <c r="N69" s="47" t="s">
        <v>146</v>
      </c>
      <c r="O69" s="47"/>
    </row>
    <row r="70" spans="1:15" ht="14.5" customHeight="1">
      <c r="A70" s="47"/>
      <c r="B70" s="47"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70" s="47"/>
      <c r="D70" s="47"/>
      <c r="E70" s="47"/>
      <c r="F70" s="47"/>
      <c r="G70" s="47"/>
      <c r="H70" s="47"/>
      <c r="I70" s="47"/>
      <c r="J70" s="47"/>
      <c r="K70" s="47" t="s">
        <v>157</v>
      </c>
      <c r="L70" s="47"/>
      <c r="M70" s="47"/>
      <c r="N70" s="47"/>
      <c r="O70" s="47"/>
    </row>
    <row r="71" spans="1:15" ht="14.5" customHeight="1">
      <c r="A71" s="47"/>
      <c r="B71" s="47" t="str">
        <f>(MOD(HOUR(المدخلات!$B$4+(10-1)*المدخلات!$B$7/1440)-1,12)+1)&amp;":"&amp;TEXT(MINUTE(المدخلات!$B$4+(10-1)*المدخلات!$B$7/1440),"00")&amp;"–"&amp;(MOD(HOUR(المدخلات!$B$4+(10-1)*المدخلات!$B$7/1440+المدخلات!$B$5/1440)-1,12)+1)&amp;":"&amp;TEXT(MINUTE(المدخلات!$B$4+(10-1)*المدخلات!$B$7/1440+المدخلات!$B$5/1440),"00")&amp;" م"</f>
        <v>6:15–6:30 م</v>
      </c>
      <c r="C71" s="47"/>
      <c r="D71" s="47"/>
      <c r="E71" s="47"/>
      <c r="F71" s="47"/>
      <c r="G71" s="47"/>
      <c r="H71" s="47"/>
      <c r="I71" s="47"/>
      <c r="J71" s="47"/>
      <c r="K71" s="47" t="s">
        <v>231</v>
      </c>
      <c r="L71" s="47" t="s">
        <v>353</v>
      </c>
      <c r="M71" s="47" t="s">
        <v>137</v>
      </c>
      <c r="N71" s="47" t="s">
        <v>153</v>
      </c>
      <c r="O71" s="47"/>
    </row>
    <row r="72" spans="1:15" ht="14.5" customHeight="1">
      <c r="A72" s="47"/>
      <c r="B72" s="47" t="str">
        <f>(MOD(HOUR(المدخلات!$B$4+(11-1)*المدخلات!$B$7/1440)-1,12)+1)&amp;":"&amp;TEXT(MINUTE(المدخلات!$B$4+(11-1)*المدخلات!$B$7/1440),"00")&amp;"–"&amp;(MOD(HOUR(المدخلات!$B$4+(11-1)*المدخلات!$B$7/1440+المدخلات!$B$5/1440)-1,12)+1)&amp;":"&amp;TEXT(MINUTE(المدخلات!$B$4+(11-1)*المدخلات!$B$7/1440+المدخلات!$B$5/1440),"00")&amp;" م"</f>
        <v>6:30–6:45 م</v>
      </c>
      <c r="C72" s="47"/>
      <c r="D72" s="47"/>
      <c r="E72" s="47"/>
      <c r="F72" s="47"/>
      <c r="G72" s="47"/>
      <c r="H72" s="47"/>
      <c r="I72" s="47"/>
      <c r="J72" s="47"/>
      <c r="K72" s="47" t="s">
        <v>160</v>
      </c>
      <c r="L72" s="47"/>
      <c r="M72" s="47"/>
      <c r="N72" s="47"/>
      <c r="O72" s="47"/>
    </row>
    <row r="73" spans="1:15" ht="14.5" customHeight="1">
      <c r="A73" s="47"/>
      <c r="B73" s="47" t="str">
        <f>(MOD(HOUR(المدخلات!$B$4+(12-1)*المدخلات!$B$7/1440)-1,12)+1)&amp;":"&amp;TEXT(MINUTE(المدخلات!$B$4+(12-1)*المدخلات!$B$7/1440),"00")&amp;"–"&amp;(MOD(HOUR(المدخلات!$B$4+(12-1)*المدخلات!$B$7/1440+المدخلات!$B$5/1440)-1,12)+1)&amp;":"&amp;TEXT(MINUTE(المدخلات!$B$4+(12-1)*المدخلات!$B$7/1440+المدخلات!$B$5/1440),"00")&amp;" م"</f>
        <v>6:45–7:00 م</v>
      </c>
      <c r="C73" s="47"/>
      <c r="D73" s="47"/>
      <c r="E73" s="47"/>
      <c r="F73" s="47"/>
      <c r="G73" s="47"/>
      <c r="H73" s="47"/>
      <c r="I73" s="47"/>
      <c r="J73" s="47"/>
      <c r="K73" s="47" t="s">
        <v>161</v>
      </c>
      <c r="L73" s="47" t="s">
        <v>355</v>
      </c>
      <c r="M73" s="47" t="s">
        <v>131</v>
      </c>
      <c r="N73" s="47" t="s">
        <v>144</v>
      </c>
      <c r="O73" s="47"/>
    </row>
    <row r="74" spans="1:15" ht="14.5" customHeight="1">
      <c r="A74" s="47"/>
      <c r="B74" s="47" t="str">
        <f>(MOD(HOUR(المدخلات!$B$4+(13-1)*المدخلات!$B$7/1440)-1,12)+1)&amp;":"&amp;TEXT(MINUTE(المدخلات!$B$4+(13-1)*المدخلات!$B$7/1440),"00")&amp;"–"&amp;(MOD(HOUR(المدخلات!$B$4+(13-1)*المدخلات!$B$7/1440+المدخلات!$B$5/1440)-1,12)+1)&amp;":"&amp;TEXT(MINUTE(المدخلات!$B$4+(13-1)*المدخلات!$B$7/1440+المدخلات!$B$5/1440),"00")&amp;" م"</f>
        <v>7:00–7:15 م</v>
      </c>
      <c r="C74" s="47"/>
      <c r="D74" s="47"/>
      <c r="E74" s="47"/>
      <c r="F74" s="47"/>
      <c r="G74" s="47"/>
      <c r="H74" s="47"/>
      <c r="I74" s="47"/>
      <c r="J74" s="47"/>
      <c r="K74" s="47" t="s">
        <v>163</v>
      </c>
      <c r="L74" s="47"/>
      <c r="M74" s="47"/>
      <c r="N74" s="47"/>
      <c r="O74" s="47"/>
    </row>
    <row r="75" spans="1:15" ht="14.5" customHeight="1" thickBot="1">
      <c r="A75" s="52"/>
      <c r="B75" s="52" t="str">
        <f>(MOD(HOUR(المدخلات!$B$4+(14-1)*المدخلات!$B$7/1440)-1,12)+1)&amp;":"&amp;TEXT(MINUTE(المدخلات!$B$4+(14-1)*المدخلات!$B$7/1440),"00")&amp;"–"&amp;(MOD(HOUR(المدخلات!$B$4+(14-1)*المدخلات!$B$7/1440+المدخلات!$B$5/1440)-1,12)+1)&amp;":"&amp;TEXT(MINUTE(المدخلات!$B$4+(14-1)*المدخلات!$B$7/1440+المدخلات!$B$5/1440),"00")&amp;" م"</f>
        <v>7:15–7:30 م</v>
      </c>
      <c r="C75" s="52"/>
      <c r="D75" s="52"/>
      <c r="E75" s="52"/>
      <c r="F75" s="52"/>
      <c r="G75" s="52"/>
      <c r="H75" s="52"/>
      <c r="I75" s="52"/>
      <c r="J75" s="52"/>
      <c r="K75" s="52" t="s">
        <v>264</v>
      </c>
      <c r="L75" s="52" t="s">
        <v>357</v>
      </c>
      <c r="M75" s="52" t="s">
        <v>265</v>
      </c>
      <c r="N75" s="52" t="s">
        <v>149</v>
      </c>
      <c r="O75" s="52"/>
    </row>
    <row r="76" spans="1:15" ht="14.5" customHeight="1">
      <c r="A76" s="45"/>
      <c r="B76" s="45"/>
      <c r="C76" s="45"/>
      <c r="D76" s="45"/>
      <c r="E76" s="45"/>
      <c r="F76" s="45"/>
      <c r="G76" s="45"/>
      <c r="H76" s="45"/>
      <c r="I76" s="45"/>
      <c r="J76" s="45"/>
      <c r="K76" s="45"/>
      <c r="L76" s="45"/>
      <c r="M76" s="45"/>
      <c r="N76" s="45"/>
      <c r="O76" s="45"/>
    </row>
    <row r="77" spans="1:15" ht="20" customHeight="1">
      <c r="A77" s="136" t="s">
        <v>832</v>
      </c>
      <c r="B77" s="136"/>
      <c r="C77" s="136"/>
      <c r="D77" s="136"/>
      <c r="E77" s="136"/>
      <c r="F77" s="136"/>
      <c r="G77" s="136"/>
      <c r="H77" s="136"/>
      <c r="I77" s="136"/>
      <c r="J77" s="136"/>
      <c r="K77" s="136"/>
      <c r="L77" s="136"/>
      <c r="M77" s="136"/>
      <c r="N77" s="136"/>
      <c r="O77" s="136"/>
    </row>
    <row r="78" spans="1:15" ht="14.5" customHeight="1">
      <c r="A78" s="18"/>
      <c r="B78" s="19" t="s">
        <v>314</v>
      </c>
      <c r="C78" s="135" t="s">
        <v>763</v>
      </c>
      <c r="D78" s="135"/>
      <c r="E78" s="135"/>
      <c r="F78" s="135" t="s">
        <v>755</v>
      </c>
      <c r="G78" s="135"/>
      <c r="H78" s="18"/>
      <c r="I78" s="19" t="s">
        <v>314</v>
      </c>
      <c r="J78" s="135" t="s">
        <v>777</v>
      </c>
      <c r="K78" s="135"/>
      <c r="L78" s="135"/>
      <c r="M78" s="135" t="s">
        <v>755</v>
      </c>
      <c r="N78" s="135"/>
      <c r="O78" s="18"/>
    </row>
    <row r="79" spans="1:15" ht="14.5" customHeight="1">
      <c r="A79" s="18"/>
      <c r="B79" s="20">
        <v>1</v>
      </c>
      <c r="C79" s="134" t="s">
        <v>1224</v>
      </c>
      <c r="D79" s="134"/>
      <c r="E79" s="134"/>
      <c r="F79" s="134" t="s">
        <v>840</v>
      </c>
      <c r="G79" s="134"/>
      <c r="H79" s="18"/>
      <c r="I79" s="20">
        <v>11</v>
      </c>
      <c r="J79" s="134" t="s">
        <v>1214</v>
      </c>
      <c r="K79" s="134"/>
      <c r="L79" s="134"/>
      <c r="M79" s="134" t="s">
        <v>840</v>
      </c>
      <c r="N79" s="134"/>
      <c r="O79" s="18"/>
    </row>
    <row r="80" spans="1:15" ht="14.5" customHeight="1">
      <c r="A80" s="18"/>
      <c r="B80" s="20">
        <v>2</v>
      </c>
      <c r="C80" s="134" t="s">
        <v>1205</v>
      </c>
      <c r="D80" s="134"/>
      <c r="E80" s="134"/>
      <c r="F80" s="134" t="s">
        <v>840</v>
      </c>
      <c r="G80" s="134"/>
      <c r="H80" s="18"/>
      <c r="I80" s="20">
        <v>12</v>
      </c>
      <c r="J80" s="134" t="s">
        <v>1215</v>
      </c>
      <c r="K80" s="134"/>
      <c r="L80" s="134"/>
      <c r="M80" s="134" t="s">
        <v>840</v>
      </c>
      <c r="N80" s="134"/>
      <c r="O80" s="18"/>
    </row>
    <row r="81" spans="1:15" ht="14.5" customHeight="1">
      <c r="A81" s="18"/>
      <c r="B81" s="20">
        <v>3</v>
      </c>
      <c r="C81" s="134" t="s">
        <v>1206</v>
      </c>
      <c r="D81" s="134"/>
      <c r="E81" s="134"/>
      <c r="F81" s="134" t="s">
        <v>841</v>
      </c>
      <c r="G81" s="134"/>
      <c r="H81" s="18"/>
      <c r="I81" s="20">
        <v>13</v>
      </c>
      <c r="J81" s="134" t="s">
        <v>1216</v>
      </c>
      <c r="K81" s="134"/>
      <c r="L81" s="134"/>
      <c r="M81" s="134" t="s">
        <v>841</v>
      </c>
      <c r="N81" s="134"/>
      <c r="O81" s="18"/>
    </row>
    <row r="82" spans="1:15" ht="14.5" customHeight="1">
      <c r="A82" s="18"/>
      <c r="B82" s="20">
        <v>4</v>
      </c>
      <c r="C82" s="134" t="s">
        <v>1207</v>
      </c>
      <c r="D82" s="134"/>
      <c r="E82" s="134"/>
      <c r="F82" s="134" t="s">
        <v>841</v>
      </c>
      <c r="G82" s="134"/>
      <c r="H82" s="18"/>
      <c r="I82" s="20">
        <v>14</v>
      </c>
      <c r="J82" s="134" t="s">
        <v>1217</v>
      </c>
      <c r="K82" s="134"/>
      <c r="L82" s="134"/>
      <c r="M82" s="134" t="s">
        <v>841</v>
      </c>
      <c r="N82" s="134"/>
      <c r="O82" s="18"/>
    </row>
    <row r="83" spans="1:15" ht="14.5" customHeight="1">
      <c r="A83" s="18"/>
      <c r="B83" s="20">
        <v>5</v>
      </c>
      <c r="C83" s="134" t="s">
        <v>1208</v>
      </c>
      <c r="D83" s="134"/>
      <c r="E83" s="134"/>
      <c r="F83" s="134" t="s">
        <v>841</v>
      </c>
      <c r="G83" s="134"/>
      <c r="H83" s="18"/>
      <c r="I83" s="20">
        <v>15</v>
      </c>
      <c r="J83" s="134" t="s">
        <v>1218</v>
      </c>
      <c r="K83" s="134"/>
      <c r="L83" s="134"/>
      <c r="M83" s="134" t="s">
        <v>841</v>
      </c>
      <c r="N83" s="134"/>
      <c r="O83" s="18"/>
    </row>
    <row r="84" spans="1:15" ht="14.5" customHeight="1">
      <c r="A84" s="18"/>
      <c r="B84" s="20">
        <v>6</v>
      </c>
      <c r="C84" s="134" t="s">
        <v>1209</v>
      </c>
      <c r="D84" s="134"/>
      <c r="E84" s="134"/>
      <c r="F84" s="134" t="s">
        <v>841</v>
      </c>
      <c r="G84" s="134"/>
      <c r="H84" s="18"/>
      <c r="I84" s="20">
        <v>16</v>
      </c>
      <c r="J84" s="134" t="s">
        <v>1219</v>
      </c>
      <c r="K84" s="134"/>
      <c r="L84" s="134"/>
      <c r="M84" s="134" t="s">
        <v>841</v>
      </c>
      <c r="N84" s="134"/>
      <c r="O84" s="18"/>
    </row>
    <row r="85" spans="1:15" ht="14.5" customHeight="1">
      <c r="A85" s="18"/>
      <c r="B85" s="20">
        <v>7</v>
      </c>
      <c r="C85" s="134" t="s">
        <v>1210</v>
      </c>
      <c r="D85" s="134"/>
      <c r="E85" s="134"/>
      <c r="F85" s="134" t="s">
        <v>841</v>
      </c>
      <c r="G85" s="134"/>
      <c r="H85" s="18"/>
      <c r="I85" s="20">
        <v>17</v>
      </c>
      <c r="J85" s="134" t="s">
        <v>1220</v>
      </c>
      <c r="K85" s="134"/>
      <c r="L85" s="134"/>
      <c r="M85" s="134" t="s">
        <v>841</v>
      </c>
      <c r="N85" s="134"/>
      <c r="O85" s="18"/>
    </row>
    <row r="86" spans="1:15" ht="14.5" customHeight="1">
      <c r="A86" s="18"/>
      <c r="B86" s="20">
        <v>8</v>
      </c>
      <c r="C86" s="134" t="s">
        <v>1211</v>
      </c>
      <c r="D86" s="134"/>
      <c r="E86" s="134"/>
      <c r="F86" s="134" t="s">
        <v>847</v>
      </c>
      <c r="G86" s="134"/>
      <c r="H86" s="18"/>
      <c r="I86" s="20">
        <v>18</v>
      </c>
      <c r="J86" s="134" t="s">
        <v>1221</v>
      </c>
      <c r="K86" s="134"/>
      <c r="L86" s="134"/>
      <c r="M86" s="134" t="s">
        <v>847</v>
      </c>
      <c r="N86" s="134"/>
      <c r="O86" s="18"/>
    </row>
    <row r="87" spans="1:15" ht="14.5" customHeight="1">
      <c r="A87" s="18"/>
      <c r="B87" s="20">
        <v>9</v>
      </c>
      <c r="C87" s="134" t="s">
        <v>1212</v>
      </c>
      <c r="D87" s="134"/>
      <c r="E87" s="134"/>
      <c r="F87" s="134" t="s">
        <v>847</v>
      </c>
      <c r="G87" s="134"/>
      <c r="H87" s="18"/>
      <c r="I87" s="20">
        <v>19</v>
      </c>
      <c r="J87" s="134" t="s">
        <v>1222</v>
      </c>
      <c r="K87" s="134"/>
      <c r="L87" s="134"/>
      <c r="M87" s="134" t="s">
        <v>847</v>
      </c>
      <c r="N87" s="134"/>
      <c r="O87" s="18"/>
    </row>
    <row r="88" spans="1:15" ht="14.5" customHeight="1">
      <c r="A88" s="18"/>
      <c r="B88" s="20">
        <v>10</v>
      </c>
      <c r="C88" s="134" t="s">
        <v>1213</v>
      </c>
      <c r="D88" s="134"/>
      <c r="E88" s="134"/>
      <c r="F88" s="134" t="s">
        <v>847</v>
      </c>
      <c r="G88" s="134"/>
      <c r="H88" s="18"/>
      <c r="I88" s="20">
        <v>20</v>
      </c>
      <c r="J88" s="134" t="s">
        <v>1223</v>
      </c>
      <c r="K88" s="134"/>
      <c r="L88" s="134"/>
      <c r="M88" s="134" t="s">
        <v>847</v>
      </c>
      <c r="N88" s="134"/>
      <c r="O88" s="18"/>
    </row>
    <row r="89" spans="1:15" ht="14.5" customHeight="1">
      <c r="A89" s="18"/>
      <c r="B89" s="18"/>
      <c r="C89" s="18"/>
      <c r="D89" s="18"/>
      <c r="E89" s="18"/>
      <c r="F89" s="18"/>
      <c r="G89" s="18"/>
      <c r="H89" s="18"/>
      <c r="I89" s="18"/>
      <c r="J89" s="18"/>
      <c r="K89" s="18"/>
      <c r="L89" s="18"/>
      <c r="M89" s="18"/>
      <c r="N89" s="18"/>
      <c r="O89" s="18"/>
    </row>
    <row r="90" spans="1:15" ht="14.5" customHeight="1">
      <c r="A90" s="18"/>
      <c r="B90" s="19" t="s">
        <v>314</v>
      </c>
      <c r="C90" s="135" t="s">
        <v>779</v>
      </c>
      <c r="D90" s="135"/>
      <c r="E90" s="135"/>
      <c r="F90" s="135" t="s">
        <v>755</v>
      </c>
      <c r="G90" s="135"/>
      <c r="H90" s="18"/>
      <c r="I90" s="18"/>
      <c r="J90" s="18"/>
      <c r="K90" s="18"/>
      <c r="L90" s="18"/>
      <c r="M90" s="18"/>
      <c r="N90" s="18"/>
      <c r="O90" s="18"/>
    </row>
    <row r="91" spans="1:15" ht="14.5" customHeight="1">
      <c r="A91" s="18"/>
      <c r="B91" s="20">
        <v>21</v>
      </c>
      <c r="C91" s="134" t="s">
        <v>1204</v>
      </c>
      <c r="D91" s="134"/>
      <c r="E91" s="134"/>
      <c r="F91" s="134" t="s">
        <v>840</v>
      </c>
      <c r="G91" s="134"/>
      <c r="H91" s="18"/>
      <c r="I91" s="18"/>
      <c r="J91" s="18"/>
      <c r="K91" s="18"/>
      <c r="L91" s="18"/>
      <c r="M91" s="18"/>
      <c r="N91" s="18"/>
      <c r="O91" s="18"/>
    </row>
    <row r="92" spans="1:15" ht="14.5" customHeight="1">
      <c r="A92" s="18"/>
      <c r="B92" s="20">
        <v>22</v>
      </c>
      <c r="C92" s="134" t="s">
        <v>1225</v>
      </c>
      <c r="D92" s="134"/>
      <c r="E92" s="134"/>
      <c r="F92" s="134" t="s">
        <v>840</v>
      </c>
      <c r="G92" s="134"/>
      <c r="H92" s="18"/>
      <c r="I92" s="18"/>
      <c r="J92" s="18"/>
      <c r="K92" s="18"/>
      <c r="L92" s="18"/>
      <c r="M92" s="18"/>
      <c r="N92" s="18"/>
      <c r="O92" s="18"/>
    </row>
    <row r="93" spans="1:15" ht="14.5" customHeight="1">
      <c r="A93" s="18"/>
      <c r="B93" s="20">
        <v>23</v>
      </c>
      <c r="C93" s="134" t="s">
        <v>1226</v>
      </c>
      <c r="D93" s="134"/>
      <c r="E93" s="134"/>
      <c r="F93" s="134" t="s">
        <v>841</v>
      </c>
      <c r="G93" s="134"/>
      <c r="H93" s="18"/>
      <c r="I93" s="18"/>
      <c r="J93" s="18"/>
      <c r="K93" s="18"/>
      <c r="L93" s="18"/>
      <c r="M93" s="18"/>
      <c r="N93" s="18"/>
      <c r="O93" s="18"/>
    </row>
    <row r="94" spans="1:15" ht="14.5" customHeight="1">
      <c r="A94" s="18"/>
      <c r="B94" s="20">
        <v>24</v>
      </c>
      <c r="C94" s="134" t="s">
        <v>1227</v>
      </c>
      <c r="D94" s="134"/>
      <c r="E94" s="134"/>
      <c r="F94" s="134" t="s">
        <v>841</v>
      </c>
      <c r="G94" s="134"/>
      <c r="H94" s="18"/>
      <c r="I94" s="18"/>
      <c r="J94" s="18"/>
      <c r="K94" s="18"/>
      <c r="L94" s="18"/>
      <c r="M94" s="18"/>
      <c r="N94" s="18"/>
      <c r="O94" s="18"/>
    </row>
    <row r="95" spans="1:15" ht="14.5" customHeight="1">
      <c r="A95" s="18"/>
      <c r="B95" s="20">
        <v>25</v>
      </c>
      <c r="C95" s="134" t="s">
        <v>1228</v>
      </c>
      <c r="D95" s="134"/>
      <c r="E95" s="134"/>
      <c r="F95" s="134" t="s">
        <v>841</v>
      </c>
      <c r="G95" s="134"/>
      <c r="H95" s="18"/>
      <c r="I95" s="18"/>
      <c r="J95" s="18"/>
      <c r="K95" s="18"/>
      <c r="L95" s="18"/>
      <c r="M95" s="18"/>
      <c r="N95" s="18"/>
      <c r="O95" s="18"/>
    </row>
    <row r="96" spans="1:15" ht="14.5" customHeight="1">
      <c r="A96" s="18"/>
      <c r="B96" s="20">
        <v>26</v>
      </c>
      <c r="C96" s="134" t="s">
        <v>1229</v>
      </c>
      <c r="D96" s="134"/>
      <c r="E96" s="134"/>
      <c r="F96" s="134" t="s">
        <v>841</v>
      </c>
      <c r="G96" s="134"/>
      <c r="H96" s="18"/>
      <c r="I96" s="18"/>
      <c r="J96" s="18"/>
      <c r="K96" s="18"/>
      <c r="L96" s="18"/>
      <c r="M96" s="18"/>
      <c r="N96" s="18"/>
      <c r="O96" s="18"/>
    </row>
    <row r="97" spans="1:15" ht="14.5" customHeight="1">
      <c r="A97" s="18"/>
      <c r="B97" s="20">
        <v>27</v>
      </c>
      <c r="C97" s="134" t="s">
        <v>1230</v>
      </c>
      <c r="D97" s="134"/>
      <c r="E97" s="134"/>
      <c r="F97" s="134" t="s">
        <v>841</v>
      </c>
      <c r="G97" s="134"/>
      <c r="H97" s="18"/>
      <c r="I97" s="18"/>
      <c r="J97" s="18"/>
      <c r="K97" s="18"/>
      <c r="L97" s="18"/>
      <c r="M97" s="18"/>
      <c r="N97" s="18"/>
      <c r="O97" s="18"/>
    </row>
    <row r="98" spans="1:15" ht="14.5" customHeight="1">
      <c r="A98" s="18"/>
      <c r="B98" s="20">
        <v>28</v>
      </c>
      <c r="C98" s="134" t="s">
        <v>1193</v>
      </c>
      <c r="D98" s="134"/>
      <c r="E98" s="134"/>
      <c r="F98" s="134" t="s">
        <v>847</v>
      </c>
      <c r="G98" s="134"/>
      <c r="H98" s="18"/>
      <c r="I98" s="18"/>
      <c r="J98" s="18"/>
      <c r="K98" s="18"/>
      <c r="L98" s="18"/>
      <c r="M98" s="18"/>
      <c r="N98" s="18"/>
      <c r="O98" s="18"/>
    </row>
    <row r="99" spans="1:15" ht="14.5" customHeight="1">
      <c r="A99" s="18"/>
      <c r="B99" s="20">
        <v>29</v>
      </c>
      <c r="C99" s="134" t="s">
        <v>1231</v>
      </c>
      <c r="D99" s="134"/>
      <c r="E99" s="134"/>
      <c r="F99" s="134" t="s">
        <v>847</v>
      </c>
      <c r="G99" s="134"/>
      <c r="H99" s="18"/>
      <c r="I99" s="18"/>
      <c r="J99" s="18"/>
      <c r="K99" s="18"/>
      <c r="L99" s="18"/>
      <c r="M99" s="18"/>
      <c r="N99" s="18"/>
      <c r="O99" s="18"/>
    </row>
    <row r="100" spans="1:15" ht="14.5" customHeight="1">
      <c r="A100" s="18"/>
      <c r="B100" s="20">
        <v>30</v>
      </c>
      <c r="C100" s="134" t="s">
        <v>1232</v>
      </c>
      <c r="D100" s="134"/>
      <c r="E100" s="134"/>
      <c r="F100" s="134" t="s">
        <v>847</v>
      </c>
      <c r="G100" s="134"/>
      <c r="H100" s="18"/>
      <c r="I100" s="18"/>
      <c r="J100" s="18"/>
      <c r="K100" s="18"/>
      <c r="L100" s="18"/>
      <c r="M100" s="18"/>
      <c r="N100" s="18"/>
      <c r="O100" s="18"/>
    </row>
    <row r="101" spans="1:15" ht="14.5" customHeight="1">
      <c r="A101" s="18"/>
      <c r="B101" s="20">
        <v>31</v>
      </c>
      <c r="C101" s="134" t="s">
        <v>1233</v>
      </c>
      <c r="D101" s="134"/>
      <c r="E101" s="134"/>
      <c r="F101" s="134" t="s">
        <v>847</v>
      </c>
      <c r="G101" s="134"/>
      <c r="H101" s="18"/>
      <c r="I101" s="18"/>
      <c r="J101" s="18"/>
      <c r="K101" s="18"/>
      <c r="L101" s="18"/>
      <c r="M101" s="18"/>
      <c r="N101" s="18"/>
      <c r="O101" s="18"/>
    </row>
    <row r="102" spans="1:15" ht="14.5" customHeight="1">
      <c r="A102" s="18"/>
      <c r="B102" s="18"/>
      <c r="C102" s="18"/>
      <c r="D102" s="18"/>
      <c r="E102" s="18"/>
      <c r="F102" s="18"/>
      <c r="G102" s="18"/>
      <c r="H102" s="18"/>
      <c r="I102" s="18"/>
      <c r="J102" s="18"/>
      <c r="K102" s="18"/>
      <c r="L102" s="18"/>
      <c r="M102" s="18"/>
      <c r="N102" s="18"/>
      <c r="O102" s="18"/>
    </row>
    <row r="103" spans="1:15" ht="14.5" customHeight="1">
      <c r="A103" s="18"/>
      <c r="B103" s="18"/>
      <c r="C103" s="18"/>
      <c r="D103" s="18"/>
      <c r="E103" s="18"/>
      <c r="F103" s="18"/>
      <c r="G103" s="18"/>
      <c r="H103" s="18"/>
      <c r="I103" s="18"/>
      <c r="J103" s="18"/>
      <c r="K103" s="18"/>
      <c r="L103" s="18"/>
      <c r="M103" s="18"/>
      <c r="N103" s="18"/>
      <c r="O103" s="18"/>
    </row>
    <row r="104" spans="1:15" ht="14.5" customHeight="1">
      <c r="A104" s="136" t="s">
        <v>833</v>
      </c>
      <c r="B104" s="136"/>
      <c r="C104" s="136"/>
      <c r="D104" s="136"/>
      <c r="E104" s="136"/>
      <c r="F104" s="136"/>
      <c r="G104" s="136"/>
      <c r="H104" s="136"/>
      <c r="I104" s="136"/>
      <c r="J104" s="136"/>
      <c r="K104" s="136"/>
      <c r="L104" s="136"/>
      <c r="M104" s="136"/>
      <c r="N104" s="136"/>
      <c r="O104" s="136"/>
    </row>
    <row r="105" spans="1:15" ht="14.5" customHeight="1">
      <c r="A105" s="18"/>
      <c r="B105" s="19" t="s">
        <v>314</v>
      </c>
      <c r="C105" s="135" t="s">
        <v>763</v>
      </c>
      <c r="D105" s="135"/>
      <c r="E105" s="135"/>
      <c r="F105" s="135" t="s">
        <v>755</v>
      </c>
      <c r="G105" s="135"/>
      <c r="H105" s="18"/>
      <c r="I105" s="19" t="s">
        <v>314</v>
      </c>
      <c r="J105" s="135" t="s">
        <v>777</v>
      </c>
      <c r="K105" s="135"/>
      <c r="L105" s="135"/>
      <c r="M105" s="135" t="s">
        <v>755</v>
      </c>
      <c r="N105" s="135"/>
      <c r="O105" s="18"/>
    </row>
    <row r="106" spans="1:15" ht="14.5" customHeight="1">
      <c r="A106" s="18"/>
      <c r="B106" s="20">
        <v>1</v>
      </c>
      <c r="C106" s="152" t="s">
        <v>1246</v>
      </c>
      <c r="D106" s="152"/>
      <c r="E106" s="152"/>
      <c r="F106" s="152" t="s">
        <v>840</v>
      </c>
      <c r="G106" s="152"/>
      <c r="H106" s="18"/>
      <c r="I106" s="20">
        <v>11</v>
      </c>
      <c r="J106" s="152" t="s">
        <v>1075</v>
      </c>
      <c r="K106" s="152"/>
      <c r="L106" s="152"/>
      <c r="M106" s="152" t="s">
        <v>840</v>
      </c>
      <c r="N106" s="152"/>
      <c r="O106" s="18"/>
    </row>
    <row r="107" spans="1:15" ht="14.5" customHeight="1">
      <c r="A107" s="18"/>
      <c r="B107" s="20">
        <v>2</v>
      </c>
      <c r="C107" s="152" t="s">
        <v>1235</v>
      </c>
      <c r="D107" s="152"/>
      <c r="E107" s="152"/>
      <c r="F107" s="152" t="s">
        <v>840</v>
      </c>
      <c r="G107" s="152"/>
      <c r="H107" s="18"/>
      <c r="I107" s="20">
        <v>12</v>
      </c>
      <c r="J107" s="152" t="s">
        <v>1241</v>
      </c>
      <c r="K107" s="152"/>
      <c r="L107" s="152"/>
      <c r="M107" s="152" t="s">
        <v>840</v>
      </c>
      <c r="N107" s="152"/>
      <c r="O107" s="18"/>
    </row>
    <row r="108" spans="1:15" ht="14.5" customHeight="1">
      <c r="A108" s="18"/>
      <c r="B108" s="20">
        <v>3</v>
      </c>
      <c r="C108" s="152" t="s">
        <v>1076</v>
      </c>
      <c r="D108" s="152"/>
      <c r="E108" s="152"/>
      <c r="F108" s="152" t="s">
        <v>840</v>
      </c>
      <c r="G108" s="152"/>
      <c r="H108" s="18"/>
      <c r="I108" s="20">
        <v>13</v>
      </c>
      <c r="J108" s="152" t="s">
        <v>1242</v>
      </c>
      <c r="K108" s="152"/>
      <c r="L108" s="152"/>
      <c r="M108" s="152" t="s">
        <v>840</v>
      </c>
      <c r="N108" s="152"/>
      <c r="O108" s="18"/>
    </row>
    <row r="109" spans="1:15" ht="14.5" customHeight="1">
      <c r="A109" s="18"/>
      <c r="B109" s="20">
        <v>4</v>
      </c>
      <c r="C109" s="134" t="s">
        <v>1236</v>
      </c>
      <c r="D109" s="134"/>
      <c r="E109" s="134"/>
      <c r="F109" s="134" t="s">
        <v>841</v>
      </c>
      <c r="G109" s="134"/>
      <c r="H109" s="18"/>
      <c r="I109" s="20">
        <v>14</v>
      </c>
      <c r="J109" s="134" t="s">
        <v>1070</v>
      </c>
      <c r="K109" s="134"/>
      <c r="L109" s="134"/>
      <c r="M109" s="134" t="s">
        <v>841</v>
      </c>
      <c r="N109" s="134"/>
      <c r="O109" s="18"/>
    </row>
    <row r="110" spans="1:15" ht="14.5" customHeight="1">
      <c r="A110" s="18"/>
      <c r="B110" s="20">
        <v>5</v>
      </c>
      <c r="C110" s="134" t="s">
        <v>1237</v>
      </c>
      <c r="D110" s="134"/>
      <c r="E110" s="134"/>
      <c r="F110" s="134" t="s">
        <v>841</v>
      </c>
      <c r="G110" s="134"/>
      <c r="H110" s="18"/>
      <c r="I110" s="20">
        <v>15</v>
      </c>
      <c r="J110" s="134" t="s">
        <v>1243</v>
      </c>
      <c r="K110" s="134"/>
      <c r="L110" s="134"/>
      <c r="M110" s="134" t="s">
        <v>841</v>
      </c>
      <c r="N110" s="134"/>
      <c r="O110" s="18"/>
    </row>
    <row r="111" spans="1:15" ht="14.5" customHeight="1">
      <c r="A111" s="18"/>
      <c r="B111" s="20">
        <v>6</v>
      </c>
      <c r="C111" s="134" t="s">
        <v>1072</v>
      </c>
      <c r="D111" s="134"/>
      <c r="E111" s="134"/>
      <c r="F111" s="134" t="s">
        <v>841</v>
      </c>
      <c r="G111" s="134"/>
      <c r="H111" s="18"/>
      <c r="I111" s="20">
        <v>16</v>
      </c>
      <c r="J111" s="134" t="s">
        <v>1078</v>
      </c>
      <c r="K111" s="134"/>
      <c r="L111" s="134"/>
      <c r="M111" s="134" t="s">
        <v>841</v>
      </c>
      <c r="N111" s="134"/>
      <c r="O111" s="18"/>
    </row>
    <row r="112" spans="1:15" ht="14.5" customHeight="1">
      <c r="A112" s="18"/>
      <c r="B112" s="20">
        <v>7</v>
      </c>
      <c r="C112" s="134" t="s">
        <v>1238</v>
      </c>
      <c r="D112" s="134"/>
      <c r="E112" s="134"/>
      <c r="F112" s="134" t="s">
        <v>841</v>
      </c>
      <c r="G112" s="134"/>
      <c r="H112" s="18"/>
      <c r="I112" s="20">
        <v>17</v>
      </c>
      <c r="J112" s="134" t="s">
        <v>1079</v>
      </c>
      <c r="K112" s="134"/>
      <c r="L112" s="134"/>
      <c r="M112" s="134" t="s">
        <v>841</v>
      </c>
      <c r="N112" s="134"/>
      <c r="O112" s="18"/>
    </row>
    <row r="113" spans="1:15" ht="14.5" customHeight="1">
      <c r="A113" s="18"/>
      <c r="B113" s="20">
        <v>8</v>
      </c>
      <c r="C113" s="134" t="s">
        <v>1239</v>
      </c>
      <c r="D113" s="134"/>
      <c r="E113" s="134"/>
      <c r="F113" s="134" t="s">
        <v>841</v>
      </c>
      <c r="G113" s="134"/>
      <c r="H113" s="18"/>
      <c r="I113" s="20">
        <v>18</v>
      </c>
      <c r="J113" s="134" t="s">
        <v>1244</v>
      </c>
      <c r="K113" s="134"/>
      <c r="L113" s="134"/>
      <c r="M113" s="134" t="s">
        <v>841</v>
      </c>
      <c r="N113" s="134"/>
      <c r="O113" s="18"/>
    </row>
    <row r="114" spans="1:15" ht="14.5" customHeight="1">
      <c r="A114" s="18"/>
      <c r="B114" s="20">
        <v>9</v>
      </c>
      <c r="C114" s="134" t="s">
        <v>1074</v>
      </c>
      <c r="D114" s="134"/>
      <c r="E114" s="134"/>
      <c r="F114" s="134" t="s">
        <v>841</v>
      </c>
      <c r="G114" s="134"/>
      <c r="H114" s="18"/>
      <c r="I114" s="20">
        <v>19</v>
      </c>
      <c r="J114" s="134" t="s">
        <v>1082</v>
      </c>
      <c r="K114" s="134"/>
      <c r="L114" s="134"/>
      <c r="M114" s="134" t="s">
        <v>841</v>
      </c>
      <c r="N114" s="134"/>
      <c r="O114" s="18"/>
    </row>
    <row r="115" spans="1:15" ht="14.5" customHeight="1">
      <c r="A115" s="18"/>
      <c r="B115" s="20">
        <v>10</v>
      </c>
      <c r="C115" s="134" t="s">
        <v>1240</v>
      </c>
      <c r="D115" s="134"/>
      <c r="E115" s="134"/>
      <c r="F115" s="134" t="s">
        <v>841</v>
      </c>
      <c r="G115" s="134"/>
      <c r="H115" s="18"/>
      <c r="I115" s="20">
        <v>20</v>
      </c>
      <c r="J115" s="134" t="s">
        <v>1245</v>
      </c>
      <c r="K115" s="134"/>
      <c r="L115" s="134"/>
      <c r="M115" s="134" t="s">
        <v>841</v>
      </c>
      <c r="N115" s="134"/>
      <c r="O115" s="18"/>
    </row>
    <row r="116" spans="1:15" ht="14.5" customHeight="1">
      <c r="A116" s="18"/>
      <c r="B116" s="18"/>
      <c r="C116" s="18"/>
      <c r="D116" s="18"/>
      <c r="E116" s="18"/>
      <c r="F116" s="18"/>
      <c r="G116" s="18"/>
      <c r="H116" s="18"/>
      <c r="I116" s="18"/>
      <c r="J116" s="18"/>
      <c r="K116" s="18"/>
      <c r="L116" s="18"/>
      <c r="M116" s="18"/>
      <c r="N116" s="18"/>
      <c r="O116" s="18"/>
    </row>
    <row r="117" spans="1:15" ht="14.5" customHeight="1">
      <c r="A117" s="18"/>
      <c r="B117" s="19" t="s">
        <v>314</v>
      </c>
      <c r="C117" s="135" t="s">
        <v>779</v>
      </c>
      <c r="D117" s="135"/>
      <c r="E117" s="135"/>
      <c r="F117" s="135" t="s">
        <v>755</v>
      </c>
      <c r="G117" s="135"/>
      <c r="H117" s="18"/>
      <c r="I117" s="18"/>
      <c r="J117" s="18"/>
      <c r="K117" s="18"/>
      <c r="L117" s="18"/>
      <c r="M117" s="18"/>
      <c r="N117" s="18"/>
      <c r="O117" s="18"/>
    </row>
    <row r="118" spans="1:15" ht="14.5" customHeight="1">
      <c r="A118" s="18"/>
      <c r="B118" s="20">
        <v>21</v>
      </c>
      <c r="C118" s="152" t="s">
        <v>1234</v>
      </c>
      <c r="D118" s="152"/>
      <c r="E118" s="152"/>
      <c r="F118" s="152" t="s">
        <v>840</v>
      </c>
      <c r="G118" s="152"/>
      <c r="H118" s="18"/>
      <c r="I118" s="18"/>
      <c r="J118" s="18"/>
      <c r="K118" s="18"/>
      <c r="L118" s="18"/>
      <c r="M118" s="18"/>
      <c r="N118" s="18"/>
      <c r="O118" s="18"/>
    </row>
    <row r="119" spans="1:15" ht="14.5" customHeight="1">
      <c r="A119" s="18"/>
      <c r="B119" s="20">
        <v>22</v>
      </c>
      <c r="C119" s="152" t="s">
        <v>1068</v>
      </c>
      <c r="D119" s="152"/>
      <c r="E119" s="152"/>
      <c r="F119" s="152" t="s">
        <v>840</v>
      </c>
      <c r="G119" s="152"/>
      <c r="H119" s="18"/>
      <c r="I119" s="18"/>
      <c r="J119" s="18"/>
      <c r="K119" s="18"/>
      <c r="L119" s="18"/>
      <c r="M119" s="18"/>
      <c r="N119" s="18"/>
      <c r="O119" s="18"/>
    </row>
    <row r="120" spans="1:15" ht="14.5" customHeight="1">
      <c r="A120" s="18"/>
      <c r="B120" s="20">
        <v>23</v>
      </c>
      <c r="C120" s="152" t="s">
        <v>1069</v>
      </c>
      <c r="D120" s="152"/>
      <c r="E120" s="152"/>
      <c r="F120" s="152" t="s">
        <v>840</v>
      </c>
      <c r="G120" s="152"/>
      <c r="H120" s="18"/>
      <c r="I120" s="18"/>
      <c r="J120" s="18"/>
      <c r="K120" s="18"/>
      <c r="L120" s="18"/>
      <c r="M120" s="18"/>
      <c r="N120" s="18"/>
      <c r="O120" s="18"/>
    </row>
    <row r="121" spans="1:15" ht="14.5" customHeight="1">
      <c r="A121" s="18"/>
      <c r="B121" s="20">
        <v>24</v>
      </c>
      <c r="C121" s="134" t="s">
        <v>1247</v>
      </c>
      <c r="D121" s="134"/>
      <c r="E121" s="134"/>
      <c r="F121" s="134" t="s">
        <v>841</v>
      </c>
      <c r="G121" s="134"/>
      <c r="H121" s="18"/>
      <c r="I121" s="18"/>
      <c r="J121" s="18"/>
      <c r="K121" s="18"/>
      <c r="L121" s="18"/>
      <c r="M121" s="18"/>
      <c r="N121" s="18"/>
      <c r="O121" s="18"/>
    </row>
    <row r="122" spans="1:15" ht="14.5" customHeight="1">
      <c r="A122" s="18"/>
      <c r="B122" s="20">
        <v>25</v>
      </c>
      <c r="C122" s="134" t="s">
        <v>1248</v>
      </c>
      <c r="D122" s="134"/>
      <c r="E122" s="134"/>
      <c r="F122" s="134" t="s">
        <v>841</v>
      </c>
      <c r="G122" s="134"/>
      <c r="H122" s="18"/>
      <c r="I122" s="18"/>
      <c r="J122" s="18"/>
      <c r="K122" s="18"/>
      <c r="L122" s="18"/>
      <c r="M122" s="18"/>
      <c r="N122" s="18"/>
      <c r="O122" s="18"/>
    </row>
    <row r="123" spans="1:15" ht="14.5" customHeight="1">
      <c r="A123" s="18"/>
      <c r="B123" s="20">
        <v>26</v>
      </c>
      <c r="C123" s="134" t="s">
        <v>1249</v>
      </c>
      <c r="D123" s="134"/>
      <c r="E123" s="134"/>
      <c r="F123" s="134" t="s">
        <v>841</v>
      </c>
      <c r="G123" s="134"/>
      <c r="H123" s="18"/>
      <c r="I123" s="18"/>
      <c r="J123" s="18"/>
      <c r="K123" s="18"/>
      <c r="L123" s="18"/>
      <c r="M123" s="18"/>
      <c r="N123" s="18"/>
      <c r="O123" s="18"/>
    </row>
    <row r="124" spans="1:15" ht="14.5">
      <c r="A124" s="18"/>
      <c r="B124" s="20">
        <v>27</v>
      </c>
      <c r="C124" s="134" t="s">
        <v>1250</v>
      </c>
      <c r="D124" s="134"/>
      <c r="E124" s="134"/>
      <c r="F124" s="134" t="s">
        <v>841</v>
      </c>
      <c r="G124" s="134"/>
      <c r="H124" s="18"/>
      <c r="I124" s="18"/>
      <c r="J124" s="18"/>
      <c r="K124" s="18"/>
      <c r="L124" s="18"/>
      <c r="M124" s="18"/>
      <c r="N124" s="18"/>
      <c r="O124" s="18"/>
    </row>
    <row r="125" spans="1:15" ht="14.5">
      <c r="A125" s="18"/>
      <c r="B125" s="20">
        <v>28</v>
      </c>
      <c r="C125" s="134" t="s">
        <v>1251</v>
      </c>
      <c r="D125" s="134"/>
      <c r="E125" s="134"/>
      <c r="F125" s="134" t="s">
        <v>841</v>
      </c>
      <c r="G125" s="134"/>
      <c r="H125" s="18"/>
      <c r="I125" s="18"/>
      <c r="J125" s="18"/>
      <c r="K125" s="18"/>
      <c r="L125" s="18"/>
      <c r="M125" s="18"/>
      <c r="N125" s="18"/>
      <c r="O125" s="18"/>
    </row>
    <row r="126" spans="1:15" ht="14.5">
      <c r="A126" s="18"/>
      <c r="B126" s="20">
        <v>29</v>
      </c>
      <c r="C126" s="134" t="s">
        <v>1080</v>
      </c>
      <c r="D126" s="134"/>
      <c r="E126" s="134"/>
      <c r="F126" s="134" t="s">
        <v>841</v>
      </c>
      <c r="G126" s="134"/>
      <c r="H126" s="18"/>
      <c r="I126" s="18"/>
      <c r="J126" s="18"/>
      <c r="K126" s="18"/>
      <c r="L126" s="18"/>
      <c r="M126" s="18"/>
      <c r="N126" s="18"/>
      <c r="O126" s="18"/>
    </row>
    <row r="127" spans="1:15" ht="14.5">
      <c r="A127" s="18"/>
      <c r="B127" s="20">
        <v>30</v>
      </c>
      <c r="C127" s="134" t="s">
        <v>1081</v>
      </c>
      <c r="D127" s="134"/>
      <c r="E127" s="134"/>
      <c r="F127" s="134" t="s">
        <v>841</v>
      </c>
      <c r="G127" s="134"/>
      <c r="H127" s="18"/>
      <c r="I127" s="18"/>
      <c r="J127" s="18"/>
      <c r="K127" s="18"/>
      <c r="L127" s="18"/>
      <c r="M127" s="18"/>
      <c r="N127" s="18"/>
      <c r="O127" s="18"/>
    </row>
    <row r="128" spans="1:15" ht="14.5">
      <c r="A128" s="18"/>
      <c r="B128" s="20">
        <v>31</v>
      </c>
      <c r="C128" s="134" t="s">
        <v>1252</v>
      </c>
      <c r="D128" s="134"/>
      <c r="E128" s="134"/>
      <c r="F128" s="134" t="s">
        <v>841</v>
      </c>
      <c r="G128" s="134"/>
      <c r="H128" s="18"/>
      <c r="I128" s="18"/>
      <c r="J128" s="18"/>
      <c r="K128" s="18"/>
      <c r="L128" s="18"/>
      <c r="M128" s="18"/>
      <c r="N128" s="18"/>
      <c r="O128" s="18"/>
    </row>
    <row r="129" spans="1:15" ht="14.5">
      <c r="A129" s="18"/>
      <c r="B129" s="18"/>
      <c r="C129" s="18"/>
      <c r="D129" s="18"/>
      <c r="E129" s="18"/>
      <c r="F129" s="18"/>
      <c r="G129" s="18"/>
      <c r="H129" s="18"/>
      <c r="I129" s="18"/>
      <c r="J129" s="18"/>
      <c r="K129" s="18"/>
      <c r="L129" s="18"/>
      <c r="M129" s="18"/>
      <c r="N129" s="18"/>
      <c r="O129" s="18"/>
    </row>
    <row r="130" spans="1:15" ht="14.5">
      <c r="A130" s="18"/>
      <c r="B130" s="18"/>
      <c r="C130" s="18"/>
      <c r="D130" s="18"/>
      <c r="E130" s="18"/>
      <c r="F130" s="18"/>
      <c r="G130" s="18"/>
      <c r="H130" s="18"/>
      <c r="I130" s="18"/>
      <c r="J130" s="18"/>
      <c r="K130" s="18"/>
      <c r="L130" s="18"/>
      <c r="M130" s="18"/>
      <c r="N130" s="18"/>
      <c r="O130" s="18"/>
    </row>
  </sheetData>
  <mergeCells count="142">
    <mergeCell ref="F81:G81"/>
    <mergeCell ref="C82:E82"/>
    <mergeCell ref="F82:G82"/>
    <mergeCell ref="C83:E83"/>
    <mergeCell ref="F83:G83"/>
    <mergeCell ref="A1:O1"/>
    <mergeCell ref="C2:F2"/>
    <mergeCell ref="G2:J2"/>
    <mergeCell ref="K2:N2"/>
    <mergeCell ref="A77:O77"/>
    <mergeCell ref="C78:E78"/>
    <mergeCell ref="F78:G78"/>
    <mergeCell ref="C79:E79"/>
    <mergeCell ref="F79:G79"/>
    <mergeCell ref="C80:E80"/>
    <mergeCell ref="F80:G80"/>
    <mergeCell ref="C81:E81"/>
    <mergeCell ref="M81:N81"/>
    <mergeCell ref="J82:L82"/>
    <mergeCell ref="M82:N82"/>
    <mergeCell ref="J83:L83"/>
    <mergeCell ref="M83:N83"/>
    <mergeCell ref="M78:N78"/>
    <mergeCell ref="J79:L79"/>
    <mergeCell ref="M79:N79"/>
    <mergeCell ref="J80:L80"/>
    <mergeCell ref="M80:N80"/>
    <mergeCell ref="J78:L78"/>
    <mergeCell ref="J81:L81"/>
    <mergeCell ref="M87:N87"/>
    <mergeCell ref="J88:L88"/>
    <mergeCell ref="M88:N88"/>
    <mergeCell ref="C90:E90"/>
    <mergeCell ref="F90:G90"/>
    <mergeCell ref="M84:N84"/>
    <mergeCell ref="J85:L85"/>
    <mergeCell ref="M85:N85"/>
    <mergeCell ref="J86:L86"/>
    <mergeCell ref="M86:N86"/>
    <mergeCell ref="C87:E87"/>
    <mergeCell ref="F87:G87"/>
    <mergeCell ref="C88:E88"/>
    <mergeCell ref="F88:G88"/>
    <mergeCell ref="J84:L84"/>
    <mergeCell ref="J87:L87"/>
    <mergeCell ref="C84:E84"/>
    <mergeCell ref="F84:G84"/>
    <mergeCell ref="C85:E85"/>
    <mergeCell ref="F85:G85"/>
    <mergeCell ref="C86:E86"/>
    <mergeCell ref="F86:G86"/>
    <mergeCell ref="C94:E94"/>
    <mergeCell ref="F94:G94"/>
    <mergeCell ref="C95:E95"/>
    <mergeCell ref="F95:G95"/>
    <mergeCell ref="C96:E96"/>
    <mergeCell ref="F96:G96"/>
    <mergeCell ref="C91:E91"/>
    <mergeCell ref="F91:G91"/>
    <mergeCell ref="C92:E92"/>
    <mergeCell ref="F92:G92"/>
    <mergeCell ref="C93:E93"/>
    <mergeCell ref="F93:G93"/>
    <mergeCell ref="C100:E100"/>
    <mergeCell ref="F100:G100"/>
    <mergeCell ref="C101:E101"/>
    <mergeCell ref="F101:G101"/>
    <mergeCell ref="A104:O104"/>
    <mergeCell ref="C97:E97"/>
    <mergeCell ref="F97:G97"/>
    <mergeCell ref="C98:E98"/>
    <mergeCell ref="F98:G98"/>
    <mergeCell ref="C99:E99"/>
    <mergeCell ref="F99:G99"/>
    <mergeCell ref="C108:E108"/>
    <mergeCell ref="F108:G108"/>
    <mergeCell ref="C109:E109"/>
    <mergeCell ref="F109:G109"/>
    <mergeCell ref="C110:E110"/>
    <mergeCell ref="F110:G110"/>
    <mergeCell ref="C105:E105"/>
    <mergeCell ref="F105:G105"/>
    <mergeCell ref="C106:E106"/>
    <mergeCell ref="F106:G106"/>
    <mergeCell ref="C107:E107"/>
    <mergeCell ref="F107:G107"/>
    <mergeCell ref="M108:N108"/>
    <mergeCell ref="J109:L109"/>
    <mergeCell ref="M109:N109"/>
    <mergeCell ref="J110:L110"/>
    <mergeCell ref="M110:N110"/>
    <mergeCell ref="M105:N105"/>
    <mergeCell ref="J106:L106"/>
    <mergeCell ref="M106:N106"/>
    <mergeCell ref="J107:L107"/>
    <mergeCell ref="M107:N107"/>
    <mergeCell ref="J105:L105"/>
    <mergeCell ref="J108:L108"/>
    <mergeCell ref="M114:N114"/>
    <mergeCell ref="J115:L115"/>
    <mergeCell ref="M115:N115"/>
    <mergeCell ref="C117:E117"/>
    <mergeCell ref="F117:G117"/>
    <mergeCell ref="M111:N111"/>
    <mergeCell ref="J112:L112"/>
    <mergeCell ref="M112:N112"/>
    <mergeCell ref="J113:L113"/>
    <mergeCell ref="M113:N113"/>
    <mergeCell ref="C114:E114"/>
    <mergeCell ref="F114:G114"/>
    <mergeCell ref="C115:E115"/>
    <mergeCell ref="F115:G115"/>
    <mergeCell ref="J111:L111"/>
    <mergeCell ref="J114:L114"/>
    <mergeCell ref="C111:E111"/>
    <mergeCell ref="F111:G111"/>
    <mergeCell ref="C112:E112"/>
    <mergeCell ref="F112:G112"/>
    <mergeCell ref="C113:E113"/>
    <mergeCell ref="F113:G113"/>
    <mergeCell ref="C121:E121"/>
    <mergeCell ref="F121:G121"/>
    <mergeCell ref="C122:E122"/>
    <mergeCell ref="F122:G122"/>
    <mergeCell ref="C123:E123"/>
    <mergeCell ref="F123:G123"/>
    <mergeCell ref="C118:E118"/>
    <mergeCell ref="F118:G118"/>
    <mergeCell ref="C119:E119"/>
    <mergeCell ref="F119:G119"/>
    <mergeCell ref="C120:E120"/>
    <mergeCell ref="F120:G120"/>
    <mergeCell ref="C127:E127"/>
    <mergeCell ref="F127:G127"/>
    <mergeCell ref="C128:E128"/>
    <mergeCell ref="F128:G128"/>
    <mergeCell ref="C124:E124"/>
    <mergeCell ref="F124:G124"/>
    <mergeCell ref="C125:E125"/>
    <mergeCell ref="F125:G125"/>
    <mergeCell ref="C126:E126"/>
    <mergeCell ref="F126:G12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1EE2-D26B-44F3-BCE3-B8F6C10121EC}">
  <dimension ref="A1:S122"/>
  <sheetViews>
    <sheetView showGridLines="0" rightToLeft="1" topLeftCell="B1" workbookViewId="0">
      <pane ySplit="3" topLeftCell="A52" activePane="bottomLeft" state="frozen"/>
      <selection pane="bottomLeft" activeCell="F76" sqref="C76:G77"/>
    </sheetView>
  </sheetViews>
  <sheetFormatPr defaultRowHeight="14"/>
  <cols>
    <col min="1" max="1" width="15.83203125" customWidth="1"/>
    <col min="2" max="2" width="17.5" customWidth="1"/>
    <col min="3" max="18" width="13" customWidth="1"/>
    <col min="19" max="19" width="17.5" customWidth="1"/>
  </cols>
  <sheetData>
    <row r="1" spans="1:19" ht="26" customHeight="1">
      <c r="A1" s="119" t="s">
        <v>490</v>
      </c>
      <c r="B1" s="119"/>
      <c r="C1" s="119"/>
      <c r="D1" s="119"/>
      <c r="E1" s="119"/>
      <c r="F1" s="119"/>
      <c r="G1" s="119"/>
      <c r="H1" s="119"/>
      <c r="I1" s="119"/>
      <c r="J1" s="119"/>
      <c r="K1" s="119"/>
      <c r="L1" s="119"/>
      <c r="M1" s="119"/>
      <c r="N1" s="119"/>
      <c r="O1" s="119"/>
      <c r="P1" s="119"/>
      <c r="Q1" s="119"/>
      <c r="R1" s="119"/>
      <c r="S1" s="119"/>
    </row>
    <row r="2" spans="1:19" ht="20" customHeight="1">
      <c r="A2" s="49"/>
      <c r="B2" s="49"/>
      <c r="C2" s="137" t="s">
        <v>447</v>
      </c>
      <c r="D2" s="137"/>
      <c r="E2" s="137"/>
      <c r="F2" s="137"/>
      <c r="G2" s="137" t="s">
        <v>448</v>
      </c>
      <c r="H2" s="137"/>
      <c r="I2" s="137"/>
      <c r="J2" s="137"/>
      <c r="K2" s="137" t="s">
        <v>489</v>
      </c>
      <c r="L2" s="137"/>
      <c r="M2" s="137"/>
      <c r="N2" s="137"/>
      <c r="O2" s="137" t="s">
        <v>491</v>
      </c>
      <c r="P2" s="137"/>
      <c r="Q2" s="137"/>
      <c r="R2" s="137"/>
      <c r="S2" s="49"/>
    </row>
    <row r="3" spans="1:19" ht="32" customHeight="1" thickBot="1">
      <c r="A3" s="49" t="s">
        <v>426</v>
      </c>
      <c r="B3" s="49" t="s">
        <v>7</v>
      </c>
      <c r="C3" s="49" t="s">
        <v>8</v>
      </c>
      <c r="D3" s="49" t="s">
        <v>9</v>
      </c>
      <c r="E3" s="49" t="s">
        <v>84</v>
      </c>
      <c r="F3" s="49" t="s">
        <v>119</v>
      </c>
      <c r="G3" s="49" t="s">
        <v>8</v>
      </c>
      <c r="H3" s="49" t="s">
        <v>9</v>
      </c>
      <c r="I3" s="49" t="s">
        <v>84</v>
      </c>
      <c r="J3" s="49" t="s">
        <v>119</v>
      </c>
      <c r="K3" s="49" t="s">
        <v>8</v>
      </c>
      <c r="L3" s="49" t="s">
        <v>9</v>
      </c>
      <c r="M3" s="49" t="s">
        <v>84</v>
      </c>
      <c r="N3" s="49" t="s">
        <v>119</v>
      </c>
      <c r="O3" s="49" t="s">
        <v>8</v>
      </c>
      <c r="P3" s="49" t="s">
        <v>9</v>
      </c>
      <c r="Q3" s="49" t="s">
        <v>84</v>
      </c>
      <c r="R3" s="49" t="s">
        <v>119</v>
      </c>
      <c r="S3" s="49" t="s">
        <v>427</v>
      </c>
    </row>
    <row r="4" spans="1:19"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28</v>
      </c>
      <c r="D4" s="51" t="s">
        <v>36</v>
      </c>
      <c r="E4" s="51"/>
      <c r="F4" s="51"/>
      <c r="G4" s="51" t="s">
        <v>299</v>
      </c>
      <c r="H4" s="51" t="s">
        <v>111</v>
      </c>
      <c r="I4" s="51"/>
      <c r="J4" s="51"/>
      <c r="K4" s="51" t="s">
        <v>269</v>
      </c>
      <c r="L4" s="51" t="s">
        <v>173</v>
      </c>
      <c r="M4" s="51"/>
      <c r="N4" s="51"/>
      <c r="O4" s="51" t="s">
        <v>493</v>
      </c>
      <c r="P4" s="51" t="s">
        <v>492</v>
      </c>
      <c r="Q4" s="51"/>
      <c r="R4" s="51"/>
      <c r="S4" s="51">
        <f>COUNTA(C4:R12)</f>
        <v>80</v>
      </c>
    </row>
    <row r="5" spans="1:19"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49</v>
      </c>
      <c r="D5" s="50" t="s">
        <v>10</v>
      </c>
      <c r="E5" s="50" t="s">
        <v>12</v>
      </c>
      <c r="F5" s="50"/>
      <c r="G5" s="50" t="s">
        <v>116</v>
      </c>
      <c r="H5" s="50" t="s">
        <v>90</v>
      </c>
      <c r="I5" s="50" t="s">
        <v>85</v>
      </c>
      <c r="J5" s="50"/>
      <c r="K5" s="50" t="s">
        <v>165</v>
      </c>
      <c r="L5" s="50" t="s">
        <v>144</v>
      </c>
      <c r="M5" s="50" t="s">
        <v>190</v>
      </c>
      <c r="N5" s="50"/>
      <c r="O5" s="50" t="s">
        <v>210</v>
      </c>
      <c r="P5" s="50" t="s">
        <v>182</v>
      </c>
      <c r="Q5" s="50" t="s">
        <v>213</v>
      </c>
      <c r="R5" s="50"/>
      <c r="S5" s="50"/>
    </row>
    <row r="6" spans="1:19"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c r="D6" s="47"/>
      <c r="E6" s="47"/>
      <c r="F6" s="47"/>
      <c r="G6" s="47"/>
      <c r="H6" s="47"/>
      <c r="I6" s="47"/>
      <c r="J6" s="47"/>
      <c r="K6" s="47"/>
      <c r="L6" s="47"/>
      <c r="M6" s="47"/>
      <c r="N6" s="47"/>
      <c r="O6" s="47"/>
      <c r="P6" s="47"/>
      <c r="Q6" s="47"/>
      <c r="R6" s="47"/>
      <c r="S6" s="47"/>
    </row>
    <row r="7" spans="1:19"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48</v>
      </c>
      <c r="D7" s="47" t="s">
        <v>27</v>
      </c>
      <c r="E7" s="47" t="s">
        <v>14</v>
      </c>
      <c r="F7" s="47" t="s">
        <v>15</v>
      </c>
      <c r="G7" s="47" t="s">
        <v>114</v>
      </c>
      <c r="H7" s="47" t="s">
        <v>142</v>
      </c>
      <c r="I7" s="47" t="s">
        <v>75</v>
      </c>
      <c r="J7" s="47" t="s">
        <v>98</v>
      </c>
      <c r="K7" s="47" t="s">
        <v>160</v>
      </c>
      <c r="L7" s="47" t="s">
        <v>149</v>
      </c>
      <c r="M7" s="47" t="s">
        <v>134</v>
      </c>
      <c r="N7" s="47" t="s">
        <v>147</v>
      </c>
      <c r="O7" s="47" t="s">
        <v>372</v>
      </c>
      <c r="P7" s="47" t="s">
        <v>309</v>
      </c>
      <c r="Q7" s="47" t="s">
        <v>172</v>
      </c>
      <c r="R7" s="47" t="s">
        <v>193</v>
      </c>
      <c r="S7" s="47"/>
    </row>
    <row r="8" spans="1:19"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38</v>
      </c>
      <c r="D8" s="47"/>
      <c r="E8" s="47"/>
      <c r="F8" s="47"/>
      <c r="G8" s="47" t="s">
        <v>135</v>
      </c>
      <c r="H8" s="47"/>
      <c r="I8" s="47"/>
      <c r="J8" s="47"/>
      <c r="K8" s="47" t="s">
        <v>180</v>
      </c>
      <c r="L8" s="47"/>
      <c r="M8" s="47"/>
      <c r="N8" s="47"/>
      <c r="O8" s="47" t="s">
        <v>395</v>
      </c>
      <c r="P8" s="47"/>
      <c r="Q8" s="47"/>
      <c r="R8" s="47"/>
      <c r="S8" s="47"/>
    </row>
    <row r="9" spans="1:19"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24</v>
      </c>
      <c r="D9" s="47" t="s">
        <v>33</v>
      </c>
      <c r="E9" s="47"/>
      <c r="F9" s="47"/>
      <c r="G9" s="47" t="s">
        <v>224</v>
      </c>
      <c r="H9" s="47" t="s">
        <v>109</v>
      </c>
      <c r="I9" s="47"/>
      <c r="J9" s="47"/>
      <c r="K9" s="47" t="s">
        <v>232</v>
      </c>
      <c r="L9" s="47" t="s">
        <v>192</v>
      </c>
      <c r="M9" s="47"/>
      <c r="N9" s="47"/>
      <c r="O9" s="47" t="s">
        <v>189</v>
      </c>
      <c r="P9" s="47" t="s">
        <v>216</v>
      </c>
      <c r="Q9" s="47"/>
      <c r="R9" s="47"/>
      <c r="S9" s="47"/>
    </row>
    <row r="10" spans="1:19"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51</v>
      </c>
      <c r="D10" s="47" t="s">
        <v>42</v>
      </c>
      <c r="E10" s="47" t="s">
        <v>23</v>
      </c>
      <c r="F10" s="47"/>
      <c r="G10" s="47" t="s">
        <v>115</v>
      </c>
      <c r="H10" s="47" t="s">
        <v>300</v>
      </c>
      <c r="I10" s="47" t="s">
        <v>86</v>
      </c>
      <c r="J10" s="47"/>
      <c r="K10" s="47" t="s">
        <v>264</v>
      </c>
      <c r="L10" s="47" t="s">
        <v>236</v>
      </c>
      <c r="M10" s="47" t="s">
        <v>260</v>
      </c>
      <c r="N10" s="47"/>
      <c r="O10" s="47" t="s">
        <v>396</v>
      </c>
      <c r="P10" s="47" t="s">
        <v>494</v>
      </c>
      <c r="Q10" s="47" t="s">
        <v>238</v>
      </c>
      <c r="R10" s="47"/>
      <c r="S10" s="47"/>
    </row>
    <row r="11" spans="1:19"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26</v>
      </c>
      <c r="D11" s="47"/>
      <c r="E11" s="47"/>
      <c r="F11" s="47"/>
      <c r="G11" s="47" t="s">
        <v>96</v>
      </c>
      <c r="H11" s="47"/>
      <c r="I11" s="47"/>
      <c r="J11" s="47"/>
      <c r="K11" s="47" t="s">
        <v>159</v>
      </c>
      <c r="L11" s="47"/>
      <c r="M11" s="47"/>
      <c r="N11" s="47"/>
      <c r="O11" s="47" t="s">
        <v>197</v>
      </c>
      <c r="P11" s="47"/>
      <c r="Q11" s="47"/>
      <c r="R11" s="47"/>
      <c r="S11" s="47"/>
    </row>
    <row r="12" spans="1:19"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13</v>
      </c>
      <c r="D12" s="48" t="s">
        <v>32</v>
      </c>
      <c r="E12" s="48" t="s">
        <v>43</v>
      </c>
      <c r="F12" s="48" t="s">
        <v>53</v>
      </c>
      <c r="G12" s="48" t="s">
        <v>99</v>
      </c>
      <c r="H12" s="48" t="s">
        <v>105</v>
      </c>
      <c r="I12" s="48" t="s">
        <v>110</v>
      </c>
      <c r="J12" s="48" t="s">
        <v>249</v>
      </c>
      <c r="K12" s="48" t="s">
        <v>148</v>
      </c>
      <c r="L12" s="48" t="s">
        <v>257</v>
      </c>
      <c r="M12" s="48" t="s">
        <v>357</v>
      </c>
      <c r="N12" s="48" t="s">
        <v>259</v>
      </c>
      <c r="O12" s="48" t="s">
        <v>194</v>
      </c>
      <c r="P12" s="48" t="s">
        <v>496</v>
      </c>
      <c r="Q12" s="48" t="s">
        <v>497</v>
      </c>
      <c r="R12" s="48" t="s">
        <v>495</v>
      </c>
      <c r="S12" s="48"/>
    </row>
    <row r="13" spans="1:19"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19</v>
      </c>
      <c r="D13" s="51" t="s">
        <v>29</v>
      </c>
      <c r="E13" s="51"/>
      <c r="F13" s="51"/>
      <c r="G13" s="51" t="s">
        <v>88</v>
      </c>
      <c r="H13" s="51" t="s">
        <v>112</v>
      </c>
      <c r="I13" s="51"/>
      <c r="J13" s="51"/>
      <c r="K13" s="51" t="s">
        <v>153</v>
      </c>
      <c r="L13" s="51" t="s">
        <v>152</v>
      </c>
      <c r="M13" s="51"/>
      <c r="N13" s="51"/>
      <c r="O13" s="51" t="s">
        <v>233</v>
      </c>
      <c r="P13" s="51" t="s">
        <v>295</v>
      </c>
      <c r="Q13" s="51"/>
      <c r="R13" s="51"/>
      <c r="S13" s="51">
        <f>COUNTA(C13:R21)</f>
        <v>80</v>
      </c>
    </row>
    <row r="14" spans="1:19"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44</v>
      </c>
      <c r="D14" s="50" t="s">
        <v>20</v>
      </c>
      <c r="E14" s="50" t="s">
        <v>46</v>
      </c>
      <c r="F14" s="50"/>
      <c r="G14" s="50" t="s">
        <v>126</v>
      </c>
      <c r="H14" s="50" t="s">
        <v>80</v>
      </c>
      <c r="I14" s="50" t="s">
        <v>118</v>
      </c>
      <c r="J14" s="50"/>
      <c r="K14" s="50" t="s">
        <v>157</v>
      </c>
      <c r="L14" s="50" t="s">
        <v>138</v>
      </c>
      <c r="M14" s="50" t="s">
        <v>352</v>
      </c>
      <c r="N14" s="50"/>
      <c r="O14" s="50" t="s">
        <v>365</v>
      </c>
      <c r="P14" s="50" t="s">
        <v>179</v>
      </c>
      <c r="Q14" s="50" t="s">
        <v>498</v>
      </c>
      <c r="R14" s="50"/>
      <c r="S14" s="50"/>
    </row>
    <row r="15" spans="1:19"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c r="D15" s="47"/>
      <c r="E15" s="47"/>
      <c r="F15" s="47"/>
      <c r="G15" s="47"/>
      <c r="H15" s="47"/>
      <c r="I15" s="47"/>
      <c r="J15" s="47"/>
      <c r="K15" s="47"/>
      <c r="L15" s="47"/>
      <c r="M15" s="47"/>
      <c r="N15" s="47"/>
      <c r="O15" s="47"/>
      <c r="P15" s="47"/>
      <c r="Q15" s="47"/>
      <c r="R15" s="47"/>
      <c r="S15" s="47"/>
    </row>
    <row r="16" spans="1:19"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31</v>
      </c>
      <c r="D16" s="47" t="s">
        <v>17</v>
      </c>
      <c r="E16" s="47" t="s">
        <v>30</v>
      </c>
      <c r="F16" s="47" t="s">
        <v>50</v>
      </c>
      <c r="G16" s="47" t="s">
        <v>102</v>
      </c>
      <c r="H16" s="47" t="s">
        <v>82</v>
      </c>
      <c r="I16" s="47" t="s">
        <v>94</v>
      </c>
      <c r="J16" s="47" t="s">
        <v>117</v>
      </c>
      <c r="K16" s="47" t="s">
        <v>163</v>
      </c>
      <c r="L16" s="47" t="s">
        <v>124</v>
      </c>
      <c r="M16" s="47" t="s">
        <v>231</v>
      </c>
      <c r="N16" s="47" t="s">
        <v>158</v>
      </c>
      <c r="O16" s="47" t="s">
        <v>206</v>
      </c>
      <c r="P16" s="47" t="s">
        <v>175</v>
      </c>
      <c r="Q16" s="47" t="s">
        <v>500</v>
      </c>
      <c r="R16" s="47" t="s">
        <v>394</v>
      </c>
      <c r="S16" s="47"/>
    </row>
    <row r="17" spans="1:19"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39</v>
      </c>
      <c r="D17" s="47"/>
      <c r="E17" s="47"/>
      <c r="F17" s="47"/>
      <c r="G17" s="47" t="s">
        <v>107</v>
      </c>
      <c r="H17" s="47"/>
      <c r="I17" s="47"/>
      <c r="J17" s="47"/>
      <c r="K17" s="47" t="s">
        <v>355</v>
      </c>
      <c r="L17" s="47"/>
      <c r="M17" s="47"/>
      <c r="N17" s="47"/>
      <c r="O17" s="47" t="s">
        <v>499</v>
      </c>
      <c r="P17" s="47"/>
      <c r="Q17" s="47"/>
      <c r="R17" s="47"/>
      <c r="S17" s="47"/>
    </row>
    <row r="18" spans="1:19"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25</v>
      </c>
      <c r="D18" s="47" t="s">
        <v>35</v>
      </c>
      <c r="E18" s="47" t="s">
        <v>54</v>
      </c>
      <c r="F18" s="47"/>
      <c r="G18" s="47" t="s">
        <v>97</v>
      </c>
      <c r="H18" s="47" t="s">
        <v>223</v>
      </c>
      <c r="I18" s="47" t="s">
        <v>226</v>
      </c>
      <c r="J18" s="47"/>
      <c r="K18" s="47" t="s">
        <v>146</v>
      </c>
      <c r="L18" s="47" t="s">
        <v>176</v>
      </c>
      <c r="M18" s="47" t="s">
        <v>228</v>
      </c>
      <c r="N18" s="47"/>
      <c r="O18" s="47" t="s">
        <v>501</v>
      </c>
      <c r="P18" s="47" t="s">
        <v>311</v>
      </c>
      <c r="Q18" s="47" t="s">
        <v>369</v>
      </c>
      <c r="R18" s="47"/>
      <c r="S18" s="47"/>
    </row>
    <row r="19" spans="1:19"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11</v>
      </c>
      <c r="D19" s="47" t="s">
        <v>41</v>
      </c>
      <c r="E19" s="47"/>
      <c r="F19" s="47"/>
      <c r="G19" s="47" t="s">
        <v>139</v>
      </c>
      <c r="H19" s="47" t="s">
        <v>106</v>
      </c>
      <c r="I19" s="47"/>
      <c r="J19" s="47"/>
      <c r="K19" s="47" t="s">
        <v>143</v>
      </c>
      <c r="L19" s="47" t="s">
        <v>187</v>
      </c>
      <c r="M19" s="47"/>
      <c r="N19" s="47"/>
      <c r="O19" s="47" t="s">
        <v>169</v>
      </c>
      <c r="P19" s="47" t="s">
        <v>397</v>
      </c>
      <c r="Q19" s="47"/>
      <c r="R19" s="47"/>
      <c r="S19" s="47"/>
    </row>
    <row r="20" spans="1:19"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52</v>
      </c>
      <c r="D20" s="47"/>
      <c r="E20" s="47"/>
      <c r="F20" s="47"/>
      <c r="G20" s="47" t="s">
        <v>130</v>
      </c>
      <c r="H20" s="47"/>
      <c r="I20" s="47"/>
      <c r="J20" s="47"/>
      <c r="K20" s="47" t="s">
        <v>156</v>
      </c>
      <c r="L20" s="47"/>
      <c r="M20" s="47"/>
      <c r="N20" s="47"/>
      <c r="O20" s="47" t="s">
        <v>367</v>
      </c>
      <c r="P20" s="47"/>
      <c r="Q20" s="47"/>
      <c r="R20" s="47"/>
      <c r="S20" s="47"/>
    </row>
    <row r="21" spans="1:19"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34</v>
      </c>
      <c r="D21" s="48" t="s">
        <v>40</v>
      </c>
      <c r="E21" s="48" t="s">
        <v>21</v>
      </c>
      <c r="F21" s="48" t="s">
        <v>16</v>
      </c>
      <c r="G21" s="48" t="s">
        <v>103</v>
      </c>
      <c r="H21" s="48" t="s">
        <v>108</v>
      </c>
      <c r="I21" s="48" t="s">
        <v>83</v>
      </c>
      <c r="J21" s="48" t="s">
        <v>222</v>
      </c>
      <c r="K21" s="48" t="s">
        <v>230</v>
      </c>
      <c r="L21" s="48" t="s">
        <v>191</v>
      </c>
      <c r="M21" s="48" t="s">
        <v>137</v>
      </c>
      <c r="N21" s="48" t="s">
        <v>141</v>
      </c>
      <c r="O21" s="48" t="s">
        <v>502</v>
      </c>
      <c r="P21" s="48" t="s">
        <v>371</v>
      </c>
      <c r="Q21" s="48" t="s">
        <v>178</v>
      </c>
      <c r="R21" s="48" t="s">
        <v>188</v>
      </c>
      <c r="S21" s="48"/>
    </row>
    <row r="22" spans="1:19"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18</v>
      </c>
      <c r="D22" s="51" t="s">
        <v>37</v>
      </c>
      <c r="E22" s="51" t="s">
        <v>47</v>
      </c>
      <c r="F22" s="51" t="s">
        <v>22</v>
      </c>
      <c r="G22" s="51" t="s">
        <v>89</v>
      </c>
      <c r="H22" s="51" t="s">
        <v>104</v>
      </c>
      <c r="I22" s="51" t="s">
        <v>302</v>
      </c>
      <c r="J22" s="51" t="s">
        <v>91</v>
      </c>
      <c r="K22" s="51" t="s">
        <v>254</v>
      </c>
      <c r="L22" s="51" t="s">
        <v>162</v>
      </c>
      <c r="M22" s="51" t="s">
        <v>356</v>
      </c>
      <c r="N22" s="51" t="s">
        <v>131</v>
      </c>
      <c r="O22" s="51" t="s">
        <v>181</v>
      </c>
      <c r="P22" s="51" t="s">
        <v>196</v>
      </c>
      <c r="Q22" s="51" t="s">
        <v>503</v>
      </c>
      <c r="R22" s="51" t="s">
        <v>183</v>
      </c>
      <c r="S22" s="51">
        <f>COUNTA(C22:R29)</f>
        <v>80</v>
      </c>
    </row>
    <row r="23" spans="1:19"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45</v>
      </c>
      <c r="D23" s="50"/>
      <c r="E23" s="50"/>
      <c r="F23" s="50"/>
      <c r="G23" s="50" t="s">
        <v>140</v>
      </c>
      <c r="H23" s="50"/>
      <c r="I23" s="50"/>
      <c r="J23" s="50"/>
      <c r="K23" s="50" t="s">
        <v>229</v>
      </c>
      <c r="L23" s="50"/>
      <c r="M23" s="50"/>
      <c r="N23" s="50"/>
      <c r="O23" s="50" t="s">
        <v>379</v>
      </c>
      <c r="P23" s="50"/>
      <c r="Q23" s="50"/>
      <c r="R23" s="50"/>
      <c r="S23" s="50"/>
    </row>
    <row r="24" spans="1:19"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46</v>
      </c>
      <c r="D24" s="47" t="s">
        <v>36</v>
      </c>
      <c r="E24" s="47" t="s">
        <v>10</v>
      </c>
      <c r="F24" s="47"/>
      <c r="G24" s="47" t="s">
        <v>118</v>
      </c>
      <c r="H24" s="47" t="s">
        <v>111</v>
      </c>
      <c r="I24" s="47" t="s">
        <v>90</v>
      </c>
      <c r="J24" s="47"/>
      <c r="K24" s="47" t="s">
        <v>352</v>
      </c>
      <c r="L24" s="47" t="s">
        <v>173</v>
      </c>
      <c r="M24" s="47" t="s">
        <v>144</v>
      </c>
      <c r="N24" s="47"/>
      <c r="O24" s="47" t="s">
        <v>498</v>
      </c>
      <c r="P24" s="47" t="s">
        <v>492</v>
      </c>
      <c r="Q24" s="47" t="s">
        <v>182</v>
      </c>
      <c r="R24" s="47"/>
      <c r="S24" s="47"/>
    </row>
    <row r="25" spans="1:19"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38</v>
      </c>
      <c r="D25" s="47" t="s">
        <v>26</v>
      </c>
      <c r="E25" s="47"/>
      <c r="F25" s="47"/>
      <c r="G25" s="47" t="s">
        <v>135</v>
      </c>
      <c r="H25" s="47" t="s">
        <v>96</v>
      </c>
      <c r="I25" s="47"/>
      <c r="J25" s="47"/>
      <c r="K25" s="47" t="s">
        <v>180</v>
      </c>
      <c r="L25" s="47" t="s">
        <v>159</v>
      </c>
      <c r="M25" s="47"/>
      <c r="N25" s="47"/>
      <c r="O25" s="47" t="s">
        <v>395</v>
      </c>
      <c r="P25" s="47" t="s">
        <v>197</v>
      </c>
      <c r="Q25" s="47"/>
      <c r="R25" s="47"/>
      <c r="S25" s="47"/>
    </row>
    <row r="26" spans="1:19"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20</v>
      </c>
      <c r="D26" s="47" t="s">
        <v>32</v>
      </c>
      <c r="E26" s="47"/>
      <c r="F26" s="47"/>
      <c r="G26" s="47" t="s">
        <v>80</v>
      </c>
      <c r="H26" s="47" t="s">
        <v>105</v>
      </c>
      <c r="I26" s="47"/>
      <c r="J26" s="47"/>
      <c r="K26" s="47" t="s">
        <v>138</v>
      </c>
      <c r="L26" s="47" t="s">
        <v>257</v>
      </c>
      <c r="M26" s="47"/>
      <c r="N26" s="47"/>
      <c r="O26" s="47" t="s">
        <v>179</v>
      </c>
      <c r="P26" s="47" t="s">
        <v>496</v>
      </c>
      <c r="Q26" s="47"/>
      <c r="R26" s="47"/>
      <c r="S26" s="47"/>
    </row>
    <row r="27" spans="1:19"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52</v>
      </c>
      <c r="D27" s="47" t="s">
        <v>13</v>
      </c>
      <c r="E27" s="47" t="s">
        <v>40</v>
      </c>
      <c r="F27" s="47"/>
      <c r="G27" s="47" t="s">
        <v>130</v>
      </c>
      <c r="H27" s="47" t="s">
        <v>99</v>
      </c>
      <c r="I27" s="47" t="s">
        <v>108</v>
      </c>
      <c r="J27" s="47"/>
      <c r="K27" s="47" t="s">
        <v>156</v>
      </c>
      <c r="L27" s="47" t="s">
        <v>148</v>
      </c>
      <c r="M27" s="47" t="s">
        <v>191</v>
      </c>
      <c r="N27" s="47"/>
      <c r="O27" s="47" t="s">
        <v>367</v>
      </c>
      <c r="P27" s="47" t="s">
        <v>194</v>
      </c>
      <c r="Q27" s="47" t="s">
        <v>371</v>
      </c>
      <c r="R27" s="47"/>
      <c r="S27" s="47"/>
    </row>
    <row r="28" spans="1:19"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11</v>
      </c>
      <c r="D28" s="47"/>
      <c r="E28" s="47"/>
      <c r="F28" s="47"/>
      <c r="G28" s="47" t="s">
        <v>139</v>
      </c>
      <c r="H28" s="47"/>
      <c r="I28" s="47"/>
      <c r="J28" s="47"/>
      <c r="K28" s="47" t="s">
        <v>143</v>
      </c>
      <c r="L28" s="47"/>
      <c r="M28" s="47"/>
      <c r="N28" s="47"/>
      <c r="O28" s="47" t="s">
        <v>169</v>
      </c>
      <c r="P28" s="47"/>
      <c r="Q28" s="47"/>
      <c r="R28" s="47"/>
      <c r="S28" s="47"/>
    </row>
    <row r="29" spans="1:19" ht="14.5" customHeight="1" thickBot="1">
      <c r="A29" s="48"/>
      <c r="B29"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8" t="s">
        <v>51</v>
      </c>
      <c r="D29" s="48" t="s">
        <v>24</v>
      </c>
      <c r="E29" s="48" t="s">
        <v>41</v>
      </c>
      <c r="F29" s="48" t="s">
        <v>33</v>
      </c>
      <c r="G29" s="48" t="s">
        <v>115</v>
      </c>
      <c r="H29" s="48" t="s">
        <v>224</v>
      </c>
      <c r="I29" s="48" t="s">
        <v>106</v>
      </c>
      <c r="J29" s="48" t="s">
        <v>109</v>
      </c>
      <c r="K29" s="48" t="s">
        <v>264</v>
      </c>
      <c r="L29" s="48" t="s">
        <v>232</v>
      </c>
      <c r="M29" s="48" t="s">
        <v>187</v>
      </c>
      <c r="N29" s="48" t="s">
        <v>192</v>
      </c>
      <c r="O29" s="48" t="s">
        <v>396</v>
      </c>
      <c r="P29" s="48" t="s">
        <v>189</v>
      </c>
      <c r="Q29" s="48" t="s">
        <v>397</v>
      </c>
      <c r="R29" s="48" t="s">
        <v>216</v>
      </c>
      <c r="S29" s="48"/>
    </row>
    <row r="30" spans="1:19" ht="14.5" customHeight="1">
      <c r="A30" s="51" t="s">
        <v>431</v>
      </c>
      <c r="B3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0" s="51" t="s">
        <v>16</v>
      </c>
      <c r="D30" s="51" t="s">
        <v>47</v>
      </c>
      <c r="E30" s="51" t="s">
        <v>29</v>
      </c>
      <c r="F30" s="51" t="s">
        <v>39</v>
      </c>
      <c r="G30" s="51" t="s">
        <v>222</v>
      </c>
      <c r="H30" s="51" t="s">
        <v>302</v>
      </c>
      <c r="I30" s="51" t="s">
        <v>112</v>
      </c>
      <c r="J30" s="51" t="s">
        <v>107</v>
      </c>
      <c r="K30" s="51" t="s">
        <v>141</v>
      </c>
      <c r="L30" s="51" t="s">
        <v>356</v>
      </c>
      <c r="M30" s="51" t="s">
        <v>152</v>
      </c>
      <c r="N30" s="51" t="s">
        <v>355</v>
      </c>
      <c r="O30" s="51" t="s">
        <v>188</v>
      </c>
      <c r="P30" s="51" t="s">
        <v>503</v>
      </c>
      <c r="Q30" s="51" t="s">
        <v>295</v>
      </c>
      <c r="R30" s="51" t="s">
        <v>499</v>
      </c>
      <c r="S30" s="51">
        <f>COUNTA(C30:R37)</f>
        <v>80</v>
      </c>
    </row>
    <row r="31" spans="1:19" ht="14.5" customHeight="1">
      <c r="A31" s="50"/>
      <c r="B3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1" s="50" t="s">
        <v>31</v>
      </c>
      <c r="D31" s="50"/>
      <c r="E31" s="50"/>
      <c r="F31" s="50"/>
      <c r="G31" s="50" t="s">
        <v>102</v>
      </c>
      <c r="H31" s="50"/>
      <c r="I31" s="50"/>
      <c r="J31" s="50"/>
      <c r="K31" s="50" t="s">
        <v>163</v>
      </c>
      <c r="L31" s="50"/>
      <c r="M31" s="50"/>
      <c r="N31" s="50"/>
      <c r="O31" s="50" t="s">
        <v>206</v>
      </c>
      <c r="P31" s="50"/>
      <c r="Q31" s="50"/>
      <c r="R31" s="50"/>
      <c r="S31" s="50"/>
    </row>
    <row r="32" spans="1:19" ht="14.5" customHeight="1">
      <c r="A32" s="47"/>
      <c r="B3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2" s="47" t="s">
        <v>14</v>
      </c>
      <c r="D32" s="47" t="s">
        <v>45</v>
      </c>
      <c r="E32" s="47" t="s">
        <v>53</v>
      </c>
      <c r="F32" s="47"/>
      <c r="G32" s="47" t="s">
        <v>75</v>
      </c>
      <c r="H32" s="47" t="s">
        <v>140</v>
      </c>
      <c r="I32" s="47" t="s">
        <v>249</v>
      </c>
      <c r="J32" s="47"/>
      <c r="K32" s="47" t="s">
        <v>134</v>
      </c>
      <c r="L32" s="47" t="s">
        <v>229</v>
      </c>
      <c r="M32" s="47" t="s">
        <v>259</v>
      </c>
      <c r="N32" s="47"/>
      <c r="O32" s="47" t="s">
        <v>172</v>
      </c>
      <c r="P32" s="47" t="s">
        <v>379</v>
      </c>
      <c r="Q32" s="47" t="s">
        <v>495</v>
      </c>
      <c r="R32" s="47"/>
      <c r="S32" s="47"/>
    </row>
    <row r="33" spans="1:19" ht="14.5" customHeight="1">
      <c r="A33" s="47"/>
      <c r="B3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3" s="47" t="s">
        <v>37</v>
      </c>
      <c r="D33" s="47" t="s">
        <v>12</v>
      </c>
      <c r="E33" s="47"/>
      <c r="F33" s="47"/>
      <c r="G33" s="47" t="s">
        <v>104</v>
      </c>
      <c r="H33" s="47" t="s">
        <v>85</v>
      </c>
      <c r="I33" s="47"/>
      <c r="J33" s="47"/>
      <c r="K33" s="47" t="s">
        <v>162</v>
      </c>
      <c r="L33" s="47" t="s">
        <v>190</v>
      </c>
      <c r="M33" s="47"/>
      <c r="N33" s="47"/>
      <c r="O33" s="47" t="s">
        <v>196</v>
      </c>
      <c r="P33" s="47" t="s">
        <v>213</v>
      </c>
      <c r="Q33" s="47"/>
      <c r="R33" s="47"/>
      <c r="S33" s="47"/>
    </row>
    <row r="34" spans="1:19" ht="14.5" customHeight="1">
      <c r="A34" s="47"/>
      <c r="B3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4" s="47" t="s">
        <v>25</v>
      </c>
      <c r="D34" s="47" t="s">
        <v>42</v>
      </c>
      <c r="E34" s="47"/>
      <c r="F34" s="47"/>
      <c r="G34" s="47" t="s">
        <v>97</v>
      </c>
      <c r="H34" s="47" t="s">
        <v>300</v>
      </c>
      <c r="I34" s="47"/>
      <c r="J34" s="47"/>
      <c r="K34" s="47" t="s">
        <v>146</v>
      </c>
      <c r="L34" s="47" t="s">
        <v>236</v>
      </c>
      <c r="M34" s="47"/>
      <c r="N34" s="47"/>
      <c r="O34" s="47" t="s">
        <v>501</v>
      </c>
      <c r="P34" s="47" t="s">
        <v>494</v>
      </c>
      <c r="Q34" s="47"/>
      <c r="R34" s="47"/>
      <c r="S34" s="47"/>
    </row>
    <row r="35" spans="1:19" ht="14.5" customHeight="1">
      <c r="A35" s="47"/>
      <c r="B3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5" s="47" t="s">
        <v>23</v>
      </c>
      <c r="D35" s="47" t="s">
        <v>54</v>
      </c>
      <c r="E35" s="47" t="s">
        <v>35</v>
      </c>
      <c r="F35" s="47"/>
      <c r="G35" s="47" t="s">
        <v>86</v>
      </c>
      <c r="H35" s="47" t="s">
        <v>226</v>
      </c>
      <c r="I35" s="47" t="s">
        <v>223</v>
      </c>
      <c r="J35" s="47"/>
      <c r="K35" s="47" t="s">
        <v>260</v>
      </c>
      <c r="L35" s="47" t="s">
        <v>228</v>
      </c>
      <c r="M35" s="47" t="s">
        <v>176</v>
      </c>
      <c r="N35" s="47"/>
      <c r="O35" s="47" t="s">
        <v>238</v>
      </c>
      <c r="P35" s="47" t="s">
        <v>369</v>
      </c>
      <c r="Q35" s="47" t="s">
        <v>311</v>
      </c>
      <c r="R35" s="47"/>
      <c r="S35" s="47"/>
    </row>
    <row r="36" spans="1:19" ht="14.5" customHeight="1">
      <c r="A36" s="47"/>
      <c r="B36"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6" s="47" t="s">
        <v>43</v>
      </c>
      <c r="D36" s="47"/>
      <c r="E36" s="47"/>
      <c r="F36" s="47"/>
      <c r="G36" s="47" t="s">
        <v>110</v>
      </c>
      <c r="H36" s="47"/>
      <c r="I36" s="47"/>
      <c r="J36" s="47"/>
      <c r="K36" s="47" t="s">
        <v>357</v>
      </c>
      <c r="L36" s="47"/>
      <c r="M36" s="47"/>
      <c r="N36" s="47"/>
      <c r="O36" s="47" t="s">
        <v>497</v>
      </c>
      <c r="P36" s="47"/>
      <c r="Q36" s="47"/>
      <c r="R36" s="47"/>
      <c r="S36" s="47"/>
    </row>
    <row r="37" spans="1:19" ht="14.5" customHeight="1" thickBot="1">
      <c r="A37" s="48"/>
      <c r="B37"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7" s="48" t="s">
        <v>18</v>
      </c>
      <c r="D37" s="48" t="s">
        <v>27</v>
      </c>
      <c r="E37" s="48" t="s">
        <v>48</v>
      </c>
      <c r="F37" s="48" t="s">
        <v>22</v>
      </c>
      <c r="G37" s="48" t="s">
        <v>89</v>
      </c>
      <c r="H37" s="48" t="s">
        <v>142</v>
      </c>
      <c r="I37" s="48" t="s">
        <v>114</v>
      </c>
      <c r="J37" s="48" t="s">
        <v>91</v>
      </c>
      <c r="K37" s="48" t="s">
        <v>254</v>
      </c>
      <c r="L37" s="48" t="s">
        <v>149</v>
      </c>
      <c r="M37" s="48" t="s">
        <v>160</v>
      </c>
      <c r="N37" s="48" t="s">
        <v>131</v>
      </c>
      <c r="O37" s="48" t="s">
        <v>181</v>
      </c>
      <c r="P37" s="48" t="s">
        <v>309</v>
      </c>
      <c r="Q37" s="48" t="s">
        <v>372</v>
      </c>
      <c r="R37" s="48" t="s">
        <v>183</v>
      </c>
      <c r="S37" s="48"/>
    </row>
    <row r="38" spans="1:19" ht="14.5" customHeight="1">
      <c r="A38" s="51" t="s">
        <v>432</v>
      </c>
      <c r="B38"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8" s="51" t="s">
        <v>49</v>
      </c>
      <c r="D38" s="51" t="s">
        <v>19</v>
      </c>
      <c r="E38" s="51"/>
      <c r="F38" s="51"/>
      <c r="G38" s="51" t="s">
        <v>116</v>
      </c>
      <c r="H38" s="51" t="s">
        <v>88</v>
      </c>
      <c r="I38" s="51"/>
      <c r="J38" s="51"/>
      <c r="K38" s="51" t="s">
        <v>165</v>
      </c>
      <c r="L38" s="51" t="s">
        <v>153</v>
      </c>
      <c r="M38" s="51"/>
      <c r="N38" s="51"/>
      <c r="O38" s="51" t="s">
        <v>210</v>
      </c>
      <c r="P38" s="51" t="s">
        <v>233</v>
      </c>
      <c r="Q38" s="51"/>
      <c r="R38" s="51"/>
      <c r="S38" s="51">
        <f>COUNTA(C38:R46)</f>
        <v>80</v>
      </c>
    </row>
    <row r="39" spans="1:19" ht="14.5" customHeight="1">
      <c r="A39" s="50"/>
      <c r="B39"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9" s="50" t="s">
        <v>30</v>
      </c>
      <c r="D39" s="50" t="s">
        <v>21</v>
      </c>
      <c r="E39" s="50" t="s">
        <v>34</v>
      </c>
      <c r="F39" s="50"/>
      <c r="G39" s="50" t="s">
        <v>94</v>
      </c>
      <c r="H39" s="50" t="s">
        <v>83</v>
      </c>
      <c r="I39" s="50" t="s">
        <v>103</v>
      </c>
      <c r="J39" s="50"/>
      <c r="K39" s="50" t="s">
        <v>231</v>
      </c>
      <c r="L39" s="50" t="s">
        <v>137</v>
      </c>
      <c r="M39" s="50" t="s">
        <v>230</v>
      </c>
      <c r="N39" s="50"/>
      <c r="O39" s="50" t="s">
        <v>500</v>
      </c>
      <c r="P39" s="50" t="s">
        <v>178</v>
      </c>
      <c r="Q39" s="50" t="s">
        <v>502</v>
      </c>
      <c r="R39" s="50"/>
      <c r="S39" s="50"/>
    </row>
    <row r="40" spans="1:19" ht="14.5" customHeight="1">
      <c r="A40" s="47"/>
      <c r="B40"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0" s="47" t="s">
        <v>50</v>
      </c>
      <c r="D40" s="47"/>
      <c r="E40" s="47"/>
      <c r="F40" s="47"/>
      <c r="G40" s="47" t="s">
        <v>117</v>
      </c>
      <c r="H40" s="47"/>
      <c r="I40" s="47"/>
      <c r="J40" s="47"/>
      <c r="K40" s="47" t="s">
        <v>158</v>
      </c>
      <c r="L40" s="47"/>
      <c r="M40" s="47"/>
      <c r="N40" s="47"/>
      <c r="O40" s="47" t="s">
        <v>394</v>
      </c>
      <c r="P40" s="47"/>
      <c r="Q40" s="47"/>
      <c r="R40" s="47"/>
      <c r="S40" s="47"/>
    </row>
    <row r="41" spans="1:19" ht="14.5" customHeight="1">
      <c r="A41" s="47"/>
      <c r="B41"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1" s="47" t="s">
        <v>44</v>
      </c>
      <c r="D41" s="47" t="s">
        <v>28</v>
      </c>
      <c r="E41" s="47" t="s">
        <v>15</v>
      </c>
      <c r="F41" s="47" t="s">
        <v>17</v>
      </c>
      <c r="G41" s="47" t="s">
        <v>126</v>
      </c>
      <c r="H41" s="47" t="s">
        <v>299</v>
      </c>
      <c r="I41" s="47" t="s">
        <v>98</v>
      </c>
      <c r="J41" s="47" t="s">
        <v>82</v>
      </c>
      <c r="K41" s="47" t="s">
        <v>157</v>
      </c>
      <c r="L41" s="47" t="s">
        <v>269</v>
      </c>
      <c r="M41" s="47" t="s">
        <v>147</v>
      </c>
      <c r="N41" s="47" t="s">
        <v>124</v>
      </c>
      <c r="O41" s="47" t="s">
        <v>365</v>
      </c>
      <c r="P41" s="47" t="s">
        <v>493</v>
      </c>
      <c r="Q41" s="47" t="s">
        <v>193</v>
      </c>
      <c r="R41" s="47" t="s">
        <v>175</v>
      </c>
      <c r="S41" s="47"/>
    </row>
    <row r="42" spans="1:19" ht="14.5" customHeight="1">
      <c r="A42" s="47"/>
      <c r="B42"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2" s="47"/>
      <c r="D42" s="47"/>
      <c r="E42" s="47"/>
      <c r="F42" s="47"/>
      <c r="G42" s="47"/>
      <c r="H42" s="47"/>
      <c r="I42" s="47"/>
      <c r="J42" s="47"/>
      <c r="K42" s="47"/>
      <c r="L42" s="47"/>
      <c r="M42" s="47"/>
      <c r="N42" s="47"/>
      <c r="O42" s="47"/>
      <c r="P42" s="47"/>
      <c r="Q42" s="47"/>
      <c r="R42" s="47"/>
      <c r="S42" s="47"/>
    </row>
    <row r="43" spans="1:19" ht="14.5" customHeight="1">
      <c r="A43" s="47"/>
      <c r="B43"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3" s="47" t="s">
        <v>52</v>
      </c>
      <c r="D43" s="47" t="s">
        <v>38</v>
      </c>
      <c r="E43" s="47" t="s">
        <v>37</v>
      </c>
      <c r="F43" s="47" t="s">
        <v>20</v>
      </c>
      <c r="G43" s="47" t="s">
        <v>130</v>
      </c>
      <c r="H43" s="47" t="s">
        <v>135</v>
      </c>
      <c r="I43" s="47" t="s">
        <v>104</v>
      </c>
      <c r="J43" s="47" t="s">
        <v>80</v>
      </c>
      <c r="K43" s="47" t="s">
        <v>156</v>
      </c>
      <c r="L43" s="47" t="s">
        <v>180</v>
      </c>
      <c r="M43" s="47" t="s">
        <v>162</v>
      </c>
      <c r="N43" s="47" t="s">
        <v>138</v>
      </c>
      <c r="O43" s="47" t="s">
        <v>367</v>
      </c>
      <c r="P43" s="47" t="s">
        <v>395</v>
      </c>
      <c r="Q43" s="47" t="s">
        <v>196</v>
      </c>
      <c r="R43" s="47" t="s">
        <v>179</v>
      </c>
      <c r="S43" s="47"/>
    </row>
    <row r="44" spans="1:19" ht="14.5" customHeight="1">
      <c r="A44" s="47"/>
      <c r="B44"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4" s="47" t="s">
        <v>18</v>
      </c>
      <c r="D44" s="47"/>
      <c r="E44" s="47"/>
      <c r="F44" s="47"/>
      <c r="G44" s="47" t="s">
        <v>89</v>
      </c>
      <c r="H44" s="47"/>
      <c r="I44" s="47"/>
      <c r="J44" s="47"/>
      <c r="K44" s="47" t="s">
        <v>254</v>
      </c>
      <c r="L44" s="47"/>
      <c r="M44" s="47"/>
      <c r="N44" s="47"/>
      <c r="O44" s="47" t="s">
        <v>181</v>
      </c>
      <c r="P44" s="47"/>
      <c r="Q44" s="47"/>
      <c r="R44" s="47"/>
      <c r="S44" s="47"/>
    </row>
    <row r="45" spans="1:19" ht="14.5" customHeight="1">
      <c r="A45" s="47"/>
      <c r="B45"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5" s="47" t="s">
        <v>13</v>
      </c>
      <c r="D45" s="47" t="s">
        <v>36</v>
      </c>
      <c r="E45" s="47"/>
      <c r="F45" s="47"/>
      <c r="G45" s="47" t="s">
        <v>99</v>
      </c>
      <c r="H45" s="47" t="s">
        <v>111</v>
      </c>
      <c r="I45" s="47"/>
      <c r="J45" s="47"/>
      <c r="K45" s="47" t="s">
        <v>148</v>
      </c>
      <c r="L45" s="47" t="s">
        <v>173</v>
      </c>
      <c r="M45" s="47"/>
      <c r="N45" s="47"/>
      <c r="O45" s="47" t="s">
        <v>194</v>
      </c>
      <c r="P45" s="47" t="s">
        <v>492</v>
      </c>
      <c r="Q45" s="47"/>
      <c r="R45" s="47"/>
      <c r="S45" s="47"/>
    </row>
    <row r="46" spans="1:19" ht="14.5" customHeight="1" thickBot="1">
      <c r="A46" s="48"/>
      <c r="B46"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6" s="48" t="s">
        <v>39</v>
      </c>
      <c r="D46" s="48" t="s">
        <v>26</v>
      </c>
      <c r="E46" s="48" t="s">
        <v>47</v>
      </c>
      <c r="F46" s="48"/>
      <c r="G46" s="48" t="s">
        <v>107</v>
      </c>
      <c r="H46" s="48" t="s">
        <v>96</v>
      </c>
      <c r="I46" s="48" t="s">
        <v>302</v>
      </c>
      <c r="J46" s="48"/>
      <c r="K46" s="48" t="s">
        <v>355</v>
      </c>
      <c r="L46" s="48" t="s">
        <v>159</v>
      </c>
      <c r="M46" s="48" t="s">
        <v>356</v>
      </c>
      <c r="N46" s="48"/>
      <c r="O46" s="48" t="s">
        <v>499</v>
      </c>
      <c r="P46" s="48" t="s">
        <v>197</v>
      </c>
      <c r="Q46" s="48" t="s">
        <v>503</v>
      </c>
      <c r="R46" s="48"/>
      <c r="S46" s="48"/>
    </row>
    <row r="47" spans="1:19" ht="14.5" customHeight="1">
      <c r="A47" s="51" t="s">
        <v>434</v>
      </c>
      <c r="B47"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7" s="51" t="s">
        <v>12</v>
      </c>
      <c r="D47" s="51" t="s">
        <v>34</v>
      </c>
      <c r="E47" s="51" t="s">
        <v>45</v>
      </c>
      <c r="F47" s="51"/>
      <c r="G47" s="51" t="s">
        <v>85</v>
      </c>
      <c r="H47" s="51" t="s">
        <v>103</v>
      </c>
      <c r="I47" s="51" t="s">
        <v>140</v>
      </c>
      <c r="J47" s="51"/>
      <c r="K47" s="51" t="s">
        <v>190</v>
      </c>
      <c r="L47" s="51" t="s">
        <v>230</v>
      </c>
      <c r="M47" s="51" t="s">
        <v>229</v>
      </c>
      <c r="N47" s="51"/>
      <c r="O47" s="51" t="s">
        <v>213</v>
      </c>
      <c r="P47" s="51" t="s">
        <v>502</v>
      </c>
      <c r="Q47" s="51" t="s">
        <v>379</v>
      </c>
      <c r="R47" s="51"/>
      <c r="S47" s="51">
        <f>COUNTA(C47:R54)</f>
        <v>80</v>
      </c>
    </row>
    <row r="48" spans="1:19" ht="14.5" customHeight="1">
      <c r="A48" s="50"/>
      <c r="B48"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8" s="50" t="s">
        <v>50</v>
      </c>
      <c r="D48" s="50" t="s">
        <v>11</v>
      </c>
      <c r="E48" s="50"/>
      <c r="F48" s="50"/>
      <c r="G48" s="50" t="s">
        <v>117</v>
      </c>
      <c r="H48" s="50" t="s">
        <v>139</v>
      </c>
      <c r="I48" s="50"/>
      <c r="J48" s="50"/>
      <c r="K48" s="50" t="s">
        <v>158</v>
      </c>
      <c r="L48" s="50" t="s">
        <v>143</v>
      </c>
      <c r="M48" s="50"/>
      <c r="N48" s="50"/>
      <c r="O48" s="50" t="s">
        <v>394</v>
      </c>
      <c r="P48" s="50" t="s">
        <v>169</v>
      </c>
      <c r="Q48" s="50"/>
      <c r="R48" s="50"/>
      <c r="S48" s="50"/>
    </row>
    <row r="49" spans="1:19" ht="14.5" customHeight="1">
      <c r="A49" s="47"/>
      <c r="B49"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9" s="47" t="s">
        <v>33</v>
      </c>
      <c r="D49" s="47" t="s">
        <v>17</v>
      </c>
      <c r="E49" s="47" t="s">
        <v>40</v>
      </c>
      <c r="F49" s="47"/>
      <c r="G49" s="47" t="s">
        <v>109</v>
      </c>
      <c r="H49" s="47" t="s">
        <v>82</v>
      </c>
      <c r="I49" s="47" t="s">
        <v>108</v>
      </c>
      <c r="J49" s="47"/>
      <c r="K49" s="47" t="s">
        <v>192</v>
      </c>
      <c r="L49" s="47" t="s">
        <v>124</v>
      </c>
      <c r="M49" s="47" t="s">
        <v>191</v>
      </c>
      <c r="N49" s="47"/>
      <c r="O49" s="47" t="s">
        <v>216</v>
      </c>
      <c r="P49" s="47" t="s">
        <v>175</v>
      </c>
      <c r="Q49" s="47" t="s">
        <v>371</v>
      </c>
      <c r="R49" s="47"/>
      <c r="S49" s="47"/>
    </row>
    <row r="50" spans="1:19" ht="14.5" customHeight="1">
      <c r="A50" s="47"/>
      <c r="B50"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0" s="47" t="s">
        <v>23</v>
      </c>
      <c r="D50" s="47" t="s">
        <v>53</v>
      </c>
      <c r="E50" s="47"/>
      <c r="F50" s="47"/>
      <c r="G50" s="47" t="s">
        <v>86</v>
      </c>
      <c r="H50" s="47" t="s">
        <v>249</v>
      </c>
      <c r="I50" s="47"/>
      <c r="J50" s="47"/>
      <c r="K50" s="47" t="s">
        <v>260</v>
      </c>
      <c r="L50" s="47" t="s">
        <v>259</v>
      </c>
      <c r="M50" s="47"/>
      <c r="N50" s="47"/>
      <c r="O50" s="47" t="s">
        <v>238</v>
      </c>
      <c r="P50" s="47" t="s">
        <v>495</v>
      </c>
      <c r="Q50" s="47"/>
      <c r="R50" s="47"/>
      <c r="S50" s="47"/>
    </row>
    <row r="51" spans="1:19" ht="14.5" customHeight="1">
      <c r="A51" s="47"/>
      <c r="B51"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1" s="47" t="s">
        <v>31</v>
      </c>
      <c r="D51" s="47" t="s">
        <v>43</v>
      </c>
      <c r="E51" s="47"/>
      <c r="F51" s="47"/>
      <c r="G51" s="47" t="s">
        <v>102</v>
      </c>
      <c r="H51" s="47" t="s">
        <v>110</v>
      </c>
      <c r="I51" s="47"/>
      <c r="J51" s="47"/>
      <c r="K51" s="47" t="s">
        <v>163</v>
      </c>
      <c r="L51" s="47" t="s">
        <v>357</v>
      </c>
      <c r="M51" s="47"/>
      <c r="N51" s="47"/>
      <c r="O51" s="47" t="s">
        <v>206</v>
      </c>
      <c r="P51" s="47" t="s">
        <v>497</v>
      </c>
      <c r="Q51" s="47"/>
      <c r="R51" s="47"/>
      <c r="S51" s="47"/>
    </row>
    <row r="52" spans="1:19" ht="14.5" customHeight="1">
      <c r="A52" s="47"/>
      <c r="B52"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2" s="47" t="s">
        <v>51</v>
      </c>
      <c r="D52" s="47" t="s">
        <v>28</v>
      </c>
      <c r="E52" s="47" t="s">
        <v>16</v>
      </c>
      <c r="F52" s="47"/>
      <c r="G52" s="47" t="s">
        <v>115</v>
      </c>
      <c r="H52" s="47" t="s">
        <v>299</v>
      </c>
      <c r="I52" s="47" t="s">
        <v>222</v>
      </c>
      <c r="J52" s="47"/>
      <c r="K52" s="47" t="s">
        <v>264</v>
      </c>
      <c r="L52" s="47" t="s">
        <v>269</v>
      </c>
      <c r="M52" s="47" t="s">
        <v>141</v>
      </c>
      <c r="N52" s="47"/>
      <c r="O52" s="47" t="s">
        <v>396</v>
      </c>
      <c r="P52" s="47" t="s">
        <v>493</v>
      </c>
      <c r="Q52" s="47" t="s">
        <v>188</v>
      </c>
      <c r="R52" s="47"/>
      <c r="S52" s="47"/>
    </row>
    <row r="53" spans="1:19" ht="14.5" customHeight="1">
      <c r="A53" s="47"/>
      <c r="B53"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3" s="47" t="s">
        <v>44</v>
      </c>
      <c r="D53" s="47"/>
      <c r="E53" s="47"/>
      <c r="F53" s="47"/>
      <c r="G53" s="47" t="s">
        <v>126</v>
      </c>
      <c r="H53" s="47"/>
      <c r="I53" s="47"/>
      <c r="J53" s="47"/>
      <c r="K53" s="47" t="s">
        <v>157</v>
      </c>
      <c r="L53" s="47"/>
      <c r="M53" s="47"/>
      <c r="N53" s="47"/>
      <c r="O53" s="47" t="s">
        <v>365</v>
      </c>
      <c r="P53" s="47"/>
      <c r="Q53" s="47"/>
      <c r="R53" s="47"/>
      <c r="S53" s="47"/>
    </row>
    <row r="54" spans="1:19" ht="14.5" customHeight="1" thickBot="1">
      <c r="A54" s="48"/>
      <c r="B54" s="48"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4" s="48" t="s">
        <v>30</v>
      </c>
      <c r="D54" s="48" t="s">
        <v>10</v>
      </c>
      <c r="E54" s="48" t="s">
        <v>54</v>
      </c>
      <c r="F54" s="48" t="s">
        <v>21</v>
      </c>
      <c r="G54" s="48" t="s">
        <v>94</v>
      </c>
      <c r="H54" s="48" t="s">
        <v>90</v>
      </c>
      <c r="I54" s="48" t="s">
        <v>226</v>
      </c>
      <c r="J54" s="48" t="s">
        <v>83</v>
      </c>
      <c r="K54" s="48" t="s">
        <v>231</v>
      </c>
      <c r="L54" s="48" t="s">
        <v>144</v>
      </c>
      <c r="M54" s="48" t="s">
        <v>228</v>
      </c>
      <c r="N54" s="48" t="s">
        <v>137</v>
      </c>
      <c r="O54" s="48" t="s">
        <v>500</v>
      </c>
      <c r="P54" s="48" t="s">
        <v>182</v>
      </c>
      <c r="Q54" s="48" t="s">
        <v>369</v>
      </c>
      <c r="R54" s="48" t="s">
        <v>178</v>
      </c>
      <c r="S54" s="48"/>
    </row>
    <row r="55" spans="1:19" ht="14.5" customHeight="1">
      <c r="A55" s="51" t="s">
        <v>435</v>
      </c>
      <c r="B55"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55" s="51" t="s">
        <v>48</v>
      </c>
      <c r="D55" s="51" t="s">
        <v>42</v>
      </c>
      <c r="E55" s="51" t="s">
        <v>14</v>
      </c>
      <c r="F55" s="51"/>
      <c r="G55" s="51" t="s">
        <v>114</v>
      </c>
      <c r="H55" s="51" t="s">
        <v>300</v>
      </c>
      <c r="I55" s="51" t="s">
        <v>75</v>
      </c>
      <c r="J55" s="51"/>
      <c r="K55" s="51" t="s">
        <v>160</v>
      </c>
      <c r="L55" s="51" t="s">
        <v>236</v>
      </c>
      <c r="M55" s="51" t="s">
        <v>134</v>
      </c>
      <c r="N55" s="51"/>
      <c r="O55" s="51" t="s">
        <v>372</v>
      </c>
      <c r="P55" s="51" t="s">
        <v>494</v>
      </c>
      <c r="Q55" s="51" t="s">
        <v>172</v>
      </c>
      <c r="R55" s="51"/>
      <c r="S55" s="51">
        <f>COUNTA(C55:R60)</f>
        <v>60</v>
      </c>
    </row>
    <row r="56" spans="1:19" ht="14.5" customHeight="1">
      <c r="A56" s="50"/>
      <c r="B56"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6" s="50" t="s">
        <v>19</v>
      </c>
      <c r="D56" s="50" t="s">
        <v>29</v>
      </c>
      <c r="E56" s="50"/>
      <c r="F56" s="50"/>
      <c r="G56" s="50" t="s">
        <v>88</v>
      </c>
      <c r="H56" s="50" t="s">
        <v>112</v>
      </c>
      <c r="I56" s="50"/>
      <c r="J56" s="50"/>
      <c r="K56" s="50" t="s">
        <v>153</v>
      </c>
      <c r="L56" s="50" t="s">
        <v>152</v>
      </c>
      <c r="M56" s="50"/>
      <c r="N56" s="50"/>
      <c r="O56" s="50" t="s">
        <v>233</v>
      </c>
      <c r="P56" s="50" t="s">
        <v>295</v>
      </c>
      <c r="Q56" s="50"/>
      <c r="R56" s="50"/>
      <c r="S56" s="50"/>
    </row>
    <row r="57" spans="1:19" ht="14.5" customHeight="1">
      <c r="A57" s="47"/>
      <c r="B57"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7" s="47" t="s">
        <v>49</v>
      </c>
      <c r="D57" s="47" t="s">
        <v>32</v>
      </c>
      <c r="E57" s="47"/>
      <c r="F57" s="47"/>
      <c r="G57" s="47" t="s">
        <v>116</v>
      </c>
      <c r="H57" s="47" t="s">
        <v>105</v>
      </c>
      <c r="I57" s="47"/>
      <c r="J57" s="47"/>
      <c r="K57" s="47" t="s">
        <v>165</v>
      </c>
      <c r="L57" s="47" t="s">
        <v>257</v>
      </c>
      <c r="M57" s="47"/>
      <c r="N57" s="47"/>
      <c r="O57" s="47" t="s">
        <v>210</v>
      </c>
      <c r="P57" s="47" t="s">
        <v>496</v>
      </c>
      <c r="Q57" s="47"/>
      <c r="R57" s="47"/>
      <c r="S57" s="47"/>
    </row>
    <row r="58" spans="1:19" ht="14.5" customHeight="1">
      <c r="A58" s="47"/>
      <c r="B58"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8" s="47" t="s">
        <v>27</v>
      </c>
      <c r="D58" s="47" t="s">
        <v>22</v>
      </c>
      <c r="E58" s="47" t="s">
        <v>24</v>
      </c>
      <c r="F58" s="47"/>
      <c r="G58" s="47" t="s">
        <v>142</v>
      </c>
      <c r="H58" s="47" t="s">
        <v>91</v>
      </c>
      <c r="I58" s="47" t="s">
        <v>224</v>
      </c>
      <c r="J58" s="47"/>
      <c r="K58" s="47" t="s">
        <v>149</v>
      </c>
      <c r="L58" s="47" t="s">
        <v>131</v>
      </c>
      <c r="M58" s="47" t="s">
        <v>232</v>
      </c>
      <c r="N58" s="47"/>
      <c r="O58" s="47" t="s">
        <v>309</v>
      </c>
      <c r="P58" s="47" t="s">
        <v>183</v>
      </c>
      <c r="Q58" s="47" t="s">
        <v>189</v>
      </c>
      <c r="R58" s="47"/>
      <c r="S58" s="47"/>
    </row>
    <row r="59" spans="1:19" ht="14.5" customHeight="1">
      <c r="A59" s="47"/>
      <c r="B59"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9" s="47" t="s">
        <v>46</v>
      </c>
      <c r="D59" s="47"/>
      <c r="E59" s="47"/>
      <c r="F59" s="47"/>
      <c r="G59" s="47" t="s">
        <v>118</v>
      </c>
      <c r="H59" s="47"/>
      <c r="I59" s="47"/>
      <c r="J59" s="47"/>
      <c r="K59" s="47" t="s">
        <v>352</v>
      </c>
      <c r="L59" s="47"/>
      <c r="M59" s="47"/>
      <c r="N59" s="47"/>
      <c r="O59" s="47" t="s">
        <v>498</v>
      </c>
      <c r="P59" s="47"/>
      <c r="Q59" s="47"/>
      <c r="R59" s="47"/>
      <c r="S59" s="47"/>
    </row>
    <row r="60" spans="1:19" ht="14.5" customHeight="1" thickBot="1">
      <c r="A60" s="52"/>
      <c r="B60" s="52"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60" s="52" t="s">
        <v>41</v>
      </c>
      <c r="D60" s="52" t="s">
        <v>25</v>
      </c>
      <c r="E60" s="52" t="s">
        <v>15</v>
      </c>
      <c r="F60" s="52" t="s">
        <v>35</v>
      </c>
      <c r="G60" s="52" t="s">
        <v>106</v>
      </c>
      <c r="H60" s="52" t="s">
        <v>97</v>
      </c>
      <c r="I60" s="52" t="s">
        <v>98</v>
      </c>
      <c r="J60" s="52" t="s">
        <v>223</v>
      </c>
      <c r="K60" s="52" t="s">
        <v>187</v>
      </c>
      <c r="L60" s="52" t="s">
        <v>146</v>
      </c>
      <c r="M60" s="52" t="s">
        <v>147</v>
      </c>
      <c r="N60" s="52" t="s">
        <v>176</v>
      </c>
      <c r="O60" s="52" t="s">
        <v>397</v>
      </c>
      <c r="P60" s="52" t="s">
        <v>501</v>
      </c>
      <c r="Q60" s="52" t="s">
        <v>193</v>
      </c>
      <c r="R60" s="52" t="s">
        <v>311</v>
      </c>
      <c r="S60" s="52"/>
    </row>
    <row r="61" spans="1:19" ht="14.5" customHeight="1">
      <c r="A61" s="45"/>
      <c r="B61" s="45"/>
      <c r="C61" s="45"/>
      <c r="D61" s="45"/>
      <c r="E61" s="45"/>
      <c r="F61" s="45"/>
      <c r="G61" s="45"/>
      <c r="H61" s="45"/>
      <c r="I61" s="45"/>
      <c r="J61" s="45"/>
      <c r="K61" s="45"/>
      <c r="L61" s="45"/>
      <c r="M61" s="45"/>
      <c r="N61" s="45"/>
      <c r="O61" s="45"/>
      <c r="P61" s="45"/>
      <c r="Q61" s="45"/>
      <c r="R61" s="45"/>
      <c r="S61" s="45"/>
    </row>
    <row r="62" spans="1:19" ht="20" customHeight="1">
      <c r="A62" s="136" t="s">
        <v>834</v>
      </c>
      <c r="B62" s="136"/>
      <c r="C62" s="136"/>
      <c r="D62" s="136"/>
      <c r="E62" s="136"/>
      <c r="F62" s="136"/>
      <c r="G62" s="136"/>
      <c r="H62" s="136"/>
      <c r="I62" s="136"/>
      <c r="J62" s="136"/>
      <c r="K62" s="136"/>
      <c r="L62" s="136"/>
      <c r="M62" s="136"/>
      <c r="N62" s="136"/>
      <c r="O62" s="136"/>
    </row>
    <row r="63" spans="1:19" ht="14.5" customHeight="1">
      <c r="A63" s="18"/>
      <c r="B63" s="19" t="s">
        <v>314</v>
      </c>
      <c r="C63" s="135" t="s">
        <v>763</v>
      </c>
      <c r="D63" s="135"/>
      <c r="E63" s="135"/>
      <c r="F63" s="135" t="s">
        <v>755</v>
      </c>
      <c r="G63" s="135"/>
      <c r="H63" s="18"/>
      <c r="I63" s="19" t="s">
        <v>314</v>
      </c>
      <c r="J63" s="135" t="s">
        <v>777</v>
      </c>
      <c r="K63" s="135"/>
      <c r="L63" s="135"/>
      <c r="M63" s="135" t="s">
        <v>755</v>
      </c>
      <c r="N63" s="135"/>
      <c r="O63" s="18"/>
    </row>
    <row r="64" spans="1:19" ht="14.5" customHeight="1">
      <c r="A64" s="18"/>
      <c r="B64" s="20">
        <v>1</v>
      </c>
      <c r="C64" s="134" t="s">
        <v>1253</v>
      </c>
      <c r="D64" s="134"/>
      <c r="E64" s="134"/>
      <c r="F64" s="134" t="s">
        <v>840</v>
      </c>
      <c r="G64" s="134"/>
      <c r="H64" s="18"/>
      <c r="I64" s="20">
        <v>11</v>
      </c>
      <c r="J64" s="134" t="s">
        <v>1174</v>
      </c>
      <c r="K64" s="134"/>
      <c r="L64" s="134"/>
      <c r="M64" s="134" t="s">
        <v>840</v>
      </c>
      <c r="N64" s="134"/>
      <c r="O64" s="18"/>
    </row>
    <row r="65" spans="1:15" ht="14.5" customHeight="1">
      <c r="A65" s="18"/>
      <c r="B65" s="20">
        <v>2</v>
      </c>
      <c r="C65" s="134" t="s">
        <v>1175</v>
      </c>
      <c r="D65" s="134"/>
      <c r="E65" s="134"/>
      <c r="F65" s="134" t="s">
        <v>840</v>
      </c>
      <c r="G65" s="134"/>
      <c r="H65" s="18"/>
      <c r="I65" s="20">
        <v>12</v>
      </c>
      <c r="J65" s="134" t="s">
        <v>1185</v>
      </c>
      <c r="K65" s="134"/>
      <c r="L65" s="134"/>
      <c r="M65" s="134" t="s">
        <v>840</v>
      </c>
      <c r="N65" s="134"/>
      <c r="O65" s="18"/>
    </row>
    <row r="66" spans="1:15" ht="14.5" customHeight="1">
      <c r="A66" s="18"/>
      <c r="B66" s="20">
        <v>3</v>
      </c>
      <c r="C66" s="134" t="s">
        <v>1186</v>
      </c>
      <c r="D66" s="134"/>
      <c r="E66" s="134"/>
      <c r="F66" s="134" t="s">
        <v>840</v>
      </c>
      <c r="G66" s="134"/>
      <c r="H66" s="18"/>
      <c r="I66" s="20">
        <v>13</v>
      </c>
      <c r="J66" s="134" t="s">
        <v>1196</v>
      </c>
      <c r="K66" s="134"/>
      <c r="L66" s="134"/>
      <c r="M66" s="134" t="s">
        <v>840</v>
      </c>
      <c r="N66" s="134"/>
      <c r="O66" s="18"/>
    </row>
    <row r="67" spans="1:15" ht="14.5" customHeight="1">
      <c r="A67" s="18"/>
      <c r="B67" s="20">
        <v>4</v>
      </c>
      <c r="C67" s="134" t="s">
        <v>1254</v>
      </c>
      <c r="D67" s="134"/>
      <c r="E67" s="134"/>
      <c r="F67" s="134" t="s">
        <v>841</v>
      </c>
      <c r="G67" s="134"/>
      <c r="H67" s="18"/>
      <c r="I67" s="20">
        <v>14</v>
      </c>
      <c r="J67" s="134" t="s">
        <v>1187</v>
      </c>
      <c r="K67" s="134"/>
      <c r="L67" s="134"/>
      <c r="M67" s="134" t="s">
        <v>841</v>
      </c>
      <c r="N67" s="134"/>
      <c r="O67" s="18"/>
    </row>
    <row r="68" spans="1:15" ht="14.5" customHeight="1">
      <c r="A68" s="18"/>
      <c r="B68" s="20">
        <v>5</v>
      </c>
      <c r="C68" s="134" t="s">
        <v>1188</v>
      </c>
      <c r="D68" s="134"/>
      <c r="E68" s="134"/>
      <c r="F68" s="134" t="s">
        <v>841</v>
      </c>
      <c r="G68" s="134"/>
      <c r="H68" s="18"/>
      <c r="I68" s="20">
        <v>15</v>
      </c>
      <c r="J68" s="134" t="s">
        <v>1257</v>
      </c>
      <c r="K68" s="134"/>
      <c r="L68" s="134"/>
      <c r="M68" s="134" t="s">
        <v>841</v>
      </c>
      <c r="N68" s="134"/>
      <c r="O68" s="18"/>
    </row>
    <row r="69" spans="1:15" ht="14.5" customHeight="1">
      <c r="A69" s="18"/>
      <c r="B69" s="20">
        <v>6</v>
      </c>
      <c r="C69" s="134" t="s">
        <v>1189</v>
      </c>
      <c r="D69" s="134"/>
      <c r="E69" s="134"/>
      <c r="F69" s="134" t="s">
        <v>841</v>
      </c>
      <c r="G69" s="134"/>
      <c r="H69" s="18"/>
      <c r="I69" s="20">
        <v>16</v>
      </c>
      <c r="J69" s="134" t="s">
        <v>1198</v>
      </c>
      <c r="K69" s="134"/>
      <c r="L69" s="134"/>
      <c r="M69" s="134" t="s">
        <v>841</v>
      </c>
      <c r="N69" s="134"/>
      <c r="O69" s="18"/>
    </row>
    <row r="70" spans="1:15" ht="14.5" customHeight="1">
      <c r="A70" s="18"/>
      <c r="B70" s="20">
        <v>7</v>
      </c>
      <c r="C70" s="134" t="s">
        <v>1199</v>
      </c>
      <c r="D70" s="134"/>
      <c r="E70" s="134"/>
      <c r="F70" s="134" t="s">
        <v>841</v>
      </c>
      <c r="G70" s="134"/>
      <c r="H70" s="18"/>
      <c r="I70" s="20">
        <v>17</v>
      </c>
      <c r="J70" s="134" t="s">
        <v>1191</v>
      </c>
      <c r="K70" s="134"/>
      <c r="L70" s="134"/>
      <c r="M70" s="134" t="s">
        <v>841</v>
      </c>
      <c r="N70" s="134"/>
      <c r="O70" s="18"/>
    </row>
    <row r="71" spans="1:15" ht="14.5" customHeight="1">
      <c r="A71" s="18"/>
      <c r="B71" s="20">
        <v>8</v>
      </c>
      <c r="C71" s="134" t="s">
        <v>1255</v>
      </c>
      <c r="D71" s="134"/>
      <c r="E71" s="134"/>
      <c r="F71" s="134" t="s">
        <v>841</v>
      </c>
      <c r="G71" s="134"/>
      <c r="H71" s="18"/>
      <c r="I71" s="20">
        <v>18</v>
      </c>
      <c r="J71" s="134" t="s">
        <v>1201</v>
      </c>
      <c r="K71" s="134"/>
      <c r="L71" s="134"/>
      <c r="M71" s="134" t="s">
        <v>841</v>
      </c>
      <c r="N71" s="134"/>
      <c r="O71" s="18"/>
    </row>
    <row r="72" spans="1:15" ht="14.5" customHeight="1">
      <c r="A72" s="18"/>
      <c r="B72" s="20">
        <v>9</v>
      </c>
      <c r="C72" s="134" t="s">
        <v>1256</v>
      </c>
      <c r="D72" s="134"/>
      <c r="E72" s="134"/>
      <c r="F72" s="134" t="s">
        <v>841</v>
      </c>
      <c r="G72" s="134"/>
      <c r="H72" s="18"/>
      <c r="I72" s="20">
        <v>19</v>
      </c>
      <c r="J72" s="134" t="s">
        <v>1202</v>
      </c>
      <c r="K72" s="134"/>
      <c r="L72" s="134"/>
      <c r="M72" s="134" t="s">
        <v>841</v>
      </c>
      <c r="N72" s="134"/>
      <c r="O72" s="18"/>
    </row>
    <row r="73" spans="1:15" ht="14.5" customHeight="1">
      <c r="A73" s="18"/>
      <c r="B73" s="20">
        <v>10</v>
      </c>
      <c r="C73" s="134" t="s">
        <v>1193</v>
      </c>
      <c r="D73" s="134"/>
      <c r="E73" s="134"/>
      <c r="F73" s="134" t="s">
        <v>847</v>
      </c>
      <c r="G73" s="134"/>
      <c r="H73" s="18"/>
      <c r="I73" s="20">
        <v>20</v>
      </c>
      <c r="J73" s="134" t="s">
        <v>1203</v>
      </c>
      <c r="K73" s="134"/>
      <c r="L73" s="134"/>
      <c r="M73" s="134" t="s">
        <v>847</v>
      </c>
      <c r="N73" s="134"/>
      <c r="O73" s="18"/>
    </row>
    <row r="74" spans="1:15" ht="14.5" customHeight="1">
      <c r="A74" s="18"/>
      <c r="B74" s="18"/>
      <c r="C74" s="18"/>
      <c r="D74" s="18"/>
      <c r="E74" s="18"/>
      <c r="F74" s="18"/>
      <c r="G74" s="18"/>
      <c r="H74" s="18"/>
      <c r="I74" s="18"/>
      <c r="J74" s="18"/>
      <c r="K74" s="18"/>
      <c r="L74" s="18"/>
      <c r="M74" s="18"/>
      <c r="N74" s="18"/>
      <c r="O74" s="18"/>
    </row>
    <row r="75" spans="1:15" ht="14.5" customHeight="1">
      <c r="A75" s="18"/>
      <c r="B75" s="19" t="s">
        <v>314</v>
      </c>
      <c r="C75" s="135" t="s">
        <v>778</v>
      </c>
      <c r="D75" s="135"/>
      <c r="E75" s="135"/>
      <c r="F75" s="135" t="s">
        <v>755</v>
      </c>
      <c r="G75" s="135"/>
      <c r="H75" s="18"/>
      <c r="I75" s="19" t="s">
        <v>314</v>
      </c>
      <c r="J75" s="135" t="s">
        <v>783</v>
      </c>
      <c r="K75" s="135"/>
      <c r="L75" s="135"/>
      <c r="M75" s="135" t="s">
        <v>755</v>
      </c>
      <c r="N75" s="135"/>
      <c r="O75" s="18"/>
    </row>
    <row r="76" spans="1:15" ht="14.5" customHeight="1">
      <c r="A76" s="18"/>
      <c r="B76" s="20">
        <v>21</v>
      </c>
      <c r="C76" s="134" t="s">
        <v>1184</v>
      </c>
      <c r="D76" s="134"/>
      <c r="E76" s="134"/>
      <c r="F76" s="134" t="s">
        <v>840</v>
      </c>
      <c r="G76" s="134"/>
      <c r="H76" s="18"/>
      <c r="I76" s="20">
        <v>31</v>
      </c>
      <c r="J76" s="134" t="s">
        <v>1195</v>
      </c>
      <c r="K76" s="134"/>
      <c r="L76" s="134"/>
      <c r="M76" s="134" t="s">
        <v>840</v>
      </c>
      <c r="N76" s="134"/>
      <c r="O76" s="18"/>
    </row>
    <row r="77" spans="1:15" ht="14.5" customHeight="1">
      <c r="A77" s="18"/>
      <c r="B77" s="20">
        <v>22</v>
      </c>
      <c r="C77" s="134" t="s">
        <v>1258</v>
      </c>
      <c r="D77" s="134"/>
      <c r="E77" s="134"/>
      <c r="F77" s="134" t="s">
        <v>840</v>
      </c>
      <c r="G77" s="134"/>
      <c r="H77" s="18"/>
      <c r="I77" s="20">
        <v>32</v>
      </c>
      <c r="J77" s="134" t="s">
        <v>1262</v>
      </c>
      <c r="K77" s="134"/>
      <c r="L77" s="134"/>
      <c r="M77" s="134" t="s">
        <v>840</v>
      </c>
      <c r="N77" s="134"/>
      <c r="O77" s="18"/>
    </row>
    <row r="78" spans="1:15" ht="14.5" customHeight="1">
      <c r="A78" s="18"/>
      <c r="B78" s="20">
        <v>23</v>
      </c>
      <c r="C78" s="134" t="s">
        <v>1197</v>
      </c>
      <c r="D78" s="134"/>
      <c r="E78" s="134"/>
      <c r="F78" s="134" t="s">
        <v>841</v>
      </c>
      <c r="G78" s="134"/>
      <c r="H78" s="18"/>
      <c r="I78" s="20">
        <v>33</v>
      </c>
      <c r="J78" s="134" t="s">
        <v>1263</v>
      </c>
      <c r="K78" s="134"/>
      <c r="L78" s="134"/>
      <c r="M78" s="134" t="s">
        <v>841</v>
      </c>
      <c r="N78" s="134"/>
      <c r="O78" s="18"/>
    </row>
    <row r="79" spans="1:15" ht="14.5" customHeight="1">
      <c r="A79" s="18"/>
      <c r="B79" s="20">
        <v>24</v>
      </c>
      <c r="C79" s="134" t="s">
        <v>1259</v>
      </c>
      <c r="D79" s="134"/>
      <c r="E79" s="134"/>
      <c r="F79" s="134" t="s">
        <v>841</v>
      </c>
      <c r="G79" s="134"/>
      <c r="H79" s="18"/>
      <c r="I79" s="20">
        <v>34</v>
      </c>
      <c r="J79" s="134" t="s">
        <v>1177</v>
      </c>
      <c r="K79" s="134"/>
      <c r="L79" s="134"/>
      <c r="M79" s="134" t="s">
        <v>841</v>
      </c>
      <c r="N79" s="134"/>
      <c r="O79" s="18"/>
    </row>
    <row r="80" spans="1:15" ht="14.5" customHeight="1">
      <c r="A80" s="18"/>
      <c r="B80" s="20">
        <v>25</v>
      </c>
      <c r="C80" s="134" t="s">
        <v>1179</v>
      </c>
      <c r="D80" s="134"/>
      <c r="E80" s="134"/>
      <c r="F80" s="134" t="s">
        <v>841</v>
      </c>
      <c r="G80" s="134"/>
      <c r="H80" s="18"/>
      <c r="I80" s="20">
        <v>35</v>
      </c>
      <c r="J80" s="134" t="s">
        <v>1178</v>
      </c>
      <c r="K80" s="134"/>
      <c r="L80" s="134"/>
      <c r="M80" s="134" t="s">
        <v>841</v>
      </c>
      <c r="N80" s="134"/>
      <c r="O80" s="18"/>
    </row>
    <row r="81" spans="1:15" ht="14.5" customHeight="1">
      <c r="A81" s="18"/>
      <c r="B81" s="20">
        <v>26</v>
      </c>
      <c r="C81" s="134" t="s">
        <v>1200</v>
      </c>
      <c r="D81" s="134"/>
      <c r="E81" s="134"/>
      <c r="F81" s="134" t="s">
        <v>841</v>
      </c>
      <c r="G81" s="134"/>
      <c r="H81" s="18"/>
      <c r="I81" s="20">
        <v>36</v>
      </c>
      <c r="J81" s="134" t="s">
        <v>1190</v>
      </c>
      <c r="K81" s="134"/>
      <c r="L81" s="134"/>
      <c r="M81" s="134" t="s">
        <v>841</v>
      </c>
      <c r="N81" s="134"/>
      <c r="O81" s="18"/>
    </row>
    <row r="82" spans="1:15" ht="14.5" customHeight="1">
      <c r="A82" s="18"/>
      <c r="B82" s="20">
        <v>27</v>
      </c>
      <c r="C82" s="134" t="s">
        <v>1260</v>
      </c>
      <c r="D82" s="134"/>
      <c r="E82" s="134"/>
      <c r="F82" s="134" t="s">
        <v>841</v>
      </c>
      <c r="G82" s="134"/>
      <c r="H82" s="18"/>
      <c r="I82" s="20">
        <v>37</v>
      </c>
      <c r="J82" s="134" t="s">
        <v>1181</v>
      </c>
      <c r="K82" s="134"/>
      <c r="L82" s="134"/>
      <c r="M82" s="134" t="s">
        <v>841</v>
      </c>
      <c r="N82" s="134"/>
      <c r="O82" s="18"/>
    </row>
    <row r="83" spans="1:15" ht="14.5" customHeight="1">
      <c r="A83" s="18"/>
      <c r="B83" s="20">
        <v>28</v>
      </c>
      <c r="C83" s="134" t="s">
        <v>1182</v>
      </c>
      <c r="D83" s="134"/>
      <c r="E83" s="134"/>
      <c r="F83" s="134" t="s">
        <v>841</v>
      </c>
      <c r="G83" s="134"/>
      <c r="H83" s="18"/>
      <c r="I83" s="20">
        <v>38</v>
      </c>
      <c r="J83" s="134" t="s">
        <v>1264</v>
      </c>
      <c r="K83" s="134"/>
      <c r="L83" s="134"/>
      <c r="M83" s="134" t="s">
        <v>841</v>
      </c>
      <c r="N83" s="134"/>
      <c r="O83" s="18"/>
    </row>
    <row r="84" spans="1:15" ht="14.5" customHeight="1">
      <c r="A84" s="18"/>
      <c r="B84" s="20">
        <v>29</v>
      </c>
      <c r="C84" s="134" t="s">
        <v>1183</v>
      </c>
      <c r="D84" s="134"/>
      <c r="E84" s="134"/>
      <c r="F84" s="134" t="s">
        <v>841</v>
      </c>
      <c r="G84" s="134"/>
      <c r="H84" s="18"/>
      <c r="I84" s="20">
        <v>39</v>
      </c>
      <c r="J84" s="134" t="s">
        <v>1265</v>
      </c>
      <c r="K84" s="134"/>
      <c r="L84" s="134"/>
      <c r="M84" s="134" t="s">
        <v>841</v>
      </c>
      <c r="N84" s="134"/>
      <c r="O84" s="18"/>
    </row>
    <row r="85" spans="1:15" ht="14.5" customHeight="1">
      <c r="A85" s="18"/>
      <c r="B85" s="20">
        <v>30</v>
      </c>
      <c r="C85" s="134" t="s">
        <v>1261</v>
      </c>
      <c r="D85" s="134"/>
      <c r="E85" s="134"/>
      <c r="F85" s="134" t="s">
        <v>847</v>
      </c>
      <c r="G85" s="134"/>
      <c r="H85" s="18"/>
      <c r="I85" s="20">
        <v>40</v>
      </c>
      <c r="J85" s="134" t="s">
        <v>1266</v>
      </c>
      <c r="K85" s="134"/>
      <c r="L85" s="134"/>
      <c r="M85" s="134" t="s">
        <v>847</v>
      </c>
      <c r="N85" s="134"/>
      <c r="O85" s="18"/>
    </row>
    <row r="86" spans="1:15" ht="14.5" customHeight="1">
      <c r="A86" s="18"/>
      <c r="B86" s="18"/>
      <c r="C86" s="18"/>
      <c r="D86" s="18"/>
      <c r="E86" s="18"/>
      <c r="F86" s="18"/>
      <c r="G86" s="18"/>
      <c r="H86" s="18"/>
      <c r="I86" s="18"/>
      <c r="J86" s="18"/>
      <c r="K86" s="18"/>
      <c r="L86" s="18"/>
      <c r="M86" s="18"/>
      <c r="N86" s="18"/>
      <c r="O86" s="18"/>
    </row>
    <row r="87" spans="1:15" ht="14.5" customHeight="1">
      <c r="A87" s="18"/>
      <c r="B87" s="18"/>
      <c r="C87" s="18"/>
      <c r="D87" s="18"/>
      <c r="E87" s="18"/>
      <c r="F87" s="18"/>
      <c r="G87" s="18"/>
      <c r="H87" s="18"/>
      <c r="I87" s="18"/>
      <c r="J87" s="18"/>
      <c r="K87" s="18"/>
      <c r="L87" s="18"/>
      <c r="M87" s="18"/>
      <c r="N87" s="18"/>
      <c r="O87" s="18"/>
    </row>
    <row r="88" spans="1:15" ht="14.5" customHeight="1"/>
    <row r="89" spans="1:15" ht="14.5" customHeight="1"/>
    <row r="90" spans="1:15" ht="14.5" customHeight="1"/>
    <row r="91" spans="1:15" ht="14.5" customHeight="1"/>
    <row r="92" spans="1:15" ht="14.5" customHeight="1"/>
    <row r="93" spans="1:15" ht="14.5" customHeight="1"/>
    <row r="94" spans="1:15" ht="14.5" customHeight="1"/>
    <row r="95" spans="1:15" ht="14.5" customHeight="1"/>
    <row r="96" spans="1:15"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row r="121" ht="14.5" customHeight="1"/>
    <row r="122" ht="14.5" customHeight="1"/>
  </sheetData>
  <mergeCells count="94">
    <mergeCell ref="A62:O62"/>
    <mergeCell ref="C63:E63"/>
    <mergeCell ref="F63:G63"/>
    <mergeCell ref="C64:E64"/>
    <mergeCell ref="F64:G64"/>
    <mergeCell ref="A1:S1"/>
    <mergeCell ref="C2:F2"/>
    <mergeCell ref="G2:J2"/>
    <mergeCell ref="K2:N2"/>
    <mergeCell ref="O2:R2"/>
    <mergeCell ref="F65:G65"/>
    <mergeCell ref="C66:E66"/>
    <mergeCell ref="F66:G66"/>
    <mergeCell ref="C67:E67"/>
    <mergeCell ref="F67:G67"/>
    <mergeCell ref="C65:E65"/>
    <mergeCell ref="C68:E68"/>
    <mergeCell ref="F68:G68"/>
    <mergeCell ref="C69:E69"/>
    <mergeCell ref="F69:G69"/>
    <mergeCell ref="C70:E70"/>
    <mergeCell ref="F70:G70"/>
    <mergeCell ref="C71:E71"/>
    <mergeCell ref="F71:G71"/>
    <mergeCell ref="C72:E72"/>
    <mergeCell ref="F72:G72"/>
    <mergeCell ref="C73:E73"/>
    <mergeCell ref="F73:G73"/>
    <mergeCell ref="J63:L63"/>
    <mergeCell ref="M63:N63"/>
    <mergeCell ref="J64:L64"/>
    <mergeCell ref="M64:N64"/>
    <mergeCell ref="J65:L65"/>
    <mergeCell ref="M65:N65"/>
    <mergeCell ref="J66:L66"/>
    <mergeCell ref="M66:N66"/>
    <mergeCell ref="J67:L67"/>
    <mergeCell ref="M67:N67"/>
    <mergeCell ref="J68:L68"/>
    <mergeCell ref="M68:N68"/>
    <mergeCell ref="J69:L69"/>
    <mergeCell ref="M69:N69"/>
    <mergeCell ref="J70:L70"/>
    <mergeCell ref="M70:N70"/>
    <mergeCell ref="J71:L71"/>
    <mergeCell ref="M71:N71"/>
    <mergeCell ref="J72:L72"/>
    <mergeCell ref="M72:N72"/>
    <mergeCell ref="J73:L73"/>
    <mergeCell ref="M73:N73"/>
    <mergeCell ref="C75:E75"/>
    <mergeCell ref="F75:G75"/>
    <mergeCell ref="C76:E76"/>
    <mergeCell ref="F76:G76"/>
    <mergeCell ref="C77:E77"/>
    <mergeCell ref="F77:G77"/>
    <mergeCell ref="C78:E78"/>
    <mergeCell ref="F78:G78"/>
    <mergeCell ref="C79:E79"/>
    <mergeCell ref="F79:G79"/>
    <mergeCell ref="C80:E80"/>
    <mergeCell ref="F80:G80"/>
    <mergeCell ref="C81:E81"/>
    <mergeCell ref="F81:G81"/>
    <mergeCell ref="C82:E82"/>
    <mergeCell ref="F82:G82"/>
    <mergeCell ref="C83:E83"/>
    <mergeCell ref="F83:G83"/>
    <mergeCell ref="C84:E84"/>
    <mergeCell ref="F84:G84"/>
    <mergeCell ref="C85:E85"/>
    <mergeCell ref="F85:G85"/>
    <mergeCell ref="J75:L75"/>
    <mergeCell ref="M75:N75"/>
    <mergeCell ref="J76:L76"/>
    <mergeCell ref="M76:N76"/>
    <mergeCell ref="J77:L77"/>
    <mergeCell ref="M77:N77"/>
    <mergeCell ref="J78:L78"/>
    <mergeCell ref="M78:N78"/>
    <mergeCell ref="J79:L79"/>
    <mergeCell ref="M79:N79"/>
    <mergeCell ref="J80:L80"/>
    <mergeCell ref="M80:N80"/>
    <mergeCell ref="J81:L81"/>
    <mergeCell ref="M81:N81"/>
    <mergeCell ref="J85:L85"/>
    <mergeCell ref="M85:N85"/>
    <mergeCell ref="J82:L82"/>
    <mergeCell ref="M82:N82"/>
    <mergeCell ref="J83:L83"/>
    <mergeCell ref="M83:N83"/>
    <mergeCell ref="J84:L84"/>
    <mergeCell ref="M84:N8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4FDD-AA4A-4F2B-8BD0-8B1671CFB1FE}">
  <dimension ref="A1:S128"/>
  <sheetViews>
    <sheetView showGridLines="0" rightToLeft="1" topLeftCell="D1" workbookViewId="0">
      <pane ySplit="3" topLeftCell="A50" activePane="bottomLeft" state="frozen"/>
      <selection pane="bottomLeft" activeCell="F61" sqref="C61:G62"/>
    </sheetView>
  </sheetViews>
  <sheetFormatPr defaultRowHeight="14"/>
  <cols>
    <col min="1" max="1" width="15.83203125" customWidth="1"/>
    <col min="2" max="2" width="17.5" customWidth="1"/>
    <col min="3" max="18" width="13" customWidth="1"/>
    <col min="19" max="19" width="17.5" customWidth="1"/>
  </cols>
  <sheetData>
    <row r="1" spans="1:19" ht="26" customHeight="1">
      <c r="A1" s="119" t="s">
        <v>504</v>
      </c>
      <c r="B1" s="119"/>
      <c r="C1" s="119"/>
      <c r="D1" s="119"/>
      <c r="E1" s="119"/>
      <c r="F1" s="119"/>
      <c r="G1" s="119"/>
      <c r="H1" s="119"/>
      <c r="I1" s="119"/>
      <c r="J1" s="119"/>
      <c r="K1" s="119"/>
      <c r="L1" s="119"/>
      <c r="M1" s="119"/>
      <c r="N1" s="119"/>
      <c r="O1" s="119"/>
      <c r="P1" s="119"/>
      <c r="Q1" s="119"/>
      <c r="R1" s="119"/>
      <c r="S1" s="119"/>
    </row>
    <row r="2" spans="1:19" ht="20" customHeight="1">
      <c r="A2" s="49"/>
      <c r="B2" s="49"/>
      <c r="C2" s="137" t="s">
        <v>449</v>
      </c>
      <c r="D2" s="137"/>
      <c r="E2" s="137"/>
      <c r="F2" s="137"/>
      <c r="G2" s="137" t="s">
        <v>450</v>
      </c>
      <c r="H2" s="137"/>
      <c r="I2" s="137"/>
      <c r="J2" s="137"/>
      <c r="K2" s="137" t="s">
        <v>460</v>
      </c>
      <c r="L2" s="137"/>
      <c r="M2" s="137"/>
      <c r="N2" s="137"/>
      <c r="O2" s="137" t="s">
        <v>505</v>
      </c>
      <c r="P2" s="137"/>
      <c r="Q2" s="137"/>
      <c r="R2" s="137"/>
      <c r="S2" s="49"/>
    </row>
    <row r="3" spans="1:19" ht="32" customHeight="1" thickBot="1">
      <c r="A3" s="49" t="s">
        <v>426</v>
      </c>
      <c r="B3" s="49" t="s">
        <v>7</v>
      </c>
      <c r="C3" s="49" t="s">
        <v>8</v>
      </c>
      <c r="D3" s="49" t="s">
        <v>9</v>
      </c>
      <c r="E3" s="49" t="s">
        <v>84</v>
      </c>
      <c r="F3" s="49" t="s">
        <v>119</v>
      </c>
      <c r="G3" s="49" t="s">
        <v>8</v>
      </c>
      <c r="H3" s="49" t="s">
        <v>9</v>
      </c>
      <c r="I3" s="49" t="s">
        <v>84</v>
      </c>
      <c r="J3" s="49" t="s">
        <v>119</v>
      </c>
      <c r="K3" s="49" t="s">
        <v>8</v>
      </c>
      <c r="L3" s="49" t="s">
        <v>9</v>
      </c>
      <c r="M3" s="49" t="s">
        <v>84</v>
      </c>
      <c r="N3" s="49" t="s">
        <v>119</v>
      </c>
      <c r="O3" s="49" t="s">
        <v>8</v>
      </c>
      <c r="P3" s="49" t="s">
        <v>9</v>
      </c>
      <c r="Q3" s="49" t="s">
        <v>84</v>
      </c>
      <c r="R3" s="49" t="s">
        <v>119</v>
      </c>
      <c r="S3" s="49" t="s">
        <v>427</v>
      </c>
    </row>
    <row r="4" spans="1:19" ht="14.5" customHeight="1">
      <c r="A4" s="51" t="s">
        <v>428</v>
      </c>
      <c r="B4"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 s="51" t="s">
        <v>35</v>
      </c>
      <c r="D4" s="51"/>
      <c r="E4" s="51"/>
      <c r="F4" s="51"/>
      <c r="G4" s="51" t="s">
        <v>226</v>
      </c>
      <c r="H4" s="51"/>
      <c r="I4" s="51"/>
      <c r="J4" s="51"/>
      <c r="K4" s="51" t="s">
        <v>271</v>
      </c>
      <c r="L4" s="51"/>
      <c r="M4" s="51"/>
      <c r="N4" s="51"/>
      <c r="O4" s="51" t="s">
        <v>358</v>
      </c>
      <c r="P4" s="51" t="s">
        <v>380</v>
      </c>
      <c r="Q4" s="51" t="s">
        <v>208</v>
      </c>
      <c r="R4" s="51" t="s">
        <v>214</v>
      </c>
      <c r="S4" s="51">
        <f>COUNTA(C4:R12)</f>
        <v>98</v>
      </c>
    </row>
    <row r="5" spans="1:19" ht="14.5" customHeight="1">
      <c r="A5" s="50"/>
      <c r="B5"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 s="50" t="s">
        <v>24</v>
      </c>
      <c r="D5" s="50" t="s">
        <v>75</v>
      </c>
      <c r="E5" s="50" t="s">
        <v>45</v>
      </c>
      <c r="F5" s="50"/>
      <c r="G5" s="50" t="s">
        <v>223</v>
      </c>
      <c r="H5" s="50" t="s">
        <v>131</v>
      </c>
      <c r="I5" s="50" t="s">
        <v>185</v>
      </c>
      <c r="J5" s="50"/>
      <c r="K5" s="50" t="s">
        <v>228</v>
      </c>
      <c r="L5" s="50" t="s">
        <v>233</v>
      </c>
      <c r="M5" s="50" t="s">
        <v>169</v>
      </c>
      <c r="N5" s="50"/>
      <c r="O5" s="50" t="s">
        <v>365</v>
      </c>
      <c r="P5" s="50" t="s">
        <v>285</v>
      </c>
      <c r="Q5" s="50"/>
      <c r="R5" s="50"/>
      <c r="S5" s="50"/>
    </row>
    <row r="6" spans="1:19" ht="14.5" customHeight="1">
      <c r="A6" s="47"/>
      <c r="B6"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6" s="47" t="s">
        <v>16</v>
      </c>
      <c r="D6" s="47" t="s">
        <v>46</v>
      </c>
      <c r="E6" s="47"/>
      <c r="F6" s="47"/>
      <c r="G6" s="47" t="s">
        <v>142</v>
      </c>
      <c r="H6" s="47" t="s">
        <v>246</v>
      </c>
      <c r="I6" s="47"/>
      <c r="J6" s="47"/>
      <c r="K6" s="47" t="s">
        <v>229</v>
      </c>
      <c r="L6" s="47" t="s">
        <v>274</v>
      </c>
      <c r="M6" s="47"/>
      <c r="N6" s="47"/>
      <c r="O6" s="47" t="s">
        <v>506</v>
      </c>
      <c r="P6" s="47" t="s">
        <v>219</v>
      </c>
      <c r="Q6" s="47" t="s">
        <v>209</v>
      </c>
      <c r="R6" s="47"/>
      <c r="S6" s="47"/>
    </row>
    <row r="7" spans="1:19" ht="14.5" customHeight="1">
      <c r="A7" s="47"/>
      <c r="B7"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7" s="47" t="s">
        <v>29</v>
      </c>
      <c r="D7" s="47" t="s">
        <v>34</v>
      </c>
      <c r="E7" s="47" t="s">
        <v>72</v>
      </c>
      <c r="F7" s="47" t="s">
        <v>55</v>
      </c>
      <c r="G7" s="47" t="s">
        <v>108</v>
      </c>
      <c r="H7" s="47" t="s">
        <v>115</v>
      </c>
      <c r="I7" s="47" t="s">
        <v>129</v>
      </c>
      <c r="J7" s="47" t="s">
        <v>143</v>
      </c>
      <c r="K7" s="47" t="s">
        <v>164</v>
      </c>
      <c r="L7" s="47" t="s">
        <v>205</v>
      </c>
      <c r="M7" s="47" t="s">
        <v>235</v>
      </c>
      <c r="N7" s="47" t="s">
        <v>188</v>
      </c>
      <c r="O7" s="47" t="s">
        <v>307</v>
      </c>
      <c r="P7" s="47" t="s">
        <v>393</v>
      </c>
      <c r="Q7" s="47" t="s">
        <v>373</v>
      </c>
      <c r="R7" s="47"/>
      <c r="S7" s="47"/>
    </row>
    <row r="8" spans="1:19" ht="14.5" customHeight="1">
      <c r="A8" s="47"/>
      <c r="B8"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8" s="47" t="s">
        <v>23</v>
      </c>
      <c r="D8" s="47" t="s">
        <v>53</v>
      </c>
      <c r="E8" s="47"/>
      <c r="F8" s="47"/>
      <c r="G8" s="47" t="s">
        <v>94</v>
      </c>
      <c r="H8" s="47" t="s">
        <v>250</v>
      </c>
      <c r="I8" s="47"/>
      <c r="J8" s="47"/>
      <c r="K8" s="47" t="s">
        <v>187</v>
      </c>
      <c r="L8" s="47" t="s">
        <v>273</v>
      </c>
      <c r="M8" s="47"/>
      <c r="N8" s="47"/>
      <c r="O8" s="47" t="s">
        <v>286</v>
      </c>
      <c r="P8" s="47" t="s">
        <v>326</v>
      </c>
      <c r="Q8" s="47"/>
      <c r="R8" s="47"/>
      <c r="S8" s="47"/>
    </row>
    <row r="9" spans="1:19" ht="14.5" customHeight="1">
      <c r="A9" s="47"/>
      <c r="B9"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9" s="47" t="s">
        <v>66</v>
      </c>
      <c r="D9" s="47" t="s">
        <v>31</v>
      </c>
      <c r="E9" s="47"/>
      <c r="F9" s="47"/>
      <c r="G9" s="47" t="s">
        <v>132</v>
      </c>
      <c r="H9" s="47" t="s">
        <v>114</v>
      </c>
      <c r="I9" s="47"/>
      <c r="J9" s="47"/>
      <c r="K9" s="47" t="s">
        <v>181</v>
      </c>
      <c r="L9" s="47" t="s">
        <v>177</v>
      </c>
      <c r="M9" s="47"/>
      <c r="N9" s="47"/>
      <c r="O9" s="47" t="s">
        <v>327</v>
      </c>
      <c r="P9" s="47" t="s">
        <v>507</v>
      </c>
      <c r="Q9" s="47" t="s">
        <v>328</v>
      </c>
      <c r="R9" s="47" t="s">
        <v>370</v>
      </c>
      <c r="S9" s="47"/>
    </row>
    <row r="10" spans="1:19" ht="14.5" customHeight="1">
      <c r="A10" s="47"/>
      <c r="B10"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0" s="47" t="s">
        <v>49</v>
      </c>
      <c r="D10" s="47" t="s">
        <v>13</v>
      </c>
      <c r="E10" s="47" t="s">
        <v>57</v>
      </c>
      <c r="F10" s="47" t="s">
        <v>20</v>
      </c>
      <c r="G10" s="47" t="s">
        <v>134</v>
      </c>
      <c r="H10" s="47" t="s">
        <v>96</v>
      </c>
      <c r="I10" s="47" t="s">
        <v>303</v>
      </c>
      <c r="J10" s="47" t="s">
        <v>99</v>
      </c>
      <c r="K10" s="47" t="s">
        <v>183</v>
      </c>
      <c r="L10" s="47" t="s">
        <v>157</v>
      </c>
      <c r="M10" s="47" t="s">
        <v>325</v>
      </c>
      <c r="N10" s="47" t="s">
        <v>159</v>
      </c>
      <c r="O10" s="47" t="s">
        <v>310</v>
      </c>
      <c r="P10" s="47" t="s">
        <v>287</v>
      </c>
      <c r="Q10" s="47"/>
      <c r="R10" s="47"/>
      <c r="S10" s="47"/>
    </row>
    <row r="11" spans="1:19" ht="14.5" customHeight="1">
      <c r="A11" s="47"/>
      <c r="B11"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11" s="47" t="s">
        <v>26</v>
      </c>
      <c r="D11" s="47" t="s">
        <v>71</v>
      </c>
      <c r="E11" s="47"/>
      <c r="F11" s="47"/>
      <c r="G11" s="47" t="s">
        <v>126</v>
      </c>
      <c r="H11" s="47" t="s">
        <v>261</v>
      </c>
      <c r="I11" s="47"/>
      <c r="J11" s="47"/>
      <c r="K11" s="47" t="s">
        <v>168</v>
      </c>
      <c r="L11" s="47" t="s">
        <v>189</v>
      </c>
      <c r="M11" s="47"/>
      <c r="N11" s="47"/>
      <c r="O11" s="47" t="s">
        <v>308</v>
      </c>
      <c r="P11" s="47" t="s">
        <v>361</v>
      </c>
      <c r="Q11" s="47" t="s">
        <v>390</v>
      </c>
      <c r="R11" s="47"/>
      <c r="S11" s="47"/>
    </row>
    <row r="12" spans="1:19" ht="14.5" customHeight="1" thickBot="1">
      <c r="A12" s="48"/>
      <c r="B12"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12" s="48" t="s">
        <v>11</v>
      </c>
      <c r="D12" s="48" t="s">
        <v>61</v>
      </c>
      <c r="E12" s="48" t="s">
        <v>47</v>
      </c>
      <c r="F12" s="48" t="s">
        <v>41</v>
      </c>
      <c r="G12" s="48" t="s">
        <v>222</v>
      </c>
      <c r="H12" s="48" t="s">
        <v>247</v>
      </c>
      <c r="I12" s="48" t="s">
        <v>301</v>
      </c>
      <c r="J12" s="48" t="s">
        <v>151</v>
      </c>
      <c r="K12" s="48" t="s">
        <v>149</v>
      </c>
      <c r="L12" s="48" t="s">
        <v>305</v>
      </c>
      <c r="M12" s="48" t="s">
        <v>304</v>
      </c>
      <c r="N12" s="48" t="s">
        <v>277</v>
      </c>
      <c r="O12" s="48" t="s">
        <v>210</v>
      </c>
      <c r="P12" s="48" t="s">
        <v>290</v>
      </c>
      <c r="Q12" s="48" t="s">
        <v>389</v>
      </c>
      <c r="R12" s="48"/>
      <c r="S12" s="48"/>
    </row>
    <row r="13" spans="1:19" ht="14.5" customHeight="1">
      <c r="A13" s="51" t="s">
        <v>429</v>
      </c>
      <c r="B13"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13" s="51" t="s">
        <v>28</v>
      </c>
      <c r="D13" s="51" t="s">
        <v>62</v>
      </c>
      <c r="E13" s="51" t="s">
        <v>50</v>
      </c>
      <c r="F13" s="51"/>
      <c r="G13" s="51" t="s">
        <v>300</v>
      </c>
      <c r="H13" s="51" t="s">
        <v>242</v>
      </c>
      <c r="I13" s="51" t="s">
        <v>125</v>
      </c>
      <c r="J13" s="51"/>
      <c r="K13" s="51" t="s">
        <v>227</v>
      </c>
      <c r="L13" s="51" t="s">
        <v>276</v>
      </c>
      <c r="M13" s="51" t="s">
        <v>174</v>
      </c>
      <c r="N13" s="51"/>
      <c r="O13" s="51" t="s">
        <v>200</v>
      </c>
      <c r="P13" s="51" t="s">
        <v>331</v>
      </c>
      <c r="Q13" s="51" t="s">
        <v>376</v>
      </c>
      <c r="R13" s="51" t="s">
        <v>508</v>
      </c>
      <c r="S13" s="51">
        <f>COUNTA(C13:R21)</f>
        <v>98</v>
      </c>
    </row>
    <row r="14" spans="1:19" ht="14.5" customHeight="1">
      <c r="A14" s="50"/>
      <c r="B14"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14" s="50" t="s">
        <v>70</v>
      </c>
      <c r="D14" s="50" t="s">
        <v>17</v>
      </c>
      <c r="E14" s="50"/>
      <c r="F14" s="50"/>
      <c r="G14" s="50" t="s">
        <v>137</v>
      </c>
      <c r="H14" s="50" t="s">
        <v>85</v>
      </c>
      <c r="I14" s="50"/>
      <c r="J14" s="50"/>
      <c r="K14" s="50" t="s">
        <v>193</v>
      </c>
      <c r="L14" s="50" t="s">
        <v>163</v>
      </c>
      <c r="M14" s="50"/>
      <c r="N14" s="50"/>
      <c r="O14" s="50" t="s">
        <v>199</v>
      </c>
      <c r="P14" s="50" t="s">
        <v>293</v>
      </c>
      <c r="Q14" s="50"/>
      <c r="R14" s="50"/>
      <c r="S14" s="50"/>
    </row>
    <row r="15" spans="1:19" ht="14.5" customHeight="1">
      <c r="A15" s="47"/>
      <c r="B15"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15" s="47" t="s">
        <v>60</v>
      </c>
      <c r="D15" s="47" t="s">
        <v>36</v>
      </c>
      <c r="E15" s="47"/>
      <c r="F15" s="47"/>
      <c r="G15" s="47" t="s">
        <v>121</v>
      </c>
      <c r="H15" s="47" t="s">
        <v>117</v>
      </c>
      <c r="I15" s="47"/>
      <c r="J15" s="47"/>
      <c r="K15" s="47" t="s">
        <v>184</v>
      </c>
      <c r="L15" s="47" t="s">
        <v>215</v>
      </c>
      <c r="M15" s="47"/>
      <c r="N15" s="47"/>
      <c r="O15" s="47" t="s">
        <v>374</v>
      </c>
      <c r="P15" s="47" t="s">
        <v>359</v>
      </c>
      <c r="Q15" s="47" t="s">
        <v>378</v>
      </c>
      <c r="R15" s="47"/>
      <c r="S15" s="47"/>
    </row>
    <row r="16" spans="1:19" ht="14.5" customHeight="1">
      <c r="A16" s="47"/>
      <c r="B16"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16" s="47" t="s">
        <v>14</v>
      </c>
      <c r="D16" s="47" t="s">
        <v>73</v>
      </c>
      <c r="E16" s="47" t="s">
        <v>52</v>
      </c>
      <c r="F16" s="47"/>
      <c r="G16" s="47" t="s">
        <v>91</v>
      </c>
      <c r="H16" s="47" t="s">
        <v>120</v>
      </c>
      <c r="I16" s="47" t="s">
        <v>122</v>
      </c>
      <c r="J16" s="47"/>
      <c r="K16" s="47" t="s">
        <v>153</v>
      </c>
      <c r="L16" s="47" t="s">
        <v>280</v>
      </c>
      <c r="M16" s="47" t="s">
        <v>178</v>
      </c>
      <c r="N16" s="47"/>
      <c r="O16" s="47" t="s">
        <v>289</v>
      </c>
      <c r="P16" s="47" t="s">
        <v>283</v>
      </c>
      <c r="Q16" s="47" t="s">
        <v>292</v>
      </c>
      <c r="R16" s="47"/>
      <c r="S16" s="47"/>
    </row>
    <row r="17" spans="1:19" ht="14.5" customHeight="1">
      <c r="A17" s="47"/>
      <c r="B17"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17" s="47" t="s">
        <v>12</v>
      </c>
      <c r="D17" s="47" t="s">
        <v>56</v>
      </c>
      <c r="E17" s="47" t="s">
        <v>42</v>
      </c>
      <c r="F17" s="47"/>
      <c r="G17" s="47" t="s">
        <v>102</v>
      </c>
      <c r="H17" s="47" t="s">
        <v>133</v>
      </c>
      <c r="I17" s="47" t="s">
        <v>225</v>
      </c>
      <c r="J17" s="47"/>
      <c r="K17" s="47" t="s">
        <v>160</v>
      </c>
      <c r="L17" s="47" t="s">
        <v>182</v>
      </c>
      <c r="M17" s="47" t="s">
        <v>270</v>
      </c>
      <c r="N17" s="47"/>
      <c r="O17" s="47" t="s">
        <v>392</v>
      </c>
      <c r="P17" s="47" t="s">
        <v>282</v>
      </c>
      <c r="Q17" s="47"/>
      <c r="R17" s="47"/>
      <c r="S17" s="47"/>
    </row>
    <row r="18" spans="1:19" ht="14.5" customHeight="1">
      <c r="A18" s="47"/>
      <c r="B18"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18" s="47" t="s">
        <v>25</v>
      </c>
      <c r="D18" s="47" t="s">
        <v>67</v>
      </c>
      <c r="E18" s="47"/>
      <c r="F18" s="47"/>
      <c r="G18" s="47" t="s">
        <v>135</v>
      </c>
      <c r="H18" s="47" t="s">
        <v>124</v>
      </c>
      <c r="I18" s="47"/>
      <c r="J18" s="47"/>
      <c r="K18" s="47" t="s">
        <v>155</v>
      </c>
      <c r="L18" s="47" t="s">
        <v>213</v>
      </c>
      <c r="M18" s="47"/>
      <c r="N18" s="47"/>
      <c r="O18" s="47" t="s">
        <v>509</v>
      </c>
      <c r="P18" s="47" t="s">
        <v>281</v>
      </c>
      <c r="Q18" s="47" t="s">
        <v>368</v>
      </c>
      <c r="R18" s="47"/>
      <c r="S18" s="47"/>
    </row>
    <row r="19" spans="1:19" ht="14.5" customHeight="1">
      <c r="A19" s="47"/>
      <c r="B19"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19" s="47" t="s">
        <v>64</v>
      </c>
      <c r="D19" s="47" t="s">
        <v>18</v>
      </c>
      <c r="E19" s="47" t="s">
        <v>44</v>
      </c>
      <c r="F19" s="47" t="s">
        <v>22</v>
      </c>
      <c r="G19" s="47" t="s">
        <v>262</v>
      </c>
      <c r="H19" s="47" t="s">
        <v>111</v>
      </c>
      <c r="I19" s="47" t="s">
        <v>123</v>
      </c>
      <c r="J19" s="47" t="s">
        <v>88</v>
      </c>
      <c r="K19" s="47" t="s">
        <v>323</v>
      </c>
      <c r="L19" s="47" t="s">
        <v>158</v>
      </c>
      <c r="M19" s="47" t="s">
        <v>179</v>
      </c>
      <c r="N19" s="47" t="s">
        <v>192</v>
      </c>
      <c r="O19" s="47" t="s">
        <v>207</v>
      </c>
      <c r="P19" s="47" t="s">
        <v>198</v>
      </c>
      <c r="Q19" s="47" t="s">
        <v>306</v>
      </c>
      <c r="R19" s="47"/>
      <c r="S19" s="47"/>
    </row>
    <row r="20" spans="1:19" ht="14.5" customHeight="1">
      <c r="A20" s="47"/>
      <c r="B20"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0" s="47" t="s">
        <v>69</v>
      </c>
      <c r="D20" s="47"/>
      <c r="E20" s="47"/>
      <c r="F20" s="47"/>
      <c r="G20" s="47" t="s">
        <v>243</v>
      </c>
      <c r="H20" s="47"/>
      <c r="I20" s="47"/>
      <c r="J20" s="47"/>
      <c r="K20" s="47" t="s">
        <v>463</v>
      </c>
      <c r="L20" s="47"/>
      <c r="M20" s="47"/>
      <c r="N20" s="47"/>
      <c r="O20" s="47" t="s">
        <v>294</v>
      </c>
      <c r="P20" s="47" t="s">
        <v>375</v>
      </c>
      <c r="Q20" s="47"/>
      <c r="R20" s="47"/>
      <c r="S20" s="47"/>
    </row>
    <row r="21" spans="1:19" ht="14.5" customHeight="1" thickBot="1">
      <c r="A21" s="48"/>
      <c r="B21"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21" s="48" t="s">
        <v>19</v>
      </c>
      <c r="D21" s="48" t="s">
        <v>51</v>
      </c>
      <c r="E21" s="48" t="s">
        <v>33</v>
      </c>
      <c r="F21" s="48" t="s">
        <v>39</v>
      </c>
      <c r="G21" s="48" t="s">
        <v>109</v>
      </c>
      <c r="H21" s="48" t="s">
        <v>234</v>
      </c>
      <c r="I21" s="48" t="s">
        <v>116</v>
      </c>
      <c r="J21" s="48" t="s">
        <v>241</v>
      </c>
      <c r="K21" s="48" t="s">
        <v>165</v>
      </c>
      <c r="L21" s="48" t="s">
        <v>275</v>
      </c>
      <c r="M21" s="48" t="s">
        <v>172</v>
      </c>
      <c r="N21" s="48" t="s">
        <v>278</v>
      </c>
      <c r="O21" s="48" t="s">
        <v>367</v>
      </c>
      <c r="P21" s="48" t="s">
        <v>203</v>
      </c>
      <c r="Q21" s="48" t="s">
        <v>212</v>
      </c>
      <c r="R21" s="48" t="s">
        <v>510</v>
      </c>
      <c r="S21" s="48"/>
    </row>
    <row r="22" spans="1:19" ht="14.5" customHeight="1">
      <c r="A22" s="51" t="s">
        <v>430</v>
      </c>
      <c r="B22"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22" s="51" t="s">
        <v>15</v>
      </c>
      <c r="D22" s="51" t="s">
        <v>43</v>
      </c>
      <c r="E22" s="51" t="s">
        <v>32</v>
      </c>
      <c r="F22" s="51"/>
      <c r="G22" s="51" t="s">
        <v>104</v>
      </c>
      <c r="H22" s="51" t="s">
        <v>244</v>
      </c>
      <c r="I22" s="51" t="s">
        <v>249</v>
      </c>
      <c r="J22" s="51"/>
      <c r="K22" s="51" t="s">
        <v>156</v>
      </c>
      <c r="L22" s="51" t="s">
        <v>272</v>
      </c>
      <c r="M22" s="51" t="s">
        <v>195</v>
      </c>
      <c r="N22" s="51"/>
      <c r="O22" s="51" t="s">
        <v>218</v>
      </c>
      <c r="P22" s="51" t="s">
        <v>216</v>
      </c>
      <c r="Q22" s="51" t="s">
        <v>298</v>
      </c>
      <c r="R22" s="51" t="s">
        <v>329</v>
      </c>
      <c r="S22" s="51">
        <f>COUNTA(C22:R30)</f>
        <v>98</v>
      </c>
    </row>
    <row r="23" spans="1:19" ht="14.5" customHeight="1">
      <c r="A23" s="50"/>
      <c r="B23"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23" s="50" t="s">
        <v>27</v>
      </c>
      <c r="D23" s="50" t="s">
        <v>59</v>
      </c>
      <c r="E23" s="50"/>
      <c r="F23" s="50"/>
      <c r="G23" s="50" t="s">
        <v>140</v>
      </c>
      <c r="H23" s="50" t="s">
        <v>138</v>
      </c>
      <c r="I23" s="50"/>
      <c r="J23" s="50"/>
      <c r="K23" s="50" t="s">
        <v>170</v>
      </c>
      <c r="L23" s="50" t="s">
        <v>194</v>
      </c>
      <c r="M23" s="50"/>
      <c r="N23" s="50"/>
      <c r="O23" s="50" t="s">
        <v>201</v>
      </c>
      <c r="P23" s="50" t="s">
        <v>511</v>
      </c>
      <c r="Q23" s="50"/>
      <c r="R23" s="50"/>
      <c r="S23" s="50"/>
    </row>
    <row r="24" spans="1:19" ht="14.5" customHeight="1">
      <c r="A24" s="47"/>
      <c r="B24"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24" s="47" t="s">
        <v>21</v>
      </c>
      <c r="D24" s="47" t="s">
        <v>68</v>
      </c>
      <c r="E24" s="47" t="s">
        <v>40</v>
      </c>
      <c r="F24" s="47"/>
      <c r="G24" s="47" t="s">
        <v>98</v>
      </c>
      <c r="H24" s="47" t="s">
        <v>245</v>
      </c>
      <c r="I24" s="47" t="s">
        <v>154</v>
      </c>
      <c r="J24" s="47"/>
      <c r="K24" s="47" t="s">
        <v>162</v>
      </c>
      <c r="L24" s="47" t="s">
        <v>461</v>
      </c>
      <c r="M24" s="47" t="s">
        <v>171</v>
      </c>
      <c r="N24" s="47"/>
      <c r="O24" s="47" t="s">
        <v>202</v>
      </c>
      <c r="P24" s="47" t="s">
        <v>288</v>
      </c>
      <c r="Q24" s="47"/>
      <c r="R24" s="47"/>
      <c r="S24" s="47"/>
    </row>
    <row r="25" spans="1:19" ht="14.5" customHeight="1">
      <c r="A25" s="47"/>
      <c r="B25"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25" s="47" t="s">
        <v>10</v>
      </c>
      <c r="D25" s="47" t="s">
        <v>63</v>
      </c>
      <c r="E25" s="47" t="s">
        <v>48</v>
      </c>
      <c r="F25" s="47"/>
      <c r="G25" s="47" t="s">
        <v>112</v>
      </c>
      <c r="H25" s="47" t="s">
        <v>128</v>
      </c>
      <c r="I25" s="47" t="s">
        <v>127</v>
      </c>
      <c r="J25" s="47"/>
      <c r="K25" s="47" t="s">
        <v>191</v>
      </c>
      <c r="L25" s="47" t="s">
        <v>238</v>
      </c>
      <c r="M25" s="47" t="s">
        <v>175</v>
      </c>
      <c r="N25" s="47"/>
      <c r="O25" s="47" t="s">
        <v>379</v>
      </c>
      <c r="P25" s="47" t="s">
        <v>366</v>
      </c>
      <c r="Q25" s="47" t="s">
        <v>211</v>
      </c>
      <c r="R25" s="47" t="s">
        <v>360</v>
      </c>
      <c r="S25" s="47"/>
    </row>
    <row r="26" spans="1:19" ht="14.5" customHeight="1">
      <c r="A26" s="47"/>
      <c r="B26"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26" s="47" t="s">
        <v>38</v>
      </c>
      <c r="D26" s="47" t="s">
        <v>65</v>
      </c>
      <c r="E26" s="47"/>
      <c r="F26" s="47"/>
      <c r="G26" s="47" t="s">
        <v>145</v>
      </c>
      <c r="H26" s="47" t="s">
        <v>253</v>
      </c>
      <c r="I26" s="47"/>
      <c r="J26" s="47"/>
      <c r="K26" s="47" t="s">
        <v>166</v>
      </c>
      <c r="L26" s="47" t="s">
        <v>462</v>
      </c>
      <c r="M26" s="47"/>
      <c r="N26" s="47"/>
      <c r="O26" s="47" t="s">
        <v>330</v>
      </c>
      <c r="P26" s="47" t="s">
        <v>220</v>
      </c>
      <c r="Q26" s="47"/>
      <c r="R26" s="47"/>
      <c r="S26" s="47"/>
    </row>
    <row r="27" spans="1:19" ht="14.5" customHeight="1">
      <c r="A27" s="47"/>
      <c r="B27"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27" s="47" t="s">
        <v>37</v>
      </c>
      <c r="D27" s="47" t="s">
        <v>30</v>
      </c>
      <c r="E27" s="47" t="s">
        <v>54</v>
      </c>
      <c r="F27" s="47"/>
      <c r="G27" s="47" t="s">
        <v>130</v>
      </c>
      <c r="H27" s="47" t="s">
        <v>106</v>
      </c>
      <c r="I27" s="47" t="s">
        <v>186</v>
      </c>
      <c r="J27" s="47"/>
      <c r="K27" s="47" t="s">
        <v>167</v>
      </c>
      <c r="L27" s="47" t="s">
        <v>161</v>
      </c>
      <c r="M27" s="47" t="s">
        <v>239</v>
      </c>
      <c r="N27" s="47"/>
      <c r="O27" s="47" t="s">
        <v>291</v>
      </c>
      <c r="P27" s="47" t="s">
        <v>217</v>
      </c>
      <c r="Q27" s="47" t="s">
        <v>388</v>
      </c>
      <c r="R27" s="47" t="s">
        <v>512</v>
      </c>
      <c r="S27" s="47"/>
    </row>
    <row r="28" spans="1:19" ht="14.5" customHeight="1">
      <c r="A28" s="47"/>
      <c r="B28"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28" s="47" t="s">
        <v>74</v>
      </c>
      <c r="D28" s="47" t="s">
        <v>58</v>
      </c>
      <c r="E28" s="47" t="s">
        <v>39</v>
      </c>
      <c r="F28" s="47"/>
      <c r="G28" s="47" t="s">
        <v>322</v>
      </c>
      <c r="H28" s="47" t="s">
        <v>252</v>
      </c>
      <c r="I28" s="47" t="s">
        <v>241</v>
      </c>
      <c r="J28" s="47"/>
      <c r="K28" s="47" t="s">
        <v>324</v>
      </c>
      <c r="L28" s="47" t="s">
        <v>279</v>
      </c>
      <c r="M28" s="47" t="s">
        <v>278</v>
      </c>
      <c r="N28" s="47"/>
      <c r="O28" s="47" t="s">
        <v>296</v>
      </c>
      <c r="P28" s="47" t="s">
        <v>372</v>
      </c>
      <c r="Q28" s="47"/>
      <c r="R28" s="47"/>
      <c r="S28" s="47"/>
    </row>
    <row r="29" spans="1:19" ht="14.5" customHeight="1">
      <c r="A29" s="47"/>
      <c r="B29"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29" s="47" t="s">
        <v>53</v>
      </c>
      <c r="D29" s="47"/>
      <c r="E29" s="47"/>
      <c r="F29" s="47"/>
      <c r="G29" s="47" t="s">
        <v>250</v>
      </c>
      <c r="H29" s="47"/>
      <c r="I29" s="47"/>
      <c r="J29" s="47"/>
      <c r="K29" s="47" t="s">
        <v>273</v>
      </c>
      <c r="L29" s="47"/>
      <c r="M29" s="47"/>
      <c r="N29" s="47"/>
      <c r="O29" s="47" t="s">
        <v>391</v>
      </c>
      <c r="P29" s="47" t="s">
        <v>513</v>
      </c>
      <c r="Q29" s="47" t="s">
        <v>284</v>
      </c>
      <c r="R29" s="47"/>
      <c r="S29" s="47"/>
    </row>
    <row r="30" spans="1:19" ht="14.5" customHeight="1" thickBot="1">
      <c r="A30" s="48"/>
      <c r="B30"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0" s="48" t="s">
        <v>60</v>
      </c>
      <c r="D30" s="48" t="s">
        <v>34</v>
      </c>
      <c r="E30" s="48" t="s">
        <v>73</v>
      </c>
      <c r="F30" s="48" t="s">
        <v>29</v>
      </c>
      <c r="G30" s="48" t="s">
        <v>121</v>
      </c>
      <c r="H30" s="48" t="s">
        <v>115</v>
      </c>
      <c r="I30" s="48" t="s">
        <v>120</v>
      </c>
      <c r="J30" s="48" t="s">
        <v>108</v>
      </c>
      <c r="K30" s="48" t="s">
        <v>184</v>
      </c>
      <c r="L30" s="48" t="s">
        <v>205</v>
      </c>
      <c r="M30" s="48" t="s">
        <v>280</v>
      </c>
      <c r="N30" s="48" t="s">
        <v>164</v>
      </c>
      <c r="O30" s="48" t="s">
        <v>377</v>
      </c>
      <c r="P30" s="48" t="s">
        <v>297</v>
      </c>
      <c r="Q30" s="48" t="s">
        <v>204</v>
      </c>
      <c r="R30" s="48"/>
      <c r="S30" s="48"/>
    </row>
    <row r="31" spans="1:19" ht="14.5" customHeight="1">
      <c r="A31" s="51" t="s">
        <v>431</v>
      </c>
      <c r="B31"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31" s="51" t="s">
        <v>55</v>
      </c>
      <c r="D31" s="51" t="s">
        <v>50</v>
      </c>
      <c r="E31" s="51" t="s">
        <v>68</v>
      </c>
      <c r="F31" s="51" t="s">
        <v>28</v>
      </c>
      <c r="G31" s="51" t="s">
        <v>143</v>
      </c>
      <c r="H31" s="51" t="s">
        <v>125</v>
      </c>
      <c r="I31" s="51" t="s">
        <v>245</v>
      </c>
      <c r="J31" s="51" t="s">
        <v>300</v>
      </c>
      <c r="K31" s="51" t="s">
        <v>188</v>
      </c>
      <c r="L31" s="51" t="s">
        <v>174</v>
      </c>
      <c r="M31" s="51" t="s">
        <v>461</v>
      </c>
      <c r="N31" s="51" t="s">
        <v>227</v>
      </c>
      <c r="O31" s="51" t="s">
        <v>365</v>
      </c>
      <c r="P31" s="51" t="s">
        <v>200</v>
      </c>
      <c r="Q31" s="51" t="s">
        <v>212</v>
      </c>
      <c r="R31" s="51" t="s">
        <v>283</v>
      </c>
      <c r="S31" s="51">
        <f>COUNTA(C31:R39)</f>
        <v>98</v>
      </c>
    </row>
    <row r="32" spans="1:19" ht="14.5" customHeight="1">
      <c r="A32" s="50"/>
      <c r="B32"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32" s="50" t="s">
        <v>31</v>
      </c>
      <c r="D32" s="50"/>
      <c r="E32" s="50"/>
      <c r="F32" s="50"/>
      <c r="G32" s="50" t="s">
        <v>114</v>
      </c>
      <c r="H32" s="50"/>
      <c r="I32" s="50"/>
      <c r="J32" s="50"/>
      <c r="K32" s="50" t="s">
        <v>177</v>
      </c>
      <c r="L32" s="50"/>
      <c r="M32" s="50"/>
      <c r="N32" s="50"/>
      <c r="O32" s="50" t="s">
        <v>380</v>
      </c>
      <c r="P32" s="50" t="s">
        <v>201</v>
      </c>
      <c r="Q32" s="50"/>
      <c r="R32" s="50"/>
      <c r="S32" s="50"/>
    </row>
    <row r="33" spans="1:19" ht="14.5" customHeight="1">
      <c r="A33" s="47"/>
      <c r="B33"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33" s="47" t="s">
        <v>47</v>
      </c>
      <c r="D33" s="47" t="s">
        <v>61</v>
      </c>
      <c r="E33" s="47" t="s">
        <v>41</v>
      </c>
      <c r="F33" s="47"/>
      <c r="G33" s="47" t="s">
        <v>301</v>
      </c>
      <c r="H33" s="47" t="s">
        <v>247</v>
      </c>
      <c r="I33" s="47" t="s">
        <v>151</v>
      </c>
      <c r="J33" s="47"/>
      <c r="K33" s="47" t="s">
        <v>304</v>
      </c>
      <c r="L33" s="47" t="s">
        <v>305</v>
      </c>
      <c r="M33" s="47" t="s">
        <v>277</v>
      </c>
      <c r="N33" s="47"/>
      <c r="O33" s="47" t="s">
        <v>288</v>
      </c>
      <c r="P33" s="47" t="s">
        <v>511</v>
      </c>
      <c r="Q33" s="47"/>
      <c r="R33" s="47"/>
      <c r="S33" s="47"/>
    </row>
    <row r="34" spans="1:19" ht="14.5" customHeight="1">
      <c r="A34" s="47"/>
      <c r="B34"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34" s="47" t="s">
        <v>32</v>
      </c>
      <c r="D34" s="47" t="s">
        <v>15</v>
      </c>
      <c r="E34" s="47" t="s">
        <v>66</v>
      </c>
      <c r="F34" s="47"/>
      <c r="G34" s="47" t="s">
        <v>249</v>
      </c>
      <c r="H34" s="47" t="s">
        <v>104</v>
      </c>
      <c r="I34" s="47" t="s">
        <v>132</v>
      </c>
      <c r="J34" s="47"/>
      <c r="K34" s="47" t="s">
        <v>195</v>
      </c>
      <c r="L34" s="47" t="s">
        <v>156</v>
      </c>
      <c r="M34" s="47" t="s">
        <v>181</v>
      </c>
      <c r="N34" s="47"/>
      <c r="O34" s="47" t="s">
        <v>329</v>
      </c>
      <c r="P34" s="47" t="s">
        <v>207</v>
      </c>
      <c r="Q34" s="47" t="s">
        <v>287</v>
      </c>
      <c r="R34" s="47" t="s">
        <v>378</v>
      </c>
      <c r="S34" s="47"/>
    </row>
    <row r="35" spans="1:19" ht="14.5" customHeight="1">
      <c r="A35" s="47"/>
      <c r="B35"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35" s="47" t="s">
        <v>10</v>
      </c>
      <c r="D35" s="47" t="s">
        <v>38</v>
      </c>
      <c r="E35" s="47"/>
      <c r="F35" s="47"/>
      <c r="G35" s="47" t="s">
        <v>112</v>
      </c>
      <c r="H35" s="47" t="s">
        <v>145</v>
      </c>
      <c r="I35" s="47"/>
      <c r="J35" s="47"/>
      <c r="K35" s="47" t="s">
        <v>191</v>
      </c>
      <c r="L35" s="47" t="s">
        <v>166</v>
      </c>
      <c r="M35" s="47"/>
      <c r="N35" s="47"/>
      <c r="O35" s="47" t="s">
        <v>374</v>
      </c>
      <c r="P35" s="47" t="s">
        <v>509</v>
      </c>
      <c r="Q35" s="47"/>
      <c r="R35" s="47"/>
      <c r="S35" s="47"/>
    </row>
    <row r="36" spans="1:19" ht="14.5" customHeight="1">
      <c r="A36" s="47"/>
      <c r="B36"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36" s="47" t="s">
        <v>52</v>
      </c>
      <c r="D36" s="47" t="s">
        <v>62</v>
      </c>
      <c r="E36" s="47" t="s">
        <v>18</v>
      </c>
      <c r="F36" s="47"/>
      <c r="G36" s="47" t="s">
        <v>122</v>
      </c>
      <c r="H36" s="47" t="s">
        <v>242</v>
      </c>
      <c r="I36" s="47" t="s">
        <v>111</v>
      </c>
      <c r="J36" s="47"/>
      <c r="K36" s="47" t="s">
        <v>178</v>
      </c>
      <c r="L36" s="47" t="s">
        <v>276</v>
      </c>
      <c r="M36" s="47" t="s">
        <v>158</v>
      </c>
      <c r="N36" s="47"/>
      <c r="O36" s="47" t="s">
        <v>306</v>
      </c>
      <c r="P36" s="47" t="s">
        <v>366</v>
      </c>
      <c r="Q36" s="47" t="s">
        <v>298</v>
      </c>
      <c r="R36" s="47" t="s">
        <v>211</v>
      </c>
      <c r="S36" s="47"/>
    </row>
    <row r="37" spans="1:19" ht="14.5" customHeight="1">
      <c r="A37" s="47"/>
      <c r="B37"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37" s="47" t="s">
        <v>71</v>
      </c>
      <c r="D37" s="47" t="s">
        <v>17</v>
      </c>
      <c r="E37" s="47"/>
      <c r="F37" s="47"/>
      <c r="G37" s="47" t="s">
        <v>261</v>
      </c>
      <c r="H37" s="47" t="s">
        <v>85</v>
      </c>
      <c r="I37" s="47"/>
      <c r="J37" s="47"/>
      <c r="K37" s="47" t="s">
        <v>189</v>
      </c>
      <c r="L37" s="47" t="s">
        <v>163</v>
      </c>
      <c r="M37" s="47"/>
      <c r="N37" s="47"/>
      <c r="O37" s="47" t="s">
        <v>389</v>
      </c>
      <c r="P37" s="47" t="s">
        <v>506</v>
      </c>
      <c r="Q37" s="47"/>
      <c r="R37" s="47"/>
      <c r="S37" s="47"/>
    </row>
    <row r="38" spans="1:19" ht="14.5" customHeight="1">
      <c r="A38" s="47"/>
      <c r="B38"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38" s="47" t="s">
        <v>45</v>
      </c>
      <c r="D38" s="47" t="s">
        <v>16</v>
      </c>
      <c r="E38" s="47" t="s">
        <v>54</v>
      </c>
      <c r="F38" s="47"/>
      <c r="G38" s="47" t="s">
        <v>185</v>
      </c>
      <c r="H38" s="47" t="s">
        <v>142</v>
      </c>
      <c r="I38" s="47" t="s">
        <v>186</v>
      </c>
      <c r="J38" s="47"/>
      <c r="K38" s="47" t="s">
        <v>169</v>
      </c>
      <c r="L38" s="47" t="s">
        <v>229</v>
      </c>
      <c r="M38" s="47" t="s">
        <v>239</v>
      </c>
      <c r="N38" s="47"/>
      <c r="O38" s="47" t="s">
        <v>217</v>
      </c>
      <c r="P38" s="47" t="s">
        <v>284</v>
      </c>
      <c r="Q38" s="47" t="s">
        <v>310</v>
      </c>
      <c r="R38" s="47"/>
      <c r="S38" s="47"/>
    </row>
    <row r="39" spans="1:19" ht="14.5" customHeight="1" thickBot="1">
      <c r="A39" s="48"/>
      <c r="B39"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39" s="48" t="s">
        <v>14</v>
      </c>
      <c r="D39" s="48" t="s">
        <v>35</v>
      </c>
      <c r="E39" s="48" t="s">
        <v>75</v>
      </c>
      <c r="F39" s="48"/>
      <c r="G39" s="48" t="s">
        <v>91</v>
      </c>
      <c r="H39" s="48" t="s">
        <v>226</v>
      </c>
      <c r="I39" s="48" t="s">
        <v>131</v>
      </c>
      <c r="J39" s="48"/>
      <c r="K39" s="48" t="s">
        <v>153</v>
      </c>
      <c r="L39" s="48" t="s">
        <v>271</v>
      </c>
      <c r="M39" s="48" t="s">
        <v>233</v>
      </c>
      <c r="N39" s="48"/>
      <c r="O39" s="48" t="s">
        <v>373</v>
      </c>
      <c r="P39" s="48" t="s">
        <v>393</v>
      </c>
      <c r="Q39" s="48" t="s">
        <v>359</v>
      </c>
      <c r="R39" s="48"/>
      <c r="S39" s="48"/>
    </row>
    <row r="40" spans="1:19" ht="14.5" customHeight="1">
      <c r="A40" s="51" t="s">
        <v>432</v>
      </c>
      <c r="B40"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0" s="51" t="s">
        <v>19</v>
      </c>
      <c r="D40" s="51" t="s">
        <v>43</v>
      </c>
      <c r="E40" s="51" t="s">
        <v>74</v>
      </c>
      <c r="F40" s="51"/>
      <c r="G40" s="51" t="s">
        <v>109</v>
      </c>
      <c r="H40" s="51" t="s">
        <v>244</v>
      </c>
      <c r="I40" s="51" t="s">
        <v>322</v>
      </c>
      <c r="J40" s="51"/>
      <c r="K40" s="51" t="s">
        <v>165</v>
      </c>
      <c r="L40" s="51" t="s">
        <v>272</v>
      </c>
      <c r="M40" s="51" t="s">
        <v>324</v>
      </c>
      <c r="N40" s="51"/>
      <c r="O40" s="51" t="s">
        <v>372</v>
      </c>
      <c r="P40" s="51" t="s">
        <v>510</v>
      </c>
      <c r="Q40" s="51" t="s">
        <v>290</v>
      </c>
      <c r="R40" s="51"/>
      <c r="S40" s="51">
        <f>COUNTA(C40:R48)</f>
        <v>98</v>
      </c>
    </row>
    <row r="41" spans="1:19" ht="14.5" customHeight="1">
      <c r="A41" s="50"/>
      <c r="B41"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41" s="50" t="s">
        <v>59</v>
      </c>
      <c r="D41" s="50" t="s">
        <v>30</v>
      </c>
      <c r="E41" s="50"/>
      <c r="F41" s="50"/>
      <c r="G41" s="50" t="s">
        <v>138</v>
      </c>
      <c r="H41" s="50" t="s">
        <v>106</v>
      </c>
      <c r="I41" s="50"/>
      <c r="J41" s="50"/>
      <c r="K41" s="50" t="s">
        <v>194</v>
      </c>
      <c r="L41" s="50" t="s">
        <v>161</v>
      </c>
      <c r="M41" s="50"/>
      <c r="N41" s="50"/>
      <c r="O41" s="50" t="s">
        <v>379</v>
      </c>
      <c r="P41" s="50" t="s">
        <v>218</v>
      </c>
      <c r="Q41" s="50" t="s">
        <v>203</v>
      </c>
      <c r="R41" s="50"/>
      <c r="S41" s="50"/>
    </row>
    <row r="42" spans="1:19" ht="14.5" customHeight="1">
      <c r="A42" s="47"/>
      <c r="B42"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42" s="47" t="s">
        <v>24</v>
      </c>
      <c r="D42" s="47" t="s">
        <v>21</v>
      </c>
      <c r="E42" s="47" t="s">
        <v>37</v>
      </c>
      <c r="F42" s="47" t="s">
        <v>70</v>
      </c>
      <c r="G42" s="47" t="s">
        <v>223</v>
      </c>
      <c r="H42" s="47" t="s">
        <v>98</v>
      </c>
      <c r="I42" s="47" t="s">
        <v>130</v>
      </c>
      <c r="J42" s="47" t="s">
        <v>137</v>
      </c>
      <c r="K42" s="47" t="s">
        <v>228</v>
      </c>
      <c r="L42" s="47" t="s">
        <v>162</v>
      </c>
      <c r="M42" s="47" t="s">
        <v>167</v>
      </c>
      <c r="N42" s="47" t="s">
        <v>193</v>
      </c>
      <c r="O42" s="47" t="s">
        <v>360</v>
      </c>
      <c r="P42" s="47" t="s">
        <v>377</v>
      </c>
      <c r="Q42" s="47" t="s">
        <v>297</v>
      </c>
      <c r="R42" s="47"/>
      <c r="S42" s="47"/>
    </row>
    <row r="43" spans="1:19" ht="14.5" customHeight="1">
      <c r="A43" s="47"/>
      <c r="B43"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43" s="47" t="s">
        <v>63</v>
      </c>
      <c r="D43" s="47"/>
      <c r="E43" s="47"/>
      <c r="F43" s="47"/>
      <c r="G43" s="47" t="s">
        <v>128</v>
      </c>
      <c r="H43" s="47"/>
      <c r="I43" s="47"/>
      <c r="J43" s="47"/>
      <c r="K43" s="47" t="s">
        <v>238</v>
      </c>
      <c r="L43" s="47"/>
      <c r="M43" s="47"/>
      <c r="N43" s="47"/>
      <c r="O43" s="47" t="s">
        <v>294</v>
      </c>
      <c r="P43" s="47" t="s">
        <v>391</v>
      </c>
      <c r="Q43" s="47"/>
      <c r="R43" s="47"/>
      <c r="S43" s="47"/>
    </row>
    <row r="44" spans="1:19" ht="14.5" customHeight="1">
      <c r="A44" s="47"/>
      <c r="B44"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44" s="47" t="s">
        <v>44</v>
      </c>
      <c r="D44" s="47" t="s">
        <v>12</v>
      </c>
      <c r="E44" s="47" t="s">
        <v>67</v>
      </c>
      <c r="F44" s="47" t="s">
        <v>11</v>
      </c>
      <c r="G44" s="47" t="s">
        <v>123</v>
      </c>
      <c r="H44" s="47" t="s">
        <v>102</v>
      </c>
      <c r="I44" s="47" t="s">
        <v>124</v>
      </c>
      <c r="J44" s="47" t="s">
        <v>222</v>
      </c>
      <c r="K44" s="47" t="s">
        <v>179</v>
      </c>
      <c r="L44" s="47" t="s">
        <v>160</v>
      </c>
      <c r="M44" s="47" t="s">
        <v>213</v>
      </c>
      <c r="N44" s="47" t="s">
        <v>149</v>
      </c>
      <c r="O44" s="47" t="s">
        <v>390</v>
      </c>
      <c r="P44" s="47" t="s">
        <v>308</v>
      </c>
      <c r="Q44" s="47" t="s">
        <v>330</v>
      </c>
      <c r="R44" s="47" t="s">
        <v>358</v>
      </c>
      <c r="S44" s="47"/>
    </row>
    <row r="45" spans="1:19" ht="14.5" customHeight="1">
      <c r="A45" s="47"/>
      <c r="B45"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45" s="47" t="s">
        <v>27</v>
      </c>
      <c r="D45" s="47" t="s">
        <v>58</v>
      </c>
      <c r="E45" s="47"/>
      <c r="F45" s="47"/>
      <c r="G45" s="47" t="s">
        <v>140</v>
      </c>
      <c r="H45" s="47" t="s">
        <v>252</v>
      </c>
      <c r="I45" s="47"/>
      <c r="J45" s="47"/>
      <c r="K45" s="47" t="s">
        <v>170</v>
      </c>
      <c r="L45" s="47" t="s">
        <v>279</v>
      </c>
      <c r="M45" s="47"/>
      <c r="N45" s="47"/>
      <c r="O45" s="47" t="s">
        <v>376</v>
      </c>
      <c r="P45" s="47" t="s">
        <v>328</v>
      </c>
      <c r="Q45" s="47"/>
      <c r="R45" s="47"/>
      <c r="S45" s="47"/>
    </row>
    <row r="46" spans="1:19" ht="14.5" customHeight="1">
      <c r="A46" s="47"/>
      <c r="B46"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46" s="47" t="s">
        <v>48</v>
      </c>
      <c r="D46" s="47" t="s">
        <v>65</v>
      </c>
      <c r="E46" s="47" t="s">
        <v>22</v>
      </c>
      <c r="F46" s="47"/>
      <c r="G46" s="47" t="s">
        <v>127</v>
      </c>
      <c r="H46" s="47" t="s">
        <v>253</v>
      </c>
      <c r="I46" s="47" t="s">
        <v>88</v>
      </c>
      <c r="J46" s="47"/>
      <c r="K46" s="47" t="s">
        <v>175</v>
      </c>
      <c r="L46" s="47" t="s">
        <v>462</v>
      </c>
      <c r="M46" s="47" t="s">
        <v>192</v>
      </c>
      <c r="N46" s="47"/>
      <c r="O46" s="47" t="s">
        <v>512</v>
      </c>
      <c r="P46" s="47" t="s">
        <v>370</v>
      </c>
      <c r="Q46" s="47" t="s">
        <v>208</v>
      </c>
      <c r="R46" s="47" t="s">
        <v>296</v>
      </c>
      <c r="S46" s="47"/>
    </row>
    <row r="47" spans="1:19" ht="14.5" customHeight="1">
      <c r="A47" s="47"/>
      <c r="B47"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47" s="47" t="s">
        <v>40</v>
      </c>
      <c r="D47" s="47" t="s">
        <v>64</v>
      </c>
      <c r="E47" s="47" t="s">
        <v>25</v>
      </c>
      <c r="F47" s="47"/>
      <c r="G47" s="47" t="s">
        <v>154</v>
      </c>
      <c r="H47" s="47" t="s">
        <v>262</v>
      </c>
      <c r="I47" s="47" t="s">
        <v>135</v>
      </c>
      <c r="J47" s="47"/>
      <c r="K47" s="47" t="s">
        <v>171</v>
      </c>
      <c r="L47" s="47" t="s">
        <v>323</v>
      </c>
      <c r="M47" s="47" t="s">
        <v>155</v>
      </c>
      <c r="N47" s="47"/>
      <c r="O47" s="47" t="s">
        <v>214</v>
      </c>
      <c r="P47" s="47" t="s">
        <v>367</v>
      </c>
      <c r="Q47" s="47"/>
      <c r="R47" s="47"/>
      <c r="S47" s="47"/>
    </row>
    <row r="48" spans="1:19" ht="14.5" customHeight="1" thickBot="1">
      <c r="A48" s="48"/>
      <c r="B48" s="48"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48" s="48" t="s">
        <v>46</v>
      </c>
      <c r="D48" s="48" t="s">
        <v>36</v>
      </c>
      <c r="E48" s="48"/>
      <c r="F48" s="48"/>
      <c r="G48" s="48" t="s">
        <v>246</v>
      </c>
      <c r="H48" s="48" t="s">
        <v>117</v>
      </c>
      <c r="I48" s="48"/>
      <c r="J48" s="48"/>
      <c r="K48" s="48" t="s">
        <v>274</v>
      </c>
      <c r="L48" s="48" t="s">
        <v>215</v>
      </c>
      <c r="M48" s="48"/>
      <c r="N48" s="48"/>
      <c r="O48" s="48" t="s">
        <v>281</v>
      </c>
      <c r="P48" s="48" t="s">
        <v>198</v>
      </c>
      <c r="Q48" s="48" t="s">
        <v>292</v>
      </c>
      <c r="R48" s="48"/>
      <c r="S48" s="48"/>
    </row>
    <row r="49" spans="1:19" ht="14.5" customHeight="1">
      <c r="A49" s="51" t="s">
        <v>434</v>
      </c>
      <c r="B49" s="51" t="str">
        <f>(MOD(HOUR(المدخلات!$B$4+(1-1)*المدخلات!$B$7/1440)-1,12)+1)&amp;":"&amp;TEXT(MINUTE(المدخلات!$B$4+(1-1)*المدخلات!$B$7/1440),"00")&amp;"–"&amp;(MOD(HOUR(المدخلات!$B$4+(1-1)*المدخلات!$B$7/1440+المدخلات!$B$5/1440)-1,12)+1)&amp;":"&amp;TEXT(MINUTE(المدخلات!$B$4+(1-1)*المدخلات!$B$7/1440+المدخلات!$B$5/1440),"00")&amp;" م"</f>
        <v>4:00–4:15 م</v>
      </c>
      <c r="C49" s="51" t="s">
        <v>56</v>
      </c>
      <c r="D49" s="51" t="s">
        <v>51</v>
      </c>
      <c r="E49" s="51" t="s">
        <v>69</v>
      </c>
      <c r="F49" s="51" t="s">
        <v>26</v>
      </c>
      <c r="G49" s="51" t="s">
        <v>133</v>
      </c>
      <c r="H49" s="51" t="s">
        <v>234</v>
      </c>
      <c r="I49" s="51" t="s">
        <v>243</v>
      </c>
      <c r="J49" s="51" t="s">
        <v>126</v>
      </c>
      <c r="K49" s="51" t="s">
        <v>182</v>
      </c>
      <c r="L49" s="51" t="s">
        <v>275</v>
      </c>
      <c r="M49" s="51" t="s">
        <v>463</v>
      </c>
      <c r="N49" s="51" t="s">
        <v>168</v>
      </c>
      <c r="O49" s="51" t="s">
        <v>210</v>
      </c>
      <c r="P49" s="51" t="s">
        <v>388</v>
      </c>
      <c r="Q49" s="51" t="s">
        <v>513</v>
      </c>
      <c r="R49" s="51" t="s">
        <v>209</v>
      </c>
      <c r="S49" s="51">
        <f>COUNTA(C49:R57)</f>
        <v>62</v>
      </c>
    </row>
    <row r="50" spans="1:19" ht="14.5" customHeight="1">
      <c r="A50" s="50"/>
      <c r="B50" s="50" t="str">
        <f>(MOD(HOUR(المدخلات!$B$4+(2-1)*المدخلات!$B$7/1440)-1,12)+1)&amp;":"&amp;TEXT(MINUTE(المدخلات!$B$4+(2-1)*المدخلات!$B$7/1440),"00")&amp;"–"&amp;(MOD(HOUR(المدخلات!$B$4+(2-1)*المدخلات!$B$7/1440+المدخلات!$B$5/1440)-1,12)+1)&amp;":"&amp;TEXT(MINUTE(المدخلات!$B$4+(2-1)*المدخلات!$B$7/1440+المدخلات!$B$5/1440),"00")&amp;" م"</f>
        <v>4:15–4:30 م</v>
      </c>
      <c r="C50" s="50" t="s">
        <v>42</v>
      </c>
      <c r="D50" s="50" t="s">
        <v>23</v>
      </c>
      <c r="E50" s="50"/>
      <c r="F50" s="50"/>
      <c r="G50" s="50" t="s">
        <v>225</v>
      </c>
      <c r="H50" s="50" t="s">
        <v>94</v>
      </c>
      <c r="I50" s="50"/>
      <c r="J50" s="50"/>
      <c r="K50" s="50" t="s">
        <v>270</v>
      </c>
      <c r="L50" s="50" t="s">
        <v>187</v>
      </c>
      <c r="M50" s="50"/>
      <c r="N50" s="50"/>
      <c r="O50" s="50" t="s">
        <v>220</v>
      </c>
      <c r="P50" s="50" t="s">
        <v>291</v>
      </c>
      <c r="Q50" s="50"/>
      <c r="R50" s="50"/>
      <c r="S50" s="50"/>
    </row>
    <row r="51" spans="1:19" ht="14.5" customHeight="1">
      <c r="A51" s="47"/>
      <c r="B51" s="47" t="str">
        <f>(MOD(HOUR(المدخلات!$B$4+(3-1)*المدخلات!$B$7/1440)-1,12)+1)&amp;":"&amp;TEXT(MINUTE(المدخلات!$B$4+(3-1)*المدخلات!$B$7/1440),"00")&amp;"–"&amp;(MOD(HOUR(المدخلات!$B$4+(3-1)*المدخلات!$B$7/1440+المدخلات!$B$5/1440)-1,12)+1)&amp;":"&amp;TEXT(MINUTE(المدخلات!$B$4+(3-1)*المدخلات!$B$7/1440+المدخلات!$B$5/1440),"00")&amp;" م"</f>
        <v>4:30–4:45 م</v>
      </c>
      <c r="C51" s="47" t="s">
        <v>72</v>
      </c>
      <c r="D51" s="47" t="s">
        <v>33</v>
      </c>
      <c r="E51" s="47"/>
      <c r="F51" s="47"/>
      <c r="G51" s="47" t="s">
        <v>129</v>
      </c>
      <c r="H51" s="47" t="s">
        <v>116</v>
      </c>
      <c r="I51" s="47"/>
      <c r="J51" s="47"/>
      <c r="K51" s="47" t="s">
        <v>235</v>
      </c>
      <c r="L51" s="47" t="s">
        <v>172</v>
      </c>
      <c r="M51" s="47"/>
      <c r="N51" s="47"/>
      <c r="O51" s="47" t="s">
        <v>368</v>
      </c>
      <c r="P51" s="47" t="s">
        <v>392</v>
      </c>
      <c r="Q51" s="47"/>
      <c r="R51" s="47"/>
      <c r="S51" s="47"/>
    </row>
    <row r="52" spans="1:19" ht="14.5" customHeight="1">
      <c r="A52" s="47"/>
      <c r="B52" s="47" t="str">
        <f>(MOD(HOUR(المدخلات!$B$4+(4-1)*المدخلات!$B$7/1440)-1,12)+1)&amp;":"&amp;TEXT(MINUTE(المدخلات!$B$4+(4-1)*المدخلات!$B$7/1440),"00")&amp;"–"&amp;(MOD(HOUR(المدخلات!$B$4+(4-1)*المدخلات!$B$7/1440+المدخلات!$B$5/1440)-1,12)+1)&amp;":"&amp;TEXT(MINUTE(المدخلات!$B$4+(4-1)*المدخلات!$B$7/1440+المدخلات!$B$5/1440),"00")&amp;" م"</f>
        <v>4:45–5:00 م</v>
      </c>
      <c r="C52" s="47" t="s">
        <v>20</v>
      </c>
      <c r="D52" s="47" t="s">
        <v>49</v>
      </c>
      <c r="E52" s="47" t="s">
        <v>13</v>
      </c>
      <c r="F52" s="47" t="s">
        <v>57</v>
      </c>
      <c r="G52" s="47" t="s">
        <v>99</v>
      </c>
      <c r="H52" s="47" t="s">
        <v>134</v>
      </c>
      <c r="I52" s="47" t="s">
        <v>96</v>
      </c>
      <c r="J52" s="47" t="s">
        <v>303</v>
      </c>
      <c r="K52" s="47" t="s">
        <v>159</v>
      </c>
      <c r="L52" s="47" t="s">
        <v>183</v>
      </c>
      <c r="M52" s="47" t="s">
        <v>157</v>
      </c>
      <c r="N52" s="47" t="s">
        <v>325</v>
      </c>
      <c r="O52" s="47" t="s">
        <v>289</v>
      </c>
      <c r="P52" s="47" t="s">
        <v>361</v>
      </c>
      <c r="Q52" s="47" t="s">
        <v>286</v>
      </c>
      <c r="R52" s="47" t="s">
        <v>282</v>
      </c>
      <c r="S52" s="47"/>
    </row>
    <row r="53" spans="1:19" ht="14.5" customHeight="1">
      <c r="A53" s="47"/>
      <c r="B53" s="47" t="str">
        <f>(MOD(HOUR(المدخلات!$B$4+(5-1)*المدخلات!$B$7/1440)-1,12)+1)&amp;":"&amp;TEXT(MINUTE(المدخلات!$B$4+(5-1)*المدخلات!$B$7/1440),"00")&amp;"–"&amp;(MOD(HOUR(المدخلات!$B$4+(5-1)*المدخلات!$B$7/1440+المدخلات!$B$5/1440)-1,12)+1)&amp;":"&amp;TEXT(MINUTE(المدخلات!$B$4+(5-1)*المدخلات!$B$7/1440+المدخلات!$B$5/1440),"00")&amp;" م"</f>
        <v>5:00–5:15 م</v>
      </c>
      <c r="C53" s="47"/>
      <c r="D53" s="47"/>
      <c r="E53" s="47"/>
      <c r="F53" s="47"/>
      <c r="G53" s="47"/>
      <c r="H53" s="47"/>
      <c r="I53" s="47"/>
      <c r="J53" s="47"/>
      <c r="K53" s="47"/>
      <c r="L53" s="47"/>
      <c r="M53" s="47"/>
      <c r="N53" s="47"/>
      <c r="O53" s="47" t="s">
        <v>204</v>
      </c>
      <c r="P53" s="47" t="s">
        <v>216</v>
      </c>
      <c r="Q53" s="47"/>
      <c r="R53" s="47"/>
      <c r="S53" s="47"/>
    </row>
    <row r="54" spans="1:19" ht="14.5" customHeight="1">
      <c r="A54" s="47"/>
      <c r="B54" s="47" t="str">
        <f>(MOD(HOUR(المدخلات!$B$4+(6-1)*المدخلات!$B$7/1440)-1,12)+1)&amp;":"&amp;TEXT(MINUTE(المدخلات!$B$4+(6-1)*المدخلات!$B$7/1440),"00")&amp;"–"&amp;(MOD(HOUR(المدخلات!$B$4+(6-1)*المدخلات!$B$7/1440+المدخلات!$B$5/1440)-1,12)+1)&amp;":"&amp;TEXT(MINUTE(المدخلات!$B$4+(6-1)*المدخلات!$B$7/1440+المدخلات!$B$5/1440),"00")&amp;" م"</f>
        <v>5:15–5:30 م</v>
      </c>
      <c r="C54" s="47"/>
      <c r="D54" s="47"/>
      <c r="E54" s="47"/>
      <c r="F54" s="47"/>
      <c r="G54" s="47"/>
      <c r="H54" s="47"/>
      <c r="I54" s="47"/>
      <c r="J54" s="47"/>
      <c r="K54" s="47"/>
      <c r="L54" s="47"/>
      <c r="M54" s="47"/>
      <c r="N54" s="47"/>
      <c r="O54" s="47" t="s">
        <v>219</v>
      </c>
      <c r="P54" s="47" t="s">
        <v>293</v>
      </c>
      <c r="Q54" s="47" t="s">
        <v>331</v>
      </c>
      <c r="R54" s="47" t="s">
        <v>202</v>
      </c>
      <c r="S54" s="47"/>
    </row>
    <row r="55" spans="1:19" ht="14.5" customHeight="1">
      <c r="A55" s="47"/>
      <c r="B55" s="47" t="str">
        <f>(MOD(HOUR(المدخلات!$B$4+(7-1)*المدخلات!$B$7/1440)-1,12)+1)&amp;":"&amp;TEXT(MINUTE(المدخلات!$B$4+(7-1)*المدخلات!$B$7/1440),"00")&amp;"–"&amp;(MOD(HOUR(المدخلات!$B$4+(7-1)*المدخلات!$B$7/1440+المدخلات!$B$5/1440)-1,12)+1)&amp;":"&amp;TEXT(MINUTE(المدخلات!$B$4+(7-1)*المدخلات!$B$7/1440+المدخلات!$B$5/1440),"00")&amp;" م"</f>
        <v>5:30–5:45 م</v>
      </c>
      <c r="C55" s="47"/>
      <c r="D55" s="47"/>
      <c r="E55" s="47"/>
      <c r="F55" s="47"/>
      <c r="G55" s="47"/>
      <c r="H55" s="47"/>
      <c r="I55" s="47"/>
      <c r="J55" s="47"/>
      <c r="K55" s="47"/>
      <c r="L55" s="47"/>
      <c r="M55" s="47"/>
      <c r="N55" s="47"/>
      <c r="O55" s="47" t="s">
        <v>375</v>
      </c>
      <c r="P55" s="47" t="s">
        <v>507</v>
      </c>
      <c r="Q55" s="47"/>
      <c r="R55" s="47"/>
      <c r="S55" s="47"/>
    </row>
    <row r="56" spans="1:19" ht="14.5" customHeight="1">
      <c r="A56" s="47"/>
      <c r="B56" s="47" t="str">
        <f>(MOD(HOUR(المدخلات!$B$4+(8-1)*المدخلات!$B$7/1440)-1,12)+1)&amp;":"&amp;TEXT(MINUTE(المدخلات!$B$4+(8-1)*المدخلات!$B$7/1440),"00")&amp;"–"&amp;(MOD(HOUR(المدخلات!$B$4+(8-1)*المدخلات!$B$7/1440+المدخلات!$B$5/1440)-1,12)+1)&amp;":"&amp;TEXT(MINUTE(المدخلات!$B$4+(8-1)*المدخلات!$B$7/1440+المدخلات!$B$5/1440),"00")&amp;" م"</f>
        <v>5:45–6:00 م</v>
      </c>
      <c r="C56" s="47"/>
      <c r="D56" s="47"/>
      <c r="E56" s="47"/>
      <c r="F56" s="47"/>
      <c r="G56" s="47"/>
      <c r="H56" s="47"/>
      <c r="I56" s="47"/>
      <c r="J56" s="47"/>
      <c r="K56" s="47"/>
      <c r="L56" s="47"/>
      <c r="M56" s="47"/>
      <c r="N56" s="47"/>
      <c r="O56" s="47" t="s">
        <v>199</v>
      </c>
      <c r="P56" s="47" t="s">
        <v>285</v>
      </c>
      <c r="Q56" s="47" t="s">
        <v>307</v>
      </c>
      <c r="R56" s="47"/>
      <c r="S56" s="47"/>
    </row>
    <row r="57" spans="1:19" ht="14.5" customHeight="1" thickBot="1">
      <c r="A57" s="52"/>
      <c r="B57" s="52" t="str">
        <f>(MOD(HOUR(المدخلات!$B$4+(9-1)*المدخلات!$B$7/1440)-1,12)+1)&amp;":"&amp;TEXT(MINUTE(المدخلات!$B$4+(9-1)*المدخلات!$B$7/1440),"00")&amp;"–"&amp;(MOD(HOUR(المدخلات!$B$4+(9-1)*المدخلات!$B$7/1440+المدخلات!$B$5/1440)-1,12)+1)&amp;":"&amp;TEXT(MINUTE(المدخلات!$B$4+(9-1)*المدخلات!$B$7/1440+المدخلات!$B$5/1440),"00")&amp;" م"</f>
        <v>6:00–6:15 م</v>
      </c>
      <c r="C57" s="52"/>
      <c r="D57" s="52"/>
      <c r="E57" s="52"/>
      <c r="F57" s="52"/>
      <c r="G57" s="52"/>
      <c r="H57" s="52"/>
      <c r="I57" s="52"/>
      <c r="J57" s="52"/>
      <c r="K57" s="52"/>
      <c r="L57" s="52"/>
      <c r="M57" s="52"/>
      <c r="N57" s="52"/>
      <c r="O57" s="52" t="s">
        <v>327</v>
      </c>
      <c r="P57" s="52" t="s">
        <v>326</v>
      </c>
      <c r="Q57" s="52" t="s">
        <v>508</v>
      </c>
      <c r="R57" s="52"/>
      <c r="S57" s="52"/>
    </row>
    <row r="58" spans="1:19" ht="14.5" customHeight="1">
      <c r="A58" s="45"/>
      <c r="B58" s="45"/>
      <c r="C58" s="45"/>
      <c r="D58" s="45"/>
      <c r="E58" s="45"/>
      <c r="F58" s="45"/>
      <c r="G58" s="45"/>
      <c r="H58" s="45"/>
      <c r="I58" s="45"/>
      <c r="J58" s="45"/>
      <c r="K58" s="45"/>
      <c r="L58" s="45"/>
      <c r="M58" s="45"/>
      <c r="N58" s="45"/>
      <c r="O58" s="45"/>
      <c r="P58" s="45"/>
      <c r="Q58" s="45"/>
      <c r="R58" s="45"/>
      <c r="S58" s="45"/>
    </row>
    <row r="59" spans="1:19" ht="20" customHeight="1">
      <c r="A59" s="136" t="s">
        <v>835</v>
      </c>
      <c r="B59" s="136"/>
      <c r="C59" s="136"/>
      <c r="D59" s="136"/>
      <c r="E59" s="136"/>
      <c r="F59" s="136"/>
      <c r="G59" s="136"/>
      <c r="H59" s="136"/>
      <c r="I59" s="136"/>
      <c r="J59" s="136"/>
      <c r="K59" s="136"/>
      <c r="L59" s="136"/>
      <c r="M59" s="136"/>
      <c r="N59" s="136"/>
      <c r="O59" s="136"/>
    </row>
    <row r="60" spans="1:19" ht="14.5" customHeight="1">
      <c r="A60" s="18"/>
      <c r="B60" s="19" t="s">
        <v>314</v>
      </c>
      <c r="C60" s="135" t="s">
        <v>758</v>
      </c>
      <c r="D60" s="135"/>
      <c r="E60" s="135"/>
      <c r="F60" s="135" t="s">
        <v>755</v>
      </c>
      <c r="G60" s="135"/>
      <c r="H60" s="18"/>
      <c r="I60" s="19" t="s">
        <v>314</v>
      </c>
      <c r="J60" s="135" t="s">
        <v>780</v>
      </c>
      <c r="K60" s="135"/>
      <c r="L60" s="135"/>
      <c r="M60" s="135" t="s">
        <v>755</v>
      </c>
      <c r="N60" s="135"/>
      <c r="O60" s="18"/>
    </row>
    <row r="61" spans="1:19" ht="14.5" customHeight="1">
      <c r="A61" s="18"/>
      <c r="B61" s="20">
        <v>1</v>
      </c>
      <c r="C61" s="134" t="s">
        <v>1214</v>
      </c>
      <c r="D61" s="134"/>
      <c r="E61" s="134"/>
      <c r="F61" s="134" t="s">
        <v>840</v>
      </c>
      <c r="G61" s="134"/>
      <c r="H61" s="18"/>
      <c r="I61" s="20">
        <v>13</v>
      </c>
      <c r="J61" s="134" t="s">
        <v>1204</v>
      </c>
      <c r="K61" s="134"/>
      <c r="L61" s="134"/>
      <c r="M61" s="134" t="s">
        <v>840</v>
      </c>
      <c r="N61" s="134"/>
      <c r="O61" s="18"/>
    </row>
    <row r="62" spans="1:19" ht="14.5" customHeight="1">
      <c r="A62" s="18"/>
      <c r="B62" s="20">
        <v>2</v>
      </c>
      <c r="C62" s="134" t="s">
        <v>1205</v>
      </c>
      <c r="D62" s="134"/>
      <c r="E62" s="134"/>
      <c r="F62" s="134" t="s">
        <v>840</v>
      </c>
      <c r="G62" s="134"/>
      <c r="H62" s="18"/>
      <c r="I62" s="20">
        <v>14</v>
      </c>
      <c r="J62" s="134" t="s">
        <v>1215</v>
      </c>
      <c r="K62" s="134"/>
      <c r="L62" s="134"/>
      <c r="M62" s="134" t="s">
        <v>840</v>
      </c>
      <c r="N62" s="134"/>
      <c r="O62" s="18"/>
    </row>
    <row r="63" spans="1:19" ht="14.5" customHeight="1">
      <c r="A63" s="18"/>
      <c r="B63" s="20">
        <v>3</v>
      </c>
      <c r="C63" s="134" t="s">
        <v>1267</v>
      </c>
      <c r="D63" s="134"/>
      <c r="E63" s="134"/>
      <c r="F63" s="134" t="s">
        <v>841</v>
      </c>
      <c r="G63" s="134"/>
      <c r="H63" s="18"/>
      <c r="I63" s="20">
        <v>15</v>
      </c>
      <c r="J63" s="134" t="s">
        <v>1226</v>
      </c>
      <c r="K63" s="134"/>
      <c r="L63" s="134"/>
      <c r="M63" s="134" t="s">
        <v>841</v>
      </c>
      <c r="N63" s="134"/>
      <c r="O63" s="18"/>
    </row>
    <row r="64" spans="1:19" ht="14.5" customHeight="1">
      <c r="A64" s="18"/>
      <c r="B64" s="20">
        <v>4</v>
      </c>
      <c r="C64" s="134" t="s">
        <v>1227</v>
      </c>
      <c r="D64" s="134"/>
      <c r="E64" s="134"/>
      <c r="F64" s="134" t="s">
        <v>841</v>
      </c>
      <c r="G64" s="134"/>
      <c r="H64" s="18"/>
      <c r="I64" s="20">
        <v>16</v>
      </c>
      <c r="J64" s="134" t="s">
        <v>1272</v>
      </c>
      <c r="K64" s="134"/>
      <c r="L64" s="134"/>
      <c r="M64" s="134" t="s">
        <v>841</v>
      </c>
      <c r="N64" s="134"/>
      <c r="O64" s="18"/>
    </row>
    <row r="65" spans="1:15" ht="14.5" customHeight="1">
      <c r="A65" s="18"/>
      <c r="B65" s="20">
        <v>5</v>
      </c>
      <c r="C65" s="134" t="s">
        <v>1217</v>
      </c>
      <c r="D65" s="134"/>
      <c r="E65" s="134"/>
      <c r="F65" s="134" t="s">
        <v>841</v>
      </c>
      <c r="G65" s="134"/>
      <c r="H65" s="18"/>
      <c r="I65" s="20">
        <v>17</v>
      </c>
      <c r="J65" s="134" t="s">
        <v>1218</v>
      </c>
      <c r="K65" s="134"/>
      <c r="L65" s="134"/>
      <c r="M65" s="134" t="s">
        <v>841</v>
      </c>
      <c r="N65" s="134"/>
      <c r="O65" s="18"/>
    </row>
    <row r="66" spans="1:15" ht="14.5" customHeight="1">
      <c r="A66" s="18"/>
      <c r="B66" s="20">
        <v>6</v>
      </c>
      <c r="C66" s="134" t="s">
        <v>1268</v>
      </c>
      <c r="D66" s="134"/>
      <c r="E66" s="134"/>
      <c r="F66" s="134" t="s">
        <v>841</v>
      </c>
      <c r="G66" s="134"/>
      <c r="H66" s="18"/>
      <c r="I66" s="20">
        <v>18</v>
      </c>
      <c r="J66" s="134" t="s">
        <v>1209</v>
      </c>
      <c r="K66" s="134"/>
      <c r="L66" s="134"/>
      <c r="M66" s="134" t="s">
        <v>841</v>
      </c>
      <c r="N66" s="134"/>
      <c r="O66" s="18"/>
    </row>
    <row r="67" spans="1:15" ht="14.5" customHeight="1">
      <c r="A67" s="18"/>
      <c r="B67" s="20">
        <v>7</v>
      </c>
      <c r="C67" s="134" t="s">
        <v>1269</v>
      </c>
      <c r="D67" s="134"/>
      <c r="E67" s="134"/>
      <c r="F67" s="134" t="s">
        <v>841</v>
      </c>
      <c r="G67" s="134"/>
      <c r="H67" s="18"/>
      <c r="I67" s="20">
        <v>19</v>
      </c>
      <c r="J67" s="134" t="s">
        <v>1273</v>
      </c>
      <c r="K67" s="134"/>
      <c r="L67" s="134"/>
      <c r="M67" s="134" t="s">
        <v>841</v>
      </c>
      <c r="N67" s="134"/>
      <c r="O67" s="18"/>
    </row>
    <row r="68" spans="1:15" ht="14.5" customHeight="1">
      <c r="A68" s="18"/>
      <c r="B68" s="20">
        <v>8</v>
      </c>
      <c r="C68" s="134" t="s">
        <v>1220</v>
      </c>
      <c r="D68" s="134"/>
      <c r="E68" s="134"/>
      <c r="F68" s="134" t="s">
        <v>841</v>
      </c>
      <c r="G68" s="134"/>
      <c r="H68" s="18"/>
      <c r="I68" s="20">
        <v>20</v>
      </c>
      <c r="J68" s="134" t="s">
        <v>1274</v>
      </c>
      <c r="K68" s="134"/>
      <c r="L68" s="134"/>
      <c r="M68" s="134" t="s">
        <v>841</v>
      </c>
      <c r="N68" s="134"/>
      <c r="O68" s="18"/>
    </row>
    <row r="69" spans="1:15" ht="14.5" customHeight="1">
      <c r="A69" s="18"/>
      <c r="B69" s="20">
        <v>9</v>
      </c>
      <c r="C69" s="134" t="s">
        <v>1221</v>
      </c>
      <c r="D69" s="134"/>
      <c r="E69" s="134"/>
      <c r="F69" s="134" t="s">
        <v>847</v>
      </c>
      <c r="G69" s="134"/>
      <c r="H69" s="18"/>
      <c r="I69" s="20">
        <v>21</v>
      </c>
      <c r="J69" s="134" t="s">
        <v>1222</v>
      </c>
      <c r="K69" s="134"/>
      <c r="L69" s="134"/>
      <c r="M69" s="134" t="s">
        <v>847</v>
      </c>
      <c r="N69" s="134"/>
      <c r="O69" s="18"/>
    </row>
    <row r="70" spans="1:15" ht="14.5" customHeight="1">
      <c r="A70" s="18"/>
      <c r="B70" s="20">
        <v>10</v>
      </c>
      <c r="C70" s="134" t="s">
        <v>1232</v>
      </c>
      <c r="D70" s="134"/>
      <c r="E70" s="134"/>
      <c r="F70" s="134" t="s">
        <v>847</v>
      </c>
      <c r="G70" s="134"/>
      <c r="H70" s="18"/>
      <c r="I70" s="20">
        <v>22</v>
      </c>
      <c r="J70" s="134" t="s">
        <v>1275</v>
      </c>
      <c r="K70" s="134"/>
      <c r="L70" s="134"/>
      <c r="M70" s="134" t="s">
        <v>847</v>
      </c>
      <c r="N70" s="134"/>
      <c r="O70" s="18"/>
    </row>
    <row r="71" spans="1:15" ht="14.5" customHeight="1">
      <c r="A71" s="18"/>
      <c r="B71" s="20">
        <v>11</v>
      </c>
      <c r="C71" s="134" t="s">
        <v>1270</v>
      </c>
      <c r="D71" s="134"/>
      <c r="E71" s="134"/>
      <c r="F71" s="134" t="s">
        <v>847</v>
      </c>
      <c r="G71" s="134"/>
      <c r="H71" s="18"/>
      <c r="I71" s="20">
        <v>23</v>
      </c>
      <c r="J71" s="134" t="s">
        <v>1276</v>
      </c>
      <c r="K71" s="134"/>
      <c r="L71" s="134"/>
      <c r="M71" s="134" t="s">
        <v>847</v>
      </c>
      <c r="N71" s="134"/>
      <c r="O71" s="18"/>
    </row>
    <row r="72" spans="1:15" ht="14.5" customHeight="1">
      <c r="A72" s="18"/>
      <c r="B72" s="20">
        <v>12</v>
      </c>
      <c r="C72" s="134" t="s">
        <v>1271</v>
      </c>
      <c r="D72" s="134"/>
      <c r="E72" s="134"/>
      <c r="F72" s="134" t="s">
        <v>847</v>
      </c>
      <c r="G72" s="134"/>
      <c r="H72" s="18"/>
      <c r="I72" s="20">
        <v>24</v>
      </c>
      <c r="J72" s="134" t="s">
        <v>1277</v>
      </c>
      <c r="K72" s="134"/>
      <c r="L72" s="134"/>
      <c r="M72" s="134" t="s">
        <v>847</v>
      </c>
      <c r="N72" s="134"/>
      <c r="O72" s="18"/>
    </row>
    <row r="73" spans="1:15" ht="14.5" customHeight="1">
      <c r="A73" s="18"/>
      <c r="B73" s="18"/>
      <c r="C73" s="18"/>
      <c r="D73" s="18"/>
      <c r="E73" s="18"/>
      <c r="F73" s="18"/>
      <c r="G73" s="18"/>
      <c r="H73" s="18"/>
      <c r="I73" s="18"/>
      <c r="J73" s="18"/>
      <c r="K73" s="18"/>
      <c r="L73" s="18"/>
      <c r="M73" s="18"/>
      <c r="N73" s="18"/>
      <c r="O73" s="18"/>
    </row>
    <row r="74" spans="1:15" ht="14.5" customHeight="1">
      <c r="A74" s="18"/>
      <c r="B74" s="19" t="s">
        <v>314</v>
      </c>
      <c r="C74" s="135" t="s">
        <v>781</v>
      </c>
      <c r="D74" s="135"/>
      <c r="E74" s="135"/>
      <c r="F74" s="135" t="s">
        <v>755</v>
      </c>
      <c r="G74" s="135"/>
      <c r="H74" s="18"/>
      <c r="I74" s="19" t="s">
        <v>314</v>
      </c>
      <c r="J74" s="135" t="s">
        <v>782</v>
      </c>
      <c r="K74" s="135"/>
      <c r="L74" s="135"/>
      <c r="M74" s="135" t="s">
        <v>755</v>
      </c>
      <c r="N74" s="135"/>
      <c r="O74" s="18"/>
    </row>
    <row r="75" spans="1:15" ht="14.5" customHeight="1">
      <c r="A75" s="18"/>
      <c r="B75" s="20">
        <v>25</v>
      </c>
      <c r="C75" s="134" t="s">
        <v>1224</v>
      </c>
      <c r="D75" s="134"/>
      <c r="E75" s="134"/>
      <c r="F75" s="134" t="s">
        <v>840</v>
      </c>
      <c r="G75" s="134"/>
      <c r="H75" s="18"/>
      <c r="I75" s="20">
        <v>37</v>
      </c>
      <c r="J75" s="134" t="s">
        <v>1225</v>
      </c>
      <c r="K75" s="134"/>
      <c r="L75" s="134"/>
      <c r="M75" s="134" t="s">
        <v>840</v>
      </c>
      <c r="N75" s="134"/>
      <c r="O75" s="18"/>
    </row>
    <row r="76" spans="1:15" ht="14.5" customHeight="1">
      <c r="A76" s="18"/>
      <c r="B76" s="20">
        <v>26</v>
      </c>
      <c r="C76" s="134" t="s">
        <v>1278</v>
      </c>
      <c r="D76" s="134"/>
      <c r="E76" s="134"/>
      <c r="F76" s="134" t="s">
        <v>841</v>
      </c>
      <c r="G76" s="134"/>
      <c r="H76" s="18"/>
      <c r="I76" s="20">
        <v>38</v>
      </c>
      <c r="J76" s="134" t="s">
        <v>1207</v>
      </c>
      <c r="K76" s="134"/>
      <c r="L76" s="134"/>
      <c r="M76" s="134" t="s">
        <v>841</v>
      </c>
      <c r="N76" s="134"/>
      <c r="O76" s="18"/>
    </row>
    <row r="77" spans="1:15" ht="14.5" customHeight="1">
      <c r="A77" s="18"/>
      <c r="B77" s="20">
        <v>27</v>
      </c>
      <c r="C77" s="134" t="s">
        <v>1206</v>
      </c>
      <c r="D77" s="134"/>
      <c r="E77" s="134"/>
      <c r="F77" s="134" t="s">
        <v>841</v>
      </c>
      <c r="G77" s="134"/>
      <c r="H77" s="18"/>
      <c r="I77" s="20">
        <v>39</v>
      </c>
      <c r="J77" s="134" t="s">
        <v>1216</v>
      </c>
      <c r="K77" s="134"/>
      <c r="L77" s="134"/>
      <c r="M77" s="134" t="s">
        <v>841</v>
      </c>
      <c r="N77" s="134"/>
      <c r="O77" s="18"/>
    </row>
    <row r="78" spans="1:15" ht="14.5" customHeight="1">
      <c r="A78" s="18"/>
      <c r="B78" s="20">
        <v>28</v>
      </c>
      <c r="C78" s="134" t="s">
        <v>1279</v>
      </c>
      <c r="D78" s="134"/>
      <c r="E78" s="134"/>
      <c r="F78" s="134" t="s">
        <v>841</v>
      </c>
      <c r="G78" s="134"/>
      <c r="H78" s="18"/>
      <c r="I78" s="20">
        <v>40</v>
      </c>
      <c r="J78" s="134" t="s">
        <v>1208</v>
      </c>
      <c r="K78" s="134"/>
      <c r="L78" s="134"/>
      <c r="M78" s="134" t="s">
        <v>841</v>
      </c>
      <c r="N78" s="134"/>
      <c r="O78" s="18"/>
    </row>
    <row r="79" spans="1:15" ht="14.5" customHeight="1">
      <c r="A79" s="18"/>
      <c r="B79" s="20">
        <v>29</v>
      </c>
      <c r="C79" s="134" t="s">
        <v>1280</v>
      </c>
      <c r="D79" s="134"/>
      <c r="E79" s="134"/>
      <c r="F79" s="134" t="s">
        <v>841</v>
      </c>
      <c r="G79" s="134"/>
      <c r="H79" s="18"/>
      <c r="I79" s="20">
        <v>41</v>
      </c>
      <c r="J79" s="134" t="s">
        <v>1228</v>
      </c>
      <c r="K79" s="134"/>
      <c r="L79" s="134"/>
      <c r="M79" s="134" t="s">
        <v>841</v>
      </c>
      <c r="N79" s="134"/>
      <c r="O79" s="18"/>
    </row>
    <row r="80" spans="1:15" ht="14.5" customHeight="1">
      <c r="A80" s="18"/>
      <c r="B80" s="20">
        <v>30</v>
      </c>
      <c r="C80" s="134" t="s">
        <v>1281</v>
      </c>
      <c r="D80" s="134"/>
      <c r="E80" s="134"/>
      <c r="F80" s="134" t="s">
        <v>841</v>
      </c>
      <c r="G80" s="134"/>
      <c r="H80" s="18"/>
      <c r="I80" s="20">
        <v>42</v>
      </c>
      <c r="J80" s="134" t="s">
        <v>1286</v>
      </c>
      <c r="K80" s="134"/>
      <c r="L80" s="134"/>
      <c r="M80" s="134" t="s">
        <v>841</v>
      </c>
      <c r="N80" s="134"/>
      <c r="O80" s="18"/>
    </row>
    <row r="81" spans="1:15" ht="14.5" customHeight="1">
      <c r="A81" s="18"/>
      <c r="B81" s="20">
        <v>31</v>
      </c>
      <c r="C81" s="134" t="s">
        <v>1282</v>
      </c>
      <c r="D81" s="134"/>
      <c r="E81" s="134"/>
      <c r="F81" s="134" t="s">
        <v>841</v>
      </c>
      <c r="G81" s="134"/>
      <c r="H81" s="18"/>
      <c r="I81" s="20">
        <v>43</v>
      </c>
      <c r="J81" s="134" t="s">
        <v>1287</v>
      </c>
      <c r="K81" s="134"/>
      <c r="L81" s="134"/>
      <c r="M81" s="134" t="s">
        <v>841</v>
      </c>
      <c r="N81" s="134"/>
      <c r="O81" s="18"/>
    </row>
    <row r="82" spans="1:15" ht="14.5" customHeight="1">
      <c r="A82" s="18"/>
      <c r="B82" s="20">
        <v>32</v>
      </c>
      <c r="C82" s="134" t="s">
        <v>1211</v>
      </c>
      <c r="D82" s="134"/>
      <c r="E82" s="134"/>
      <c r="F82" s="134" t="s">
        <v>847</v>
      </c>
      <c r="G82" s="134"/>
      <c r="H82" s="18"/>
      <c r="I82" s="20">
        <v>44</v>
      </c>
      <c r="J82" s="134" t="s">
        <v>1288</v>
      </c>
      <c r="K82" s="134"/>
      <c r="L82" s="134"/>
      <c r="M82" s="134" t="s">
        <v>841</v>
      </c>
      <c r="N82" s="134"/>
      <c r="O82" s="18"/>
    </row>
    <row r="83" spans="1:15" ht="14.5" customHeight="1">
      <c r="A83" s="18"/>
      <c r="B83" s="20">
        <v>33</v>
      </c>
      <c r="C83" s="134" t="s">
        <v>1283</v>
      </c>
      <c r="D83" s="134"/>
      <c r="E83" s="134"/>
      <c r="F83" s="134" t="s">
        <v>847</v>
      </c>
      <c r="G83" s="134"/>
      <c r="H83" s="18"/>
      <c r="I83" s="20">
        <v>45</v>
      </c>
      <c r="J83" s="134" t="s">
        <v>1193</v>
      </c>
      <c r="K83" s="134"/>
      <c r="L83" s="134"/>
      <c r="M83" s="134" t="s">
        <v>847</v>
      </c>
      <c r="N83" s="134"/>
      <c r="O83" s="18"/>
    </row>
    <row r="84" spans="1:15" ht="14.5" customHeight="1">
      <c r="A84" s="18"/>
      <c r="B84" s="20">
        <v>34</v>
      </c>
      <c r="C84" s="134" t="s">
        <v>1223</v>
      </c>
      <c r="D84" s="134"/>
      <c r="E84" s="134"/>
      <c r="F84" s="134" t="s">
        <v>847</v>
      </c>
      <c r="G84" s="134"/>
      <c r="H84" s="18"/>
      <c r="I84" s="20">
        <v>46</v>
      </c>
      <c r="J84" s="134" t="s">
        <v>1231</v>
      </c>
      <c r="K84" s="134"/>
      <c r="L84" s="134"/>
      <c r="M84" s="134" t="s">
        <v>847</v>
      </c>
      <c r="N84" s="134"/>
      <c r="O84" s="18"/>
    </row>
    <row r="85" spans="1:15" ht="14.5" customHeight="1">
      <c r="A85" s="18"/>
      <c r="B85" s="20">
        <v>35</v>
      </c>
      <c r="C85" s="134" t="s">
        <v>1284</v>
      </c>
      <c r="D85" s="134"/>
      <c r="E85" s="134"/>
      <c r="F85" s="134" t="s">
        <v>847</v>
      </c>
      <c r="G85" s="134"/>
      <c r="H85" s="18"/>
      <c r="I85" s="20">
        <v>47</v>
      </c>
      <c r="J85" s="134" t="s">
        <v>1212</v>
      </c>
      <c r="K85" s="134"/>
      <c r="L85" s="134"/>
      <c r="M85" s="134" t="s">
        <v>847</v>
      </c>
      <c r="N85" s="134"/>
      <c r="O85" s="18"/>
    </row>
    <row r="86" spans="1:15" ht="14.5" customHeight="1">
      <c r="A86" s="18"/>
      <c r="B86" s="20">
        <v>36</v>
      </c>
      <c r="C86" s="134" t="s">
        <v>1285</v>
      </c>
      <c r="D86" s="134"/>
      <c r="E86" s="134"/>
      <c r="F86" s="134" t="s">
        <v>847</v>
      </c>
      <c r="G86" s="134"/>
      <c r="H86" s="18"/>
      <c r="I86" s="20">
        <v>48</v>
      </c>
      <c r="J86" s="134" t="s">
        <v>1213</v>
      </c>
      <c r="K86" s="134"/>
      <c r="L86" s="134"/>
      <c r="M86" s="134" t="s">
        <v>847</v>
      </c>
      <c r="N86" s="134"/>
      <c r="O86" s="18"/>
    </row>
    <row r="87" spans="1:15" ht="14.5" customHeight="1">
      <c r="A87" s="18"/>
      <c r="B87" s="18"/>
      <c r="C87" s="18"/>
      <c r="D87" s="18"/>
      <c r="E87" s="18"/>
      <c r="F87" s="18"/>
      <c r="G87" s="18"/>
      <c r="H87" s="18"/>
      <c r="I87" s="20">
        <v>49</v>
      </c>
      <c r="J87" s="134" t="s">
        <v>1233</v>
      </c>
      <c r="K87" s="134"/>
      <c r="L87" s="134"/>
      <c r="M87" s="134" t="s">
        <v>847</v>
      </c>
      <c r="N87" s="134"/>
      <c r="O87" s="18"/>
    </row>
    <row r="88" spans="1:15" ht="14.5" customHeight="1">
      <c r="A88" s="18"/>
      <c r="B88" s="18"/>
      <c r="C88" s="18"/>
      <c r="D88" s="18"/>
      <c r="E88" s="18"/>
      <c r="F88" s="18"/>
      <c r="G88" s="18"/>
      <c r="H88" s="18"/>
      <c r="I88" s="18"/>
      <c r="J88" s="18"/>
      <c r="K88" s="18"/>
      <c r="L88" s="18"/>
      <c r="M88" s="18"/>
      <c r="N88" s="18"/>
      <c r="O88" s="18"/>
    </row>
    <row r="89" spans="1:15" ht="14.5" customHeight="1">
      <c r="A89" s="18"/>
      <c r="B89" s="18"/>
      <c r="C89" s="18"/>
      <c r="D89" s="18"/>
      <c r="E89" s="18"/>
      <c r="F89" s="18"/>
      <c r="G89" s="18"/>
      <c r="H89" s="18"/>
      <c r="I89" s="18"/>
      <c r="J89" s="18"/>
      <c r="K89" s="18"/>
      <c r="L89" s="18"/>
      <c r="M89" s="18"/>
      <c r="N89" s="18"/>
      <c r="O89" s="18"/>
    </row>
    <row r="90" spans="1:15" ht="14.5" customHeight="1"/>
    <row r="91" spans="1:15" ht="14.5" customHeight="1"/>
    <row r="92" spans="1:15" ht="14.5" customHeight="1"/>
    <row r="93" spans="1:15" ht="14.5" customHeight="1"/>
    <row r="94" spans="1:15" ht="14.5" customHeight="1"/>
    <row r="95" spans="1:15" ht="14.5" customHeight="1"/>
    <row r="96" spans="1:15"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row r="121" ht="14.5" customHeight="1"/>
    <row r="122" ht="14.5" customHeight="1"/>
    <row r="123" ht="14.5" customHeight="1"/>
    <row r="124" ht="14.5" customHeight="1"/>
    <row r="125" ht="14.5" customHeight="1"/>
    <row r="126" ht="14.5" customHeight="1"/>
    <row r="127" ht="14.5" customHeight="1"/>
    <row r="128" ht="14.5" customHeight="1"/>
  </sheetData>
  <mergeCells count="112">
    <mergeCell ref="C64:E64"/>
    <mergeCell ref="F64:G64"/>
    <mergeCell ref="A1:S1"/>
    <mergeCell ref="C2:F2"/>
    <mergeCell ref="G2:J2"/>
    <mergeCell ref="K2:N2"/>
    <mergeCell ref="O2:R2"/>
    <mergeCell ref="A59:O59"/>
    <mergeCell ref="C60:E60"/>
    <mergeCell ref="F60:G60"/>
    <mergeCell ref="C61:E61"/>
    <mergeCell ref="F61:G61"/>
    <mergeCell ref="C62:E62"/>
    <mergeCell ref="C71:E71"/>
    <mergeCell ref="F71:G71"/>
    <mergeCell ref="C72:E72"/>
    <mergeCell ref="F72:G72"/>
    <mergeCell ref="J60:L60"/>
    <mergeCell ref="J63:L63"/>
    <mergeCell ref="J66:L66"/>
    <mergeCell ref="J69:L69"/>
    <mergeCell ref="J72:L72"/>
    <mergeCell ref="C68:E68"/>
    <mergeCell ref="F68:G68"/>
    <mergeCell ref="C69:E69"/>
    <mergeCell ref="F69:G69"/>
    <mergeCell ref="C70:E70"/>
    <mergeCell ref="F70:G70"/>
    <mergeCell ref="C65:E65"/>
    <mergeCell ref="F65:G65"/>
    <mergeCell ref="C66:E66"/>
    <mergeCell ref="F66:G66"/>
    <mergeCell ref="C67:E67"/>
    <mergeCell ref="F67:G67"/>
    <mergeCell ref="F62:G62"/>
    <mergeCell ref="C63:E63"/>
    <mergeCell ref="F63:G63"/>
    <mergeCell ref="M63:N63"/>
    <mergeCell ref="J64:L64"/>
    <mergeCell ref="M64:N64"/>
    <mergeCell ref="J65:L65"/>
    <mergeCell ref="M65:N65"/>
    <mergeCell ref="M60:N60"/>
    <mergeCell ref="J61:L61"/>
    <mergeCell ref="M61:N61"/>
    <mergeCell ref="J62:L62"/>
    <mergeCell ref="M62:N62"/>
    <mergeCell ref="M69:N69"/>
    <mergeCell ref="J70:L70"/>
    <mergeCell ref="M70:N70"/>
    <mergeCell ref="J71:L71"/>
    <mergeCell ref="M71:N71"/>
    <mergeCell ref="M66:N66"/>
    <mergeCell ref="J67:L67"/>
    <mergeCell ref="M67:N67"/>
    <mergeCell ref="J68:L68"/>
    <mergeCell ref="M68:N68"/>
    <mergeCell ref="C77:E77"/>
    <mergeCell ref="F77:G77"/>
    <mergeCell ref="C78:E78"/>
    <mergeCell ref="F78:G78"/>
    <mergeCell ref="M72:N72"/>
    <mergeCell ref="C74:E74"/>
    <mergeCell ref="F74:G74"/>
    <mergeCell ref="C75:E75"/>
    <mergeCell ref="F75:G75"/>
    <mergeCell ref="M74:N74"/>
    <mergeCell ref="M75:N75"/>
    <mergeCell ref="C85:E85"/>
    <mergeCell ref="F85:G85"/>
    <mergeCell ref="C86:E86"/>
    <mergeCell ref="F86:G86"/>
    <mergeCell ref="J74:L74"/>
    <mergeCell ref="J75:L75"/>
    <mergeCell ref="J76:L76"/>
    <mergeCell ref="J79:L79"/>
    <mergeCell ref="J82:L82"/>
    <mergeCell ref="J85:L85"/>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M79:N79"/>
    <mergeCell ref="J80:L80"/>
    <mergeCell ref="M80:N80"/>
    <mergeCell ref="J81:L81"/>
    <mergeCell ref="M81:N81"/>
    <mergeCell ref="M76:N76"/>
    <mergeCell ref="J77:L77"/>
    <mergeCell ref="M77:N77"/>
    <mergeCell ref="J78:L78"/>
    <mergeCell ref="M78:N78"/>
    <mergeCell ref="M85:N85"/>
    <mergeCell ref="J86:L86"/>
    <mergeCell ref="M86:N86"/>
    <mergeCell ref="J87:L87"/>
    <mergeCell ref="M87:N87"/>
    <mergeCell ref="M82:N82"/>
    <mergeCell ref="J83:L83"/>
    <mergeCell ref="M83:N83"/>
    <mergeCell ref="J84:L84"/>
    <mergeCell ref="M84:N8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0582-65DB-43A1-88D8-578BA0262799}">
  <dimension ref="A1:Q88"/>
  <sheetViews>
    <sheetView showGridLines="0" rightToLeft="1" topLeftCell="A43" workbookViewId="0">
      <selection sqref="A1:Q1"/>
    </sheetView>
  </sheetViews>
  <sheetFormatPr defaultRowHeight="14"/>
  <cols>
    <col min="1" max="1" width="25" customWidth="1"/>
    <col min="2" max="3" width="14.6640625" customWidth="1"/>
    <col min="4" max="4" width="18.33203125" customWidth="1"/>
    <col min="5" max="17" width="14.6640625" customWidth="1"/>
  </cols>
  <sheetData>
    <row r="1" spans="1:17" ht="26" customHeight="1">
      <c r="A1" s="115" t="s">
        <v>653</v>
      </c>
      <c r="B1" s="115"/>
      <c r="C1" s="115"/>
      <c r="D1" s="115"/>
      <c r="E1" s="115"/>
      <c r="F1" s="115"/>
      <c r="G1" s="115"/>
      <c r="H1" s="115"/>
      <c r="I1" s="115"/>
      <c r="J1" s="115"/>
      <c r="K1" s="115"/>
      <c r="L1" s="115"/>
      <c r="M1" s="115"/>
      <c r="N1" s="115"/>
      <c r="O1" s="115"/>
      <c r="P1" s="115"/>
      <c r="Q1" s="115"/>
    </row>
    <row r="2" spans="1:17" ht="14.5">
      <c r="A2" s="18"/>
      <c r="B2" s="18"/>
      <c r="C2" s="18"/>
      <c r="D2" s="18"/>
      <c r="E2" s="18"/>
      <c r="F2" s="18"/>
      <c r="G2" s="18"/>
      <c r="H2" s="18"/>
      <c r="I2" s="18"/>
      <c r="J2" s="18"/>
      <c r="K2" s="18"/>
      <c r="L2" s="18"/>
      <c r="M2" s="18"/>
      <c r="N2" s="18"/>
      <c r="O2" s="18"/>
      <c r="P2" s="18"/>
      <c r="Q2" s="18"/>
    </row>
    <row r="3" spans="1:17" ht="29">
      <c r="A3" s="54" t="s">
        <v>645</v>
      </c>
      <c r="B3" s="54" t="s">
        <v>646</v>
      </c>
      <c r="C3" s="54" t="s">
        <v>647</v>
      </c>
      <c r="D3" s="54" t="s">
        <v>641</v>
      </c>
      <c r="E3" s="18"/>
      <c r="F3" s="18"/>
      <c r="G3" s="18"/>
      <c r="H3" s="18"/>
      <c r="I3" s="18"/>
      <c r="J3" s="18"/>
      <c r="K3" s="18"/>
      <c r="L3" s="18"/>
      <c r="M3" s="18"/>
      <c r="N3" s="18"/>
      <c r="O3" s="18"/>
      <c r="P3" s="18"/>
      <c r="Q3" s="18"/>
    </row>
    <row r="4" spans="1:17" ht="14.5">
      <c r="A4" s="20" t="s">
        <v>561</v>
      </c>
      <c r="B4" s="20">
        <f>E51</f>
        <v>21</v>
      </c>
      <c r="C4" s="25">
        <f>SUMPRODUCT(E16:E50,$B$16:$B$50)</f>
        <v>25</v>
      </c>
      <c r="D4" s="25">
        <f>SUMPRODUCT(E16:E50,$C$16:$C$50)</f>
        <v>84</v>
      </c>
      <c r="E4" s="18"/>
      <c r="F4" s="18"/>
      <c r="G4" s="18"/>
      <c r="H4" s="18"/>
      <c r="I4" s="18"/>
      <c r="J4" s="18"/>
      <c r="K4" s="18"/>
      <c r="L4" s="18"/>
      <c r="M4" s="18"/>
      <c r="N4" s="18"/>
      <c r="O4" s="18"/>
      <c r="P4" s="18"/>
      <c r="Q4" s="18"/>
    </row>
    <row r="5" spans="1:17" ht="14.5">
      <c r="A5" s="20" t="s">
        <v>564</v>
      </c>
      <c r="B5" s="20">
        <f>F51</f>
        <v>24</v>
      </c>
      <c r="C5" s="25">
        <f>SUMPRODUCT(F16:F50,$B$16:$B$50)</f>
        <v>34</v>
      </c>
      <c r="D5" s="25">
        <f>SUMPRODUCT(F16:F50,$C$16:$C$50)</f>
        <v>117</v>
      </c>
      <c r="E5" s="18"/>
      <c r="F5" s="18"/>
      <c r="G5" s="18"/>
      <c r="H5" s="18"/>
      <c r="I5" s="18"/>
      <c r="J5" s="18"/>
      <c r="K5" s="18"/>
      <c r="L5" s="18"/>
      <c r="M5" s="18"/>
      <c r="N5" s="18"/>
      <c r="O5" s="18"/>
      <c r="P5" s="18"/>
      <c r="Q5" s="18"/>
    </row>
    <row r="6" spans="1:17" ht="14.5">
      <c r="A6" s="20" t="s">
        <v>565</v>
      </c>
      <c r="B6" s="20">
        <f>G51</f>
        <v>28</v>
      </c>
      <c r="C6" s="25">
        <f>SUMPRODUCT(G16:G50,$B$16:$B$50)</f>
        <v>49</v>
      </c>
      <c r="D6" s="25">
        <f>SUMPRODUCT(G16:G50,$C$16:$C$50)</f>
        <v>161</v>
      </c>
      <c r="E6" s="18"/>
      <c r="F6" s="18"/>
      <c r="G6" s="18"/>
      <c r="H6" s="18"/>
      <c r="I6" s="18"/>
      <c r="J6" s="18"/>
      <c r="K6" s="18"/>
      <c r="L6" s="18"/>
      <c r="M6" s="18"/>
      <c r="N6" s="18"/>
      <c r="O6" s="18"/>
      <c r="P6" s="18"/>
      <c r="Q6" s="18"/>
    </row>
    <row r="7" spans="1:17" ht="14.5">
      <c r="A7" s="20" t="s">
        <v>573</v>
      </c>
      <c r="B7" s="20">
        <f>H51</f>
        <v>26</v>
      </c>
      <c r="C7" s="25">
        <f>SUMPRODUCT(H16:H50,$B$16:$B$50)</f>
        <v>47</v>
      </c>
      <c r="D7" s="25">
        <f>SUMPRODUCT(H16:H50,$C$16:$C$50)</f>
        <v>163</v>
      </c>
      <c r="E7" s="18"/>
      <c r="F7" s="18"/>
      <c r="G7" s="18"/>
      <c r="H7" s="18"/>
      <c r="I7" s="18"/>
      <c r="J7" s="18"/>
      <c r="K7" s="18"/>
      <c r="L7" s="18"/>
      <c r="M7" s="18"/>
      <c r="N7" s="18"/>
      <c r="O7" s="18"/>
      <c r="P7" s="18"/>
      <c r="Q7" s="18"/>
    </row>
    <row r="8" spans="1:17" ht="14.5">
      <c r="A8" s="20" t="s">
        <v>568</v>
      </c>
      <c r="B8" s="20">
        <f>I51</f>
        <v>30</v>
      </c>
      <c r="C8" s="25">
        <f>SUMPRODUCT(I16:I50,$B$16:$B$50)</f>
        <v>52</v>
      </c>
      <c r="D8" s="25">
        <f>SUMPRODUCT(I16:I50,$C$16:$C$50)</f>
        <v>178</v>
      </c>
      <c r="E8" s="18"/>
      <c r="F8" s="18"/>
      <c r="G8" s="18"/>
      <c r="H8" s="18"/>
      <c r="I8" s="18"/>
      <c r="J8" s="18"/>
      <c r="K8" s="18"/>
      <c r="L8" s="18"/>
      <c r="M8" s="18"/>
      <c r="N8" s="18"/>
      <c r="O8" s="18"/>
      <c r="P8" s="18"/>
      <c r="Q8" s="18"/>
    </row>
    <row r="9" spans="1:17" ht="14.5">
      <c r="A9" s="20" t="s">
        <v>576</v>
      </c>
      <c r="B9" s="20">
        <f>J51</f>
        <v>27</v>
      </c>
      <c r="C9" s="25">
        <f>SUMPRODUCT(J16:J50,$B$16:$B$50)</f>
        <v>42</v>
      </c>
      <c r="D9" s="25">
        <f>SUMPRODUCT(J16:J50,$C$16:$C$50)</f>
        <v>145</v>
      </c>
      <c r="E9" s="18"/>
      <c r="F9" s="18"/>
      <c r="G9" s="18"/>
      <c r="H9" s="18"/>
      <c r="I9" s="18"/>
      <c r="J9" s="18"/>
      <c r="K9" s="18"/>
      <c r="L9" s="18"/>
      <c r="M9" s="18"/>
      <c r="N9" s="18"/>
      <c r="O9" s="18"/>
      <c r="P9" s="18"/>
      <c r="Q9" s="18"/>
    </row>
    <row r="10" spans="1:17" ht="14.5">
      <c r="A10" s="20" t="s">
        <v>558</v>
      </c>
      <c r="B10" s="20">
        <f>K51</f>
        <v>28</v>
      </c>
      <c r="C10" s="25">
        <f>SUMPRODUCT(K16:K50,$B$16:$B$50)</f>
        <v>44</v>
      </c>
      <c r="D10" s="25">
        <f>SUMPRODUCT(K16:K50,$C$16:$C$50)</f>
        <v>144</v>
      </c>
      <c r="E10" s="18"/>
      <c r="F10" s="18"/>
      <c r="G10" s="18"/>
      <c r="H10" s="18"/>
      <c r="I10" s="18"/>
      <c r="J10" s="18"/>
      <c r="K10" s="18"/>
      <c r="L10" s="18"/>
      <c r="M10" s="18"/>
      <c r="N10" s="18"/>
      <c r="O10" s="18"/>
      <c r="P10" s="18"/>
      <c r="Q10" s="18"/>
    </row>
    <row r="11" spans="1:17" ht="14.5">
      <c r="A11" s="25" t="s">
        <v>648</v>
      </c>
      <c r="B11" s="25"/>
      <c r="C11" s="25">
        <f>MAX(C4:C10)</f>
        <v>52</v>
      </c>
      <c r="D11" s="25">
        <f>MAX(D4:D10)</f>
        <v>178</v>
      </c>
      <c r="E11" s="18"/>
      <c r="F11" s="18"/>
      <c r="G11" s="18"/>
      <c r="H11" s="18"/>
      <c r="I11" s="18"/>
      <c r="J11" s="18"/>
      <c r="K11" s="18"/>
      <c r="L11" s="18"/>
      <c r="M11" s="18"/>
      <c r="N11" s="18"/>
      <c r="O11" s="18"/>
      <c r="P11" s="18"/>
      <c r="Q11" s="18"/>
    </row>
    <row r="12" spans="1:17" ht="48" customHeight="1">
      <c r="A12" s="116" t="s">
        <v>654</v>
      </c>
      <c r="B12" s="117"/>
      <c r="C12" s="117"/>
      <c r="D12" s="117"/>
      <c r="E12" s="117"/>
      <c r="F12" s="117"/>
      <c r="G12" s="117"/>
      <c r="H12" s="117"/>
      <c r="I12" s="18"/>
      <c r="J12" s="18"/>
      <c r="K12" s="18"/>
      <c r="L12" s="18"/>
      <c r="M12" s="18"/>
      <c r="N12" s="18"/>
      <c r="O12" s="18"/>
      <c r="P12" s="18"/>
      <c r="Q12" s="18"/>
    </row>
    <row r="13" spans="1:17" ht="48" customHeight="1">
      <c r="A13" s="116" t="s">
        <v>655</v>
      </c>
      <c r="B13" s="117"/>
      <c r="C13" s="117"/>
      <c r="D13" s="117"/>
      <c r="E13" s="117"/>
      <c r="F13" s="117"/>
      <c r="G13" s="117"/>
      <c r="H13" s="117"/>
      <c r="I13" s="18"/>
      <c r="J13" s="18"/>
      <c r="K13" s="18"/>
      <c r="L13" s="18"/>
      <c r="M13" s="18"/>
      <c r="N13" s="18"/>
      <c r="O13" s="18"/>
      <c r="P13" s="18"/>
      <c r="Q13" s="18"/>
    </row>
    <row r="14" spans="1:17" ht="16.5">
      <c r="A14" s="115" t="s">
        <v>656</v>
      </c>
      <c r="B14" s="115"/>
      <c r="C14" s="115"/>
      <c r="D14" s="115"/>
      <c r="E14" s="115"/>
      <c r="F14" s="115"/>
      <c r="G14" s="115"/>
      <c r="H14" s="115"/>
      <c r="I14" s="115"/>
      <c r="J14" s="115"/>
      <c r="K14" s="115"/>
      <c r="L14" s="18"/>
      <c r="M14" s="115" t="s">
        <v>657</v>
      </c>
      <c r="N14" s="115"/>
      <c r="O14" s="18"/>
      <c r="P14" s="18"/>
      <c r="Q14" s="18"/>
    </row>
    <row r="15" spans="1:17" ht="44" customHeight="1">
      <c r="A15" s="54" t="s">
        <v>76</v>
      </c>
      <c r="B15" s="54" t="s">
        <v>640</v>
      </c>
      <c r="C15" s="54" t="s">
        <v>641</v>
      </c>
      <c r="D15" s="54" t="s">
        <v>642</v>
      </c>
      <c r="E15" s="54" t="s">
        <v>561</v>
      </c>
      <c r="F15" s="54" t="s">
        <v>564</v>
      </c>
      <c r="G15" s="54" t="s">
        <v>565</v>
      </c>
      <c r="H15" s="54" t="s">
        <v>573</v>
      </c>
      <c r="I15" s="54" t="s">
        <v>568</v>
      </c>
      <c r="J15" s="54" t="s">
        <v>576</v>
      </c>
      <c r="K15" s="54" t="s">
        <v>558</v>
      </c>
      <c r="L15" s="18"/>
      <c r="M15" s="54" t="s">
        <v>643</v>
      </c>
      <c r="N15" s="54" t="s">
        <v>341</v>
      </c>
      <c r="O15" s="18"/>
      <c r="P15" s="18"/>
      <c r="Q15" s="18"/>
    </row>
    <row r="16" spans="1:17" ht="14.5">
      <c r="A16" s="25">
        <v>5</v>
      </c>
      <c r="B16" s="20">
        <f>IFERROR(INDEX('ملخص البطولات'!$L$4:$L$26,MATCH($A16,'ملخص البطولات'!$A$4:$A$26,0)),IF($A16&lt;=13,1,IF($A16&lt;=52,MIN(4,ROUNDUP($A16/11,0)),ROUNDUP($A16/13,0))))</f>
        <v>1</v>
      </c>
      <c r="C16" s="20">
        <f>IFERROR(INDEX('ملخص البطولات'!$K$4:$K$26,MATCH($A16,'ملخص البطولات'!$A$4:$A$26,0)),IF(MOD($A16,$B16)=0,0,MOD($A16,$B16)*INDEX($N$16:$N$24,MATCH(INT($A16/$B16)+1,$M$16:$M$24,0)))+($B16-MOD($A16,$B16))*INDEX($N$16:$N$24,MATCH(INT($A16/$B16),$M$16:$M$24,0)))</f>
        <v>1</v>
      </c>
      <c r="D16" s="20" t="str">
        <f>IF(ISNUMBER(MATCH($A16,'ملخص البطولات'!$A$4:$A$26,0)),"من ملخص البطولات","حسب القاعدة")</f>
        <v>من ملخص البطولات</v>
      </c>
      <c r="E16" s="20">
        <f>COUNTIFS(Sheet1!$B$2:$B$185,E$15,Sheet1!$F$2:$F$185,$A16)</f>
        <v>1</v>
      </c>
      <c r="F16" s="20">
        <f>COUNTIFS(Sheet1!$B$2:$B$185,F$15,Sheet1!$F$2:$F$185,$A16)</f>
        <v>2</v>
      </c>
      <c r="G16" s="20">
        <f>COUNTIFS(Sheet1!$B$2:$B$185,G$15,Sheet1!$F$2:$F$185,$A16)</f>
        <v>3</v>
      </c>
      <c r="H16" s="20">
        <f>COUNTIFS(Sheet1!$B$2:$B$185,H$15,Sheet1!$F$2:$F$185,$A16)</f>
        <v>1</v>
      </c>
      <c r="I16" s="20">
        <f>COUNTIFS(Sheet1!$B$2:$B$185,I$15,Sheet1!$F$2:$F$185,$A16)</f>
        <v>2</v>
      </c>
      <c r="J16" s="20">
        <f>COUNTIFS(Sheet1!$B$2:$B$185,J$15,Sheet1!$F$2:$F$185,$A16)</f>
        <v>1</v>
      </c>
      <c r="K16" s="20">
        <f>COUNTIFS(Sheet1!$B$2:$B$185,K$15,Sheet1!$F$2:$F$185,$A16)</f>
        <v>3</v>
      </c>
      <c r="L16" s="18"/>
      <c r="M16" s="55">
        <v>5</v>
      </c>
      <c r="N16" s="55">
        <v>1</v>
      </c>
      <c r="O16" s="18"/>
      <c r="P16" s="18"/>
      <c r="Q16" s="18"/>
    </row>
    <row r="17" spans="1:17" ht="14.5">
      <c r="A17" s="25">
        <v>6</v>
      </c>
      <c r="B17" s="20">
        <f>IFERROR(INDEX('ملخص البطولات'!$L$4:$L$26,MATCH($A17,'ملخص البطولات'!$A$4:$A$26,0)),IF($A17&lt;=13,1,IF($A17&lt;=52,MIN(4,ROUNDUP($A17/11,0)),ROUNDUP($A17/13,0))))</f>
        <v>1</v>
      </c>
      <c r="C17" s="20">
        <f>IFERROR(INDEX('ملخص البطولات'!$K$4:$K$26,MATCH($A17,'ملخص البطولات'!$A$4:$A$26,0)),IF(MOD($A17,$B17)=0,0,MOD($A17,$B17)*INDEX($N$16:$N$24,MATCH(INT($A17/$B17)+1,$M$16:$M$24,0)))+($B17-MOD($A17,$B17))*INDEX($N$16:$N$24,MATCH(INT($A17/$B17),$M$16:$M$24,0)))</f>
        <v>3</v>
      </c>
      <c r="D17" s="20" t="str">
        <f>IF(ISNUMBER(MATCH($A17,'ملخص البطولات'!$A$4:$A$26,0)),"من ملخص البطولات","حسب القاعدة")</f>
        <v>من ملخص البطولات</v>
      </c>
      <c r="E17" s="20">
        <f>COUNTIFS(Sheet1!$B$2:$B$185,E$15,Sheet1!$F$2:$F$185,$A17)</f>
        <v>3</v>
      </c>
      <c r="F17" s="20">
        <f>COUNTIFS(Sheet1!$B$2:$B$185,F$15,Sheet1!$F$2:$F$185,$A17)</f>
        <v>2</v>
      </c>
      <c r="G17" s="20">
        <f>COUNTIFS(Sheet1!$B$2:$B$185,G$15,Sheet1!$F$2:$F$185,$A17)</f>
        <v>2</v>
      </c>
      <c r="H17" s="20">
        <f>COUNTIFS(Sheet1!$B$2:$B$185,H$15,Sheet1!$F$2:$F$185,$A17)</f>
        <v>0</v>
      </c>
      <c r="I17" s="20">
        <f>COUNTIFS(Sheet1!$B$2:$B$185,I$15,Sheet1!$F$2:$F$185,$A17)</f>
        <v>1</v>
      </c>
      <c r="J17" s="20">
        <f>COUNTIFS(Sheet1!$B$2:$B$185,J$15,Sheet1!$F$2:$F$185,$A17)</f>
        <v>2</v>
      </c>
      <c r="K17" s="20">
        <f>COUNTIFS(Sheet1!$B$2:$B$185,K$15,Sheet1!$F$2:$F$185,$A17)</f>
        <v>1</v>
      </c>
      <c r="L17" s="18"/>
      <c r="M17" s="55">
        <v>6</v>
      </c>
      <c r="N17" s="55">
        <v>3</v>
      </c>
      <c r="O17" s="18"/>
      <c r="P17" s="18"/>
      <c r="Q17" s="18"/>
    </row>
    <row r="18" spans="1:17" ht="14.5">
      <c r="A18" s="25">
        <v>7</v>
      </c>
      <c r="B18" s="20">
        <f>IFERROR(INDEX('ملخص البطولات'!$L$4:$L$26,MATCH($A18,'ملخص البطولات'!$A$4:$A$26,0)),IF($A18&lt;=13,1,IF($A18&lt;=52,MIN(4,ROUNDUP($A18/11,0)),ROUNDUP($A18/13,0))))</f>
        <v>1</v>
      </c>
      <c r="C18" s="20">
        <f>IFERROR(INDEX('ملخص البطولات'!$K$4:$K$26,MATCH($A18,'ملخص البطولات'!$A$4:$A$26,0)),IF(MOD($A18,$B18)=0,0,MOD($A18,$B18)*INDEX($N$16:$N$24,MATCH(INT($A18/$B18)+1,$M$16:$M$24,0)))+($B18-MOD($A18,$B18))*INDEX($N$16:$N$24,MATCH(INT($A18/$B18),$M$16:$M$24,0)))</f>
        <v>2</v>
      </c>
      <c r="D18" s="20" t="str">
        <f>IF(ISNUMBER(MATCH($A18,'ملخص البطولات'!$A$4:$A$26,0)),"من ملخص البطولات","حسب القاعدة")</f>
        <v>من ملخص البطولات</v>
      </c>
      <c r="E18" s="20">
        <f>COUNTIFS(Sheet1!$B$2:$B$185,E$15,Sheet1!$F$2:$F$185,$A18)</f>
        <v>2</v>
      </c>
      <c r="F18" s="20">
        <f>COUNTIFS(Sheet1!$B$2:$B$185,F$15,Sheet1!$F$2:$F$185,$A18)</f>
        <v>3</v>
      </c>
      <c r="G18" s="20">
        <f>COUNTIFS(Sheet1!$B$2:$B$185,G$15,Sheet1!$F$2:$F$185,$A18)</f>
        <v>2</v>
      </c>
      <c r="H18" s="20">
        <f>COUNTIFS(Sheet1!$B$2:$B$185,H$15,Sheet1!$F$2:$F$185,$A18)</f>
        <v>0</v>
      </c>
      <c r="I18" s="20">
        <f>COUNTIFS(Sheet1!$B$2:$B$185,I$15,Sheet1!$F$2:$F$185,$A18)</f>
        <v>0</v>
      </c>
      <c r="J18" s="20">
        <f>COUNTIFS(Sheet1!$B$2:$B$185,J$15,Sheet1!$F$2:$F$185,$A18)</f>
        <v>2</v>
      </c>
      <c r="K18" s="20">
        <f>COUNTIFS(Sheet1!$B$2:$B$185,K$15,Sheet1!$F$2:$F$185,$A18)</f>
        <v>2</v>
      </c>
      <c r="L18" s="18"/>
      <c r="M18" s="55">
        <v>7</v>
      </c>
      <c r="N18" s="55">
        <v>2</v>
      </c>
      <c r="O18" s="18"/>
      <c r="P18" s="18"/>
      <c r="Q18" s="18"/>
    </row>
    <row r="19" spans="1:17" ht="14.5">
      <c r="A19" s="25">
        <v>8</v>
      </c>
      <c r="B19" s="20">
        <f>IFERROR(INDEX('ملخص البطولات'!$L$4:$L$26,MATCH($A19,'ملخص البطولات'!$A$4:$A$26,0)),IF($A19&lt;=13,1,IF($A19&lt;=52,MIN(4,ROUNDUP($A19/11,0)),ROUNDUP($A19/13,0))))</f>
        <v>1</v>
      </c>
      <c r="C19" s="20">
        <f>IFERROR(INDEX('ملخص البطولات'!$K$4:$K$26,MATCH($A19,'ملخص البطولات'!$A$4:$A$26,0)),IF(MOD($A19,$B19)=0,0,MOD($A19,$B19)*INDEX($N$16:$N$24,MATCH(INT($A19/$B19)+1,$M$16:$M$24,0)))+($B19-MOD($A19,$B19))*INDEX($N$16:$N$24,MATCH(INT($A19/$B19),$M$16:$M$24,0)))</f>
        <v>4</v>
      </c>
      <c r="D19" s="20" t="str">
        <f>IF(ISNUMBER(MATCH($A19,'ملخص البطولات'!$A$4:$A$26,0)),"من ملخص البطولات","حسب القاعدة")</f>
        <v>من ملخص البطولات</v>
      </c>
      <c r="E19" s="20">
        <f>COUNTIFS(Sheet1!$B$2:$B$185,E$15,Sheet1!$F$2:$F$185,$A19)</f>
        <v>3</v>
      </c>
      <c r="F19" s="20">
        <f>COUNTIFS(Sheet1!$B$2:$B$185,F$15,Sheet1!$F$2:$F$185,$A19)</f>
        <v>2</v>
      </c>
      <c r="G19" s="20">
        <f>COUNTIFS(Sheet1!$B$2:$B$185,G$15,Sheet1!$F$2:$F$185,$A19)</f>
        <v>3</v>
      </c>
      <c r="H19" s="20">
        <f>COUNTIFS(Sheet1!$B$2:$B$185,H$15,Sheet1!$F$2:$F$185,$A19)</f>
        <v>1</v>
      </c>
      <c r="I19" s="20">
        <f>COUNTIFS(Sheet1!$B$2:$B$185,I$15,Sheet1!$F$2:$F$185,$A19)</f>
        <v>4</v>
      </c>
      <c r="J19" s="20">
        <f>COUNTIFS(Sheet1!$B$2:$B$185,J$15,Sheet1!$F$2:$F$185,$A19)</f>
        <v>6</v>
      </c>
      <c r="K19" s="20">
        <f>COUNTIFS(Sheet1!$B$2:$B$185,K$15,Sheet1!$F$2:$F$185,$A19)</f>
        <v>4</v>
      </c>
      <c r="L19" s="18"/>
      <c r="M19" s="55">
        <v>8</v>
      </c>
      <c r="N19" s="55">
        <v>4</v>
      </c>
      <c r="O19" s="18"/>
      <c r="P19" s="18"/>
      <c r="Q19" s="18"/>
    </row>
    <row r="20" spans="1:17" ht="14.5">
      <c r="A20" s="25">
        <v>9</v>
      </c>
      <c r="B20" s="20">
        <f>IFERROR(INDEX('ملخص البطولات'!$L$4:$L$26,MATCH($A20,'ملخص البطولات'!$A$4:$A$26,0)),IF($A20&lt;=13,1,IF($A20&lt;=52,MIN(4,ROUNDUP($A20/11,0)),ROUNDUP($A20/13,0))))</f>
        <v>1</v>
      </c>
      <c r="C20" s="20">
        <f>IFERROR(INDEX('ملخص البطولات'!$K$4:$K$26,MATCH($A20,'ملخص البطولات'!$A$4:$A$26,0)),IF(MOD($A20,$B20)=0,0,MOD($A20,$B20)*INDEX($N$16:$N$24,MATCH(INT($A20/$B20)+1,$M$16:$M$24,0)))+($B20-MOD($A20,$B20))*INDEX($N$16:$N$24,MATCH(INT($A20/$B20),$M$16:$M$24,0)))</f>
        <v>3</v>
      </c>
      <c r="D20" s="20" t="str">
        <f>IF(ISNUMBER(MATCH($A20,'ملخص البطولات'!$A$4:$A$26,0)),"من ملخص البطولات","حسب القاعدة")</f>
        <v>من ملخص البطولات</v>
      </c>
      <c r="E20" s="20">
        <f>COUNTIFS(Sheet1!$B$2:$B$185,E$15,Sheet1!$F$2:$F$185,$A20)</f>
        <v>3</v>
      </c>
      <c r="F20" s="20">
        <f>COUNTIFS(Sheet1!$B$2:$B$185,F$15,Sheet1!$F$2:$F$185,$A20)</f>
        <v>2</v>
      </c>
      <c r="G20" s="20">
        <f>COUNTIFS(Sheet1!$B$2:$B$185,G$15,Sheet1!$F$2:$F$185,$A20)</f>
        <v>1</v>
      </c>
      <c r="H20" s="20">
        <f>COUNTIFS(Sheet1!$B$2:$B$185,H$15,Sheet1!$F$2:$F$185,$A20)</f>
        <v>2</v>
      </c>
      <c r="I20" s="20">
        <f>COUNTIFS(Sheet1!$B$2:$B$185,I$15,Sheet1!$F$2:$F$185,$A20)</f>
        <v>2</v>
      </c>
      <c r="J20" s="20">
        <f>COUNTIFS(Sheet1!$B$2:$B$185,J$15,Sheet1!$F$2:$F$185,$A20)</f>
        <v>0</v>
      </c>
      <c r="K20" s="20">
        <f>COUNTIFS(Sheet1!$B$2:$B$185,K$15,Sheet1!$F$2:$F$185,$A20)</f>
        <v>1</v>
      </c>
      <c r="L20" s="18"/>
      <c r="M20" s="55">
        <v>9</v>
      </c>
      <c r="N20" s="55">
        <v>3</v>
      </c>
      <c r="O20" s="18"/>
      <c r="P20" s="18"/>
      <c r="Q20" s="18"/>
    </row>
    <row r="21" spans="1:17" ht="14.5">
      <c r="A21" s="25">
        <v>10</v>
      </c>
      <c r="B21" s="20">
        <f>IFERROR(INDEX('ملخص البطولات'!$L$4:$L$26,MATCH($A21,'ملخص البطولات'!$A$4:$A$26,0)),IF($A21&lt;=13,1,IF($A21&lt;=52,MIN(4,ROUNDUP($A21/11,0)),ROUNDUP($A21/13,0))))</f>
        <v>1</v>
      </c>
      <c r="C21" s="20">
        <f>IFERROR(INDEX('ملخص البطولات'!$K$4:$K$26,MATCH($A21,'ملخص البطولات'!$A$4:$A$26,0)),IF(MOD($A21,$B21)=0,0,MOD($A21,$B21)*INDEX($N$16:$N$24,MATCH(INT($A21/$B21)+1,$M$16:$M$24,0)))+($B21-MOD($A21,$B21))*INDEX($N$16:$N$24,MATCH(INT($A21/$B21),$M$16:$M$24,0)))</f>
        <v>4</v>
      </c>
      <c r="D21" s="20" t="str">
        <f>IF(ISNUMBER(MATCH($A21,'ملخص البطولات'!$A$4:$A$26,0)),"من ملخص البطولات","حسب القاعدة")</f>
        <v>من ملخص البطولات</v>
      </c>
      <c r="E21" s="20">
        <f>COUNTIFS(Sheet1!$B$2:$B$185,E$15,Sheet1!$F$2:$F$185,$A21)</f>
        <v>0</v>
      </c>
      <c r="F21" s="20">
        <f>COUNTIFS(Sheet1!$B$2:$B$185,F$15,Sheet1!$F$2:$F$185,$A21)</f>
        <v>2</v>
      </c>
      <c r="G21" s="20">
        <f>COUNTIFS(Sheet1!$B$2:$B$185,G$15,Sheet1!$F$2:$F$185,$A21)</f>
        <v>1</v>
      </c>
      <c r="H21" s="20">
        <f>COUNTIFS(Sheet1!$B$2:$B$185,H$15,Sheet1!$F$2:$F$185,$A21)</f>
        <v>6</v>
      </c>
      <c r="I21" s="20">
        <f>COUNTIFS(Sheet1!$B$2:$B$185,I$15,Sheet1!$F$2:$F$185,$A21)</f>
        <v>2</v>
      </c>
      <c r="J21" s="20">
        <f>COUNTIFS(Sheet1!$B$2:$B$185,J$15,Sheet1!$F$2:$F$185,$A21)</f>
        <v>5</v>
      </c>
      <c r="K21" s="20">
        <f>COUNTIFS(Sheet1!$B$2:$B$185,K$15,Sheet1!$F$2:$F$185,$A21)</f>
        <v>3</v>
      </c>
      <c r="L21" s="18"/>
      <c r="M21" s="55">
        <v>10</v>
      </c>
      <c r="N21" s="55">
        <v>4</v>
      </c>
      <c r="O21" s="18"/>
      <c r="P21" s="18"/>
      <c r="Q21" s="18"/>
    </row>
    <row r="22" spans="1:17" ht="14.5">
      <c r="A22" s="25">
        <v>11</v>
      </c>
      <c r="B22" s="20">
        <f>IFERROR(INDEX('ملخص البطولات'!$L$4:$L$26,MATCH($A22,'ملخص البطولات'!$A$4:$A$26,0)),IF($A22&lt;=13,1,IF($A22&lt;=52,MIN(4,ROUNDUP($A22/11,0)),ROUNDUP($A22/13,0))))</f>
        <v>1</v>
      </c>
      <c r="C22" s="20">
        <f>IFERROR(INDEX('ملخص البطولات'!$K$4:$K$26,MATCH($A22,'ملخص البطولات'!$A$4:$A$26,0)),IF(MOD($A22,$B22)=0,0,MOD($A22,$B22)*INDEX($N$16:$N$24,MATCH(INT($A22/$B22)+1,$M$16:$M$24,0)))+($B22-MOD($A22,$B22))*INDEX($N$16:$N$24,MATCH(INT($A22/$B22),$M$16:$M$24,0)))</f>
        <v>4</v>
      </c>
      <c r="D22" s="20" t="str">
        <f>IF(ISNUMBER(MATCH($A22,'ملخص البطولات'!$A$4:$A$26,0)),"من ملخص البطولات","حسب القاعدة")</f>
        <v>من ملخص البطولات</v>
      </c>
      <c r="E22" s="20">
        <f>COUNTIFS(Sheet1!$B$2:$B$185,E$15,Sheet1!$F$2:$F$185,$A22)</f>
        <v>1</v>
      </c>
      <c r="F22" s="20">
        <f>COUNTIFS(Sheet1!$B$2:$B$185,F$15,Sheet1!$F$2:$F$185,$A22)</f>
        <v>0</v>
      </c>
      <c r="G22" s="20">
        <f>COUNTIFS(Sheet1!$B$2:$B$185,G$15,Sheet1!$F$2:$F$185,$A22)</f>
        <v>2</v>
      </c>
      <c r="H22" s="20">
        <f>COUNTIFS(Sheet1!$B$2:$B$185,H$15,Sheet1!$F$2:$F$185,$A22)</f>
        <v>2</v>
      </c>
      <c r="I22" s="20">
        <f>COUNTIFS(Sheet1!$B$2:$B$185,I$15,Sheet1!$F$2:$F$185,$A22)</f>
        <v>2</v>
      </c>
      <c r="J22" s="20">
        <f>COUNTIFS(Sheet1!$B$2:$B$185,J$15,Sheet1!$F$2:$F$185,$A22)</f>
        <v>0</v>
      </c>
      <c r="K22" s="20">
        <f>COUNTIFS(Sheet1!$B$2:$B$185,K$15,Sheet1!$F$2:$F$185,$A22)</f>
        <v>2</v>
      </c>
      <c r="L22" s="18"/>
      <c r="M22" s="55">
        <v>11</v>
      </c>
      <c r="N22" s="55">
        <v>4</v>
      </c>
      <c r="O22" s="18"/>
      <c r="P22" s="18"/>
      <c r="Q22" s="18"/>
    </row>
    <row r="23" spans="1:17" ht="14.5">
      <c r="A23" s="25">
        <v>12</v>
      </c>
      <c r="B23" s="20">
        <f>IFERROR(INDEX('ملخص البطولات'!$L$4:$L$26,MATCH($A23,'ملخص البطولات'!$A$4:$A$26,0)),IF($A23&lt;=13,1,IF($A23&lt;=52,MIN(4,ROUNDUP($A23/11,0)),ROUNDUP($A23/13,0))))</f>
        <v>1</v>
      </c>
      <c r="C23" s="20">
        <f>IFERROR(INDEX('ملخص البطولات'!$K$4:$K$26,MATCH($A23,'ملخص البطولات'!$A$4:$A$26,0)),IF(MOD($A23,$B23)=0,0,MOD($A23,$B23)*INDEX($N$16:$N$24,MATCH(INT($A23/$B23)+1,$M$16:$M$24,0)))+($B23-MOD($A23,$B23))*INDEX($N$16:$N$24,MATCH(INT($A23/$B23),$M$16:$M$24,0)))</f>
        <v>4</v>
      </c>
      <c r="D23" s="20" t="str">
        <f>IF(ISNUMBER(MATCH($A23,'ملخص البطولات'!$A$4:$A$26,0)),"من ملخص البطولات","حسب القاعدة")</f>
        <v>من ملخص البطولات</v>
      </c>
      <c r="E23" s="20">
        <f>COUNTIFS(Sheet1!$B$2:$B$185,E$15,Sheet1!$F$2:$F$185,$A23)</f>
        <v>2</v>
      </c>
      <c r="F23" s="20">
        <f>COUNTIFS(Sheet1!$B$2:$B$185,F$15,Sheet1!$F$2:$F$185,$A23)</f>
        <v>1</v>
      </c>
      <c r="G23" s="20">
        <f>COUNTIFS(Sheet1!$B$2:$B$185,G$15,Sheet1!$F$2:$F$185,$A23)</f>
        <v>1</v>
      </c>
      <c r="H23" s="20">
        <f>COUNTIFS(Sheet1!$B$2:$B$185,H$15,Sheet1!$F$2:$F$185,$A23)</f>
        <v>0</v>
      </c>
      <c r="I23" s="20">
        <f>COUNTIFS(Sheet1!$B$2:$B$185,I$15,Sheet1!$F$2:$F$185,$A23)</f>
        <v>3</v>
      </c>
      <c r="J23" s="20">
        <f>COUNTIFS(Sheet1!$B$2:$B$185,J$15,Sheet1!$F$2:$F$185,$A23)</f>
        <v>0</v>
      </c>
      <c r="K23" s="20">
        <f>COUNTIFS(Sheet1!$B$2:$B$185,K$15,Sheet1!$F$2:$F$185,$A23)</f>
        <v>2</v>
      </c>
      <c r="L23" s="18"/>
      <c r="M23" s="55">
        <v>12</v>
      </c>
      <c r="N23" s="55">
        <v>4</v>
      </c>
      <c r="O23" s="18"/>
      <c r="P23" s="18"/>
      <c r="Q23" s="18"/>
    </row>
    <row r="24" spans="1:17" ht="14.5">
      <c r="A24" s="25">
        <v>13</v>
      </c>
      <c r="B24" s="20">
        <f>IFERROR(INDEX('ملخص البطولات'!$L$4:$L$26,MATCH($A24,'ملخص البطولات'!$A$4:$A$26,0)),IF($A24&lt;=13,1,IF($A24&lt;=52,MIN(4,ROUNDUP($A24/11,0)),ROUNDUP($A24/13,0))))</f>
        <v>1</v>
      </c>
      <c r="C24" s="20">
        <f>IFERROR(INDEX('ملخص البطولات'!$K$4:$K$26,MATCH($A24,'ملخص البطولات'!$A$4:$A$26,0)),IF(MOD($A24,$B24)=0,0,MOD($A24,$B24)*INDEX($N$16:$N$24,MATCH(INT($A24/$B24)+1,$M$16:$M$24,0)))+($B24-MOD($A24,$B24))*INDEX($N$16:$N$24,MATCH(INT($A24/$B24),$M$16:$M$24,0)))</f>
        <v>4</v>
      </c>
      <c r="D24" s="20" t="str">
        <f>IF(ISNUMBER(MATCH($A24,'ملخص البطولات'!$A$4:$A$26,0)),"من ملخص البطولات","حسب القاعدة")</f>
        <v>من ملخص البطولات</v>
      </c>
      <c r="E24" s="20">
        <f>COUNTIFS(Sheet1!$B$2:$B$185,E$15,Sheet1!$F$2:$F$185,$A24)</f>
        <v>2</v>
      </c>
      <c r="F24" s="20">
        <f>COUNTIFS(Sheet1!$B$2:$B$185,F$15,Sheet1!$F$2:$F$185,$A24)</f>
        <v>2</v>
      </c>
      <c r="G24" s="20">
        <f>COUNTIFS(Sheet1!$B$2:$B$185,G$15,Sheet1!$F$2:$F$185,$A24)</f>
        <v>0</v>
      </c>
      <c r="H24" s="20">
        <f>COUNTIFS(Sheet1!$B$2:$B$185,H$15,Sheet1!$F$2:$F$185,$A24)</f>
        <v>1</v>
      </c>
      <c r="I24" s="20">
        <f>COUNTIFS(Sheet1!$B$2:$B$185,I$15,Sheet1!$F$2:$F$185,$A24)</f>
        <v>0</v>
      </c>
      <c r="J24" s="20">
        <f>COUNTIFS(Sheet1!$B$2:$B$185,J$15,Sheet1!$F$2:$F$185,$A24)</f>
        <v>2</v>
      </c>
      <c r="K24" s="20">
        <f>COUNTIFS(Sheet1!$B$2:$B$185,K$15,Sheet1!$F$2:$F$185,$A24)</f>
        <v>0</v>
      </c>
      <c r="L24" s="18"/>
      <c r="M24" s="55">
        <v>13</v>
      </c>
      <c r="N24" s="55">
        <v>4</v>
      </c>
      <c r="O24" s="18"/>
      <c r="P24" s="18"/>
      <c r="Q24" s="18"/>
    </row>
    <row r="25" spans="1:17" ht="14.5">
      <c r="A25" s="25">
        <v>14</v>
      </c>
      <c r="B25" s="20">
        <f>IFERROR(INDEX('ملخص البطولات'!$L$4:$L$26,MATCH($A25,'ملخص البطولات'!$A$4:$A$26,0)),IF($A25&lt;=13,1,IF($A25&lt;=52,MIN(4,ROUNDUP($A25/11,0)),ROUNDUP($A25/13,0))))</f>
        <v>2</v>
      </c>
      <c r="C25" s="20">
        <f>IFERROR(INDEX('ملخص البطولات'!$K$4:$K$26,MATCH($A25,'ملخص البطولات'!$A$4:$A$26,0)),IF(MOD($A25,$B25)=0,0,MOD($A25,$B25)*INDEX($N$16:$N$24,MATCH(INT($A25/$B25)+1,$M$16:$M$24,0)))+($B25-MOD($A25,$B25))*INDEX($N$16:$N$24,MATCH(INT($A25/$B25),$M$16:$M$24,0)))</f>
        <v>4</v>
      </c>
      <c r="D25" s="20" t="str">
        <f>IF(ISNUMBER(MATCH($A25,'ملخص البطولات'!$A$4:$A$26,0)),"من ملخص البطولات","حسب القاعدة")</f>
        <v>من ملخص البطولات</v>
      </c>
      <c r="E25" s="20">
        <f>COUNTIFS(Sheet1!$B$2:$B$185,E$15,Sheet1!$F$2:$F$185,$A25)</f>
        <v>0</v>
      </c>
      <c r="F25" s="20">
        <f>COUNTIFS(Sheet1!$B$2:$B$185,F$15,Sheet1!$F$2:$F$185,$A25)</f>
        <v>0</v>
      </c>
      <c r="G25" s="20">
        <f>COUNTIFS(Sheet1!$B$2:$B$185,G$15,Sheet1!$F$2:$F$185,$A25)</f>
        <v>2</v>
      </c>
      <c r="H25" s="20">
        <f>COUNTIFS(Sheet1!$B$2:$B$185,H$15,Sheet1!$F$2:$F$185,$A25)</f>
        <v>2</v>
      </c>
      <c r="I25" s="20">
        <f>COUNTIFS(Sheet1!$B$2:$B$185,I$15,Sheet1!$F$2:$F$185,$A25)</f>
        <v>3</v>
      </c>
      <c r="J25" s="20">
        <f>COUNTIFS(Sheet1!$B$2:$B$185,J$15,Sheet1!$F$2:$F$185,$A25)</f>
        <v>2</v>
      </c>
      <c r="K25" s="20">
        <f>COUNTIFS(Sheet1!$B$2:$B$185,K$15,Sheet1!$F$2:$F$185,$A25)</f>
        <v>1</v>
      </c>
      <c r="L25" s="18"/>
      <c r="M25" s="18"/>
      <c r="N25" s="18"/>
      <c r="O25" s="18"/>
      <c r="P25" s="18"/>
      <c r="Q25" s="18"/>
    </row>
    <row r="26" spans="1:17" ht="14.5">
      <c r="A26" s="25">
        <v>15</v>
      </c>
      <c r="B26" s="20">
        <f>IFERROR(INDEX('ملخص البطولات'!$L$4:$L$26,MATCH($A26,'ملخص البطولات'!$A$4:$A$26,0)),IF($A26&lt;=13,1,IF($A26&lt;=52,MIN(4,ROUNDUP($A26/11,0)),ROUNDUP($A26/13,0))))</f>
        <v>2</v>
      </c>
      <c r="C26" s="20">
        <f>IFERROR(INDEX('ملخص البطولات'!$K$4:$K$26,MATCH($A26,'ملخص البطولات'!$A$4:$A$26,0)),IF(MOD($A26,$B26)=0,0,MOD($A26,$B26)*INDEX($N$16:$N$24,MATCH(INT($A26/$B26)+1,$M$16:$M$24,0)))+($B26-MOD($A26,$B26))*INDEX($N$16:$N$24,MATCH(INT($A26/$B26),$M$16:$M$24,0)))</f>
        <v>6</v>
      </c>
      <c r="D26" s="20" t="str">
        <f>IF(ISNUMBER(MATCH($A26,'ملخص البطولات'!$A$4:$A$26,0)),"من ملخص البطولات","حسب القاعدة")</f>
        <v>من ملخص البطولات</v>
      </c>
      <c r="E26" s="20">
        <f>COUNTIFS(Sheet1!$B$2:$B$185,E$15,Sheet1!$F$2:$F$185,$A26)</f>
        <v>1</v>
      </c>
      <c r="F26" s="20">
        <f>COUNTIFS(Sheet1!$B$2:$B$185,F$15,Sheet1!$F$2:$F$185,$A26)</f>
        <v>1</v>
      </c>
      <c r="G26" s="20">
        <f>COUNTIFS(Sheet1!$B$2:$B$185,G$15,Sheet1!$F$2:$F$185,$A26)</f>
        <v>3</v>
      </c>
      <c r="H26" s="20">
        <f>COUNTIFS(Sheet1!$B$2:$B$185,H$15,Sheet1!$F$2:$F$185,$A26)</f>
        <v>2</v>
      </c>
      <c r="I26" s="20">
        <f>COUNTIFS(Sheet1!$B$2:$B$185,I$15,Sheet1!$F$2:$F$185,$A26)</f>
        <v>2</v>
      </c>
      <c r="J26" s="20">
        <f>COUNTIFS(Sheet1!$B$2:$B$185,J$15,Sheet1!$F$2:$F$185,$A26)</f>
        <v>0</v>
      </c>
      <c r="K26" s="20">
        <f>COUNTIFS(Sheet1!$B$2:$B$185,K$15,Sheet1!$F$2:$F$185,$A26)</f>
        <v>2</v>
      </c>
      <c r="L26" s="18"/>
      <c r="M26" s="18"/>
      <c r="N26" s="18"/>
      <c r="O26" s="18"/>
      <c r="P26" s="18"/>
      <c r="Q26" s="18"/>
    </row>
    <row r="27" spans="1:17" ht="14.5">
      <c r="A27" s="25">
        <v>16</v>
      </c>
      <c r="B27" s="20">
        <f>IFERROR(INDEX('ملخص البطولات'!$L$4:$L$26,MATCH($A27,'ملخص البطولات'!$A$4:$A$26,0)),IF($A27&lt;=13,1,IF($A27&lt;=52,MIN(4,ROUNDUP($A27/11,0)),ROUNDUP($A27/13,0))))</f>
        <v>2</v>
      </c>
      <c r="C27" s="20">
        <f>IFERROR(INDEX('ملخص البطولات'!$K$4:$K$26,MATCH($A27,'ملخص البطولات'!$A$4:$A$26,0)),IF(MOD($A27,$B27)=0,0,MOD($A27,$B27)*INDEX($N$16:$N$24,MATCH(INT($A27/$B27)+1,$M$16:$M$24,0)))+($B27-MOD($A27,$B27))*INDEX($N$16:$N$24,MATCH(INT($A27/$B27),$M$16:$M$24,0)))</f>
        <v>8</v>
      </c>
      <c r="D27" s="20" t="str">
        <f>IF(ISNUMBER(MATCH($A27,'ملخص البطولات'!$A$4:$A$26,0)),"من ملخص البطولات","حسب القاعدة")</f>
        <v>من ملخص البطولات</v>
      </c>
      <c r="E27" s="20">
        <f>COUNTIFS(Sheet1!$B$2:$B$185,E$15,Sheet1!$F$2:$F$185,$A27)</f>
        <v>1</v>
      </c>
      <c r="F27" s="20">
        <f>COUNTIFS(Sheet1!$B$2:$B$185,F$15,Sheet1!$F$2:$F$185,$A27)</f>
        <v>2</v>
      </c>
      <c r="G27" s="20">
        <f>COUNTIFS(Sheet1!$B$2:$B$185,G$15,Sheet1!$F$2:$F$185,$A27)</f>
        <v>1</v>
      </c>
      <c r="H27" s="20">
        <f>COUNTIFS(Sheet1!$B$2:$B$185,H$15,Sheet1!$F$2:$F$185,$A27)</f>
        <v>3</v>
      </c>
      <c r="I27" s="20">
        <f>COUNTIFS(Sheet1!$B$2:$B$185,I$15,Sheet1!$F$2:$F$185,$A27)</f>
        <v>2</v>
      </c>
      <c r="J27" s="20">
        <f>COUNTIFS(Sheet1!$B$2:$B$185,J$15,Sheet1!$F$2:$F$185,$A27)</f>
        <v>2</v>
      </c>
      <c r="K27" s="20">
        <f>COUNTIFS(Sheet1!$B$2:$B$185,K$15,Sheet1!$F$2:$F$185,$A27)</f>
        <v>1</v>
      </c>
      <c r="L27" s="18"/>
      <c r="M27" s="18"/>
      <c r="N27" s="18"/>
      <c r="O27" s="18"/>
      <c r="P27" s="18"/>
      <c r="Q27" s="18"/>
    </row>
    <row r="28" spans="1:17" ht="14.5">
      <c r="A28" s="25">
        <v>17</v>
      </c>
      <c r="B28" s="20">
        <f>IFERROR(INDEX('ملخص البطولات'!$L$4:$L$26,MATCH($A28,'ملخص البطولات'!$A$4:$A$26,0)),IF($A28&lt;=13,1,IF($A28&lt;=52,MIN(4,ROUNDUP($A28/11,0)),ROUNDUP($A28/13,0))))</f>
        <v>2</v>
      </c>
      <c r="C28" s="20">
        <f>IFERROR(INDEX('ملخص البطولات'!$K$4:$K$26,MATCH($A28,'ملخص البطولات'!$A$4:$A$26,0)),IF(MOD($A28,$B28)=0,0,MOD($A28,$B28)*INDEX($N$16:$N$24,MATCH(INT($A28/$B28)+1,$M$16:$M$24,0)))+($B28-MOD($A28,$B28))*INDEX($N$16:$N$24,MATCH(INT($A28/$B28),$M$16:$M$24,0)))</f>
        <v>7</v>
      </c>
      <c r="D28" s="20" t="str">
        <f>IF(ISNUMBER(MATCH($A28,'ملخص البطولات'!$A$4:$A$26,0)),"من ملخص البطولات","حسب القاعدة")</f>
        <v>من ملخص البطولات</v>
      </c>
      <c r="E28" s="20">
        <f>COUNTIFS(Sheet1!$B$2:$B$185,E$15,Sheet1!$F$2:$F$185,$A28)</f>
        <v>1</v>
      </c>
      <c r="F28" s="20">
        <f>COUNTIFS(Sheet1!$B$2:$B$185,F$15,Sheet1!$F$2:$F$185,$A28)</f>
        <v>1</v>
      </c>
      <c r="G28" s="20">
        <f>COUNTIFS(Sheet1!$B$2:$B$185,G$15,Sheet1!$F$2:$F$185,$A28)</f>
        <v>0</v>
      </c>
      <c r="H28" s="20">
        <f>COUNTIFS(Sheet1!$B$2:$B$185,H$15,Sheet1!$F$2:$F$185,$A28)</f>
        <v>0</v>
      </c>
      <c r="I28" s="20">
        <f>COUNTIFS(Sheet1!$B$2:$B$185,I$15,Sheet1!$F$2:$F$185,$A28)</f>
        <v>0</v>
      </c>
      <c r="J28" s="20">
        <f>COUNTIFS(Sheet1!$B$2:$B$185,J$15,Sheet1!$F$2:$F$185,$A28)</f>
        <v>1</v>
      </c>
      <c r="K28" s="20">
        <f>COUNTIFS(Sheet1!$B$2:$B$185,K$15,Sheet1!$F$2:$F$185,$A28)</f>
        <v>1</v>
      </c>
      <c r="L28" s="18"/>
      <c r="M28" s="18"/>
      <c r="N28" s="18"/>
      <c r="O28" s="18"/>
      <c r="P28" s="18"/>
      <c r="Q28" s="18"/>
    </row>
    <row r="29" spans="1:17" ht="14.5">
      <c r="A29" s="25">
        <v>18</v>
      </c>
      <c r="B29" s="20">
        <f>IFERROR(INDEX('ملخص البطولات'!$L$4:$L$26,MATCH($A29,'ملخص البطولات'!$A$4:$A$26,0)),IF($A29&lt;=13,1,IF($A29&lt;=52,MIN(4,ROUNDUP($A29/11,0)),ROUNDUP($A29/13,0))))</f>
        <v>2</v>
      </c>
      <c r="C29" s="20">
        <f>IFERROR(INDEX('ملخص البطولات'!$K$4:$K$26,MATCH($A29,'ملخص البطولات'!$A$4:$A$26,0)),IF(MOD($A29,$B29)=0,0,MOD($A29,$B29)*INDEX($N$16:$N$24,MATCH(INT($A29/$B29)+1,$M$16:$M$24,0)))+($B29-MOD($A29,$B29))*INDEX($N$16:$N$24,MATCH(INT($A29/$B29),$M$16:$M$24,0)))</f>
        <v>8</v>
      </c>
      <c r="D29" s="20" t="str">
        <f>IF(ISNUMBER(MATCH($A29,'ملخص البطولات'!$A$4:$A$26,0)),"من ملخص البطولات","حسب القاعدة")</f>
        <v>من ملخص البطولات</v>
      </c>
      <c r="E29" s="20">
        <f>COUNTIFS(Sheet1!$B$2:$B$185,E$15,Sheet1!$F$2:$F$185,$A29)</f>
        <v>0</v>
      </c>
      <c r="F29" s="20">
        <f>COUNTIFS(Sheet1!$B$2:$B$185,F$15,Sheet1!$F$2:$F$185,$A29)</f>
        <v>1</v>
      </c>
      <c r="G29" s="20">
        <f>COUNTIFS(Sheet1!$B$2:$B$185,G$15,Sheet1!$F$2:$F$185,$A29)</f>
        <v>0</v>
      </c>
      <c r="H29" s="20">
        <f>COUNTIFS(Sheet1!$B$2:$B$185,H$15,Sheet1!$F$2:$F$185,$A29)</f>
        <v>0</v>
      </c>
      <c r="I29" s="20">
        <f>COUNTIFS(Sheet1!$B$2:$B$185,I$15,Sheet1!$F$2:$F$185,$A29)</f>
        <v>1</v>
      </c>
      <c r="J29" s="20">
        <f>COUNTIFS(Sheet1!$B$2:$B$185,J$15,Sheet1!$F$2:$F$185,$A29)</f>
        <v>0</v>
      </c>
      <c r="K29" s="20">
        <f>COUNTIFS(Sheet1!$B$2:$B$185,K$15,Sheet1!$F$2:$F$185,$A29)</f>
        <v>0</v>
      </c>
      <c r="L29" s="18"/>
      <c r="M29" s="18"/>
      <c r="N29" s="18"/>
      <c r="O29" s="18"/>
      <c r="P29" s="18"/>
      <c r="Q29" s="18"/>
    </row>
    <row r="30" spans="1:17" ht="14.5">
      <c r="A30" s="25">
        <v>19</v>
      </c>
      <c r="B30" s="20">
        <f>IFERROR(INDEX('ملخص البطولات'!$L$4:$L$26,MATCH($A30,'ملخص البطولات'!$A$4:$A$26,0)),IF($A30&lt;=13,1,IF($A30&lt;=52,MIN(4,ROUNDUP($A30/11,0)),ROUNDUP($A30/13,0))))</f>
        <v>2</v>
      </c>
      <c r="C30" s="20">
        <f>IFERROR(INDEX('ملخص البطولات'!$K$4:$K$26,MATCH($A30,'ملخص البطولات'!$A$4:$A$26,0)),IF(MOD($A30,$B30)=0,0,MOD($A30,$B30)*INDEX($N$16:$N$24,MATCH(INT($A30/$B30)+1,$M$16:$M$24,0)))+($B30-MOD($A30,$B30))*INDEX($N$16:$N$24,MATCH(INT($A30/$B30),$M$16:$M$24,0)))</f>
        <v>7</v>
      </c>
      <c r="D30" s="20" t="str">
        <f>IF(ISNUMBER(MATCH($A30,'ملخص البطولات'!$A$4:$A$26,0)),"من ملخص البطولات","حسب القاعدة")</f>
        <v>من ملخص البطولات</v>
      </c>
      <c r="E30" s="20">
        <f>COUNTIFS(Sheet1!$B$2:$B$185,E$15,Sheet1!$F$2:$F$185,$A30)</f>
        <v>0</v>
      </c>
      <c r="F30" s="20">
        <f>COUNTIFS(Sheet1!$B$2:$B$185,F$15,Sheet1!$F$2:$F$185,$A30)</f>
        <v>0</v>
      </c>
      <c r="G30" s="20">
        <f>COUNTIFS(Sheet1!$B$2:$B$185,G$15,Sheet1!$F$2:$F$185,$A30)</f>
        <v>1</v>
      </c>
      <c r="H30" s="20">
        <f>COUNTIFS(Sheet1!$B$2:$B$185,H$15,Sheet1!$F$2:$F$185,$A30)</f>
        <v>0</v>
      </c>
      <c r="I30" s="20">
        <f>COUNTIFS(Sheet1!$B$2:$B$185,I$15,Sheet1!$F$2:$F$185,$A30)</f>
        <v>0</v>
      </c>
      <c r="J30" s="20">
        <f>COUNTIFS(Sheet1!$B$2:$B$185,J$15,Sheet1!$F$2:$F$185,$A30)</f>
        <v>0</v>
      </c>
      <c r="K30" s="20">
        <f>COUNTIFS(Sheet1!$B$2:$B$185,K$15,Sheet1!$F$2:$F$185,$A30)</f>
        <v>1</v>
      </c>
      <c r="L30" s="18"/>
      <c r="M30" s="18"/>
      <c r="N30" s="18"/>
      <c r="O30" s="18"/>
      <c r="P30" s="18"/>
      <c r="Q30" s="18"/>
    </row>
    <row r="31" spans="1:17" ht="14.5">
      <c r="A31" s="25">
        <v>21</v>
      </c>
      <c r="B31" s="20">
        <f>IFERROR(INDEX('ملخص البطولات'!$L$4:$L$26,MATCH($A31,'ملخص البطولات'!$A$4:$A$26,0)),IF($A31&lt;=13,1,IF($A31&lt;=52,MIN(4,ROUNDUP($A31/11,0)),ROUNDUP($A31/13,0))))</f>
        <v>2</v>
      </c>
      <c r="C31" s="20">
        <f>IFERROR(INDEX('ملخص البطولات'!$K$4:$K$26,MATCH($A31,'ملخص البطولات'!$A$4:$A$26,0)),IF(MOD($A31,$B31)=0,0,MOD($A31,$B31)*INDEX($N$16:$N$24,MATCH(INT($A31/$B31)+1,$M$16:$M$24,0)))+($B31-MOD($A31,$B31))*INDEX($N$16:$N$24,MATCH(INT($A31/$B31),$M$16:$M$24,0)))</f>
        <v>8</v>
      </c>
      <c r="D31" s="20" t="str">
        <f>IF(ISNUMBER(MATCH($A31,'ملخص البطولات'!$A$4:$A$26,0)),"من ملخص البطولات","حسب القاعدة")</f>
        <v>من ملخص البطولات</v>
      </c>
      <c r="E31" s="20">
        <f>COUNTIFS(Sheet1!$B$2:$B$185,E$15,Sheet1!$F$2:$F$185,$A31)</f>
        <v>0</v>
      </c>
      <c r="F31" s="20">
        <f>COUNTIFS(Sheet1!$B$2:$B$185,F$15,Sheet1!$F$2:$F$185,$A31)</f>
        <v>1</v>
      </c>
      <c r="G31" s="20">
        <f>COUNTIFS(Sheet1!$B$2:$B$185,G$15,Sheet1!$F$2:$F$185,$A31)</f>
        <v>0</v>
      </c>
      <c r="H31" s="20">
        <f>COUNTIFS(Sheet1!$B$2:$B$185,H$15,Sheet1!$F$2:$F$185,$A31)</f>
        <v>1</v>
      </c>
      <c r="I31" s="20">
        <f>COUNTIFS(Sheet1!$B$2:$B$185,I$15,Sheet1!$F$2:$F$185,$A31)</f>
        <v>0</v>
      </c>
      <c r="J31" s="20">
        <f>COUNTIFS(Sheet1!$B$2:$B$185,J$15,Sheet1!$F$2:$F$185,$A31)</f>
        <v>0</v>
      </c>
      <c r="K31" s="20">
        <f>COUNTIFS(Sheet1!$B$2:$B$185,K$15,Sheet1!$F$2:$F$185,$A31)</f>
        <v>0</v>
      </c>
      <c r="L31" s="18"/>
      <c r="M31" s="18"/>
      <c r="N31" s="18"/>
      <c r="O31" s="18"/>
      <c r="P31" s="18"/>
      <c r="Q31" s="18"/>
    </row>
    <row r="32" spans="1:17" ht="14.5">
      <c r="A32" s="25">
        <v>22</v>
      </c>
      <c r="B32" s="20">
        <f>IFERROR(INDEX('ملخص البطولات'!$L$4:$L$26,MATCH($A32,'ملخص البطولات'!$A$4:$A$26,0)),IF($A32&lt;=13,1,IF($A32&lt;=52,MIN(4,ROUNDUP($A32/11,0)),ROUNDUP($A32/13,0))))</f>
        <v>2</v>
      </c>
      <c r="C32" s="20">
        <f>IFERROR(INDEX('ملخص البطولات'!$K$4:$K$26,MATCH($A32,'ملخص البطولات'!$A$4:$A$26,0)),IF(MOD($A32,$B32)=0,0,MOD($A32,$B32)*INDEX($N$16:$N$24,MATCH(INT($A32/$B32)+1,$M$16:$M$24,0)))+($B32-MOD($A32,$B32))*INDEX($N$16:$N$24,MATCH(INT($A32/$B32),$M$16:$M$24,0)))</f>
        <v>8</v>
      </c>
      <c r="D32" s="20" t="str">
        <f>IF(ISNUMBER(MATCH($A32,'ملخص البطولات'!$A$4:$A$26,0)),"من ملخص البطولات","حسب القاعدة")</f>
        <v>حسب القاعدة</v>
      </c>
      <c r="E32" s="20">
        <f>COUNTIFS(Sheet1!$B$2:$B$185,E$15,Sheet1!$F$2:$F$185,$A32)</f>
        <v>1</v>
      </c>
      <c r="F32" s="20">
        <f>COUNTIFS(Sheet1!$B$2:$B$185,F$15,Sheet1!$F$2:$F$185,$A32)</f>
        <v>0</v>
      </c>
      <c r="G32" s="20">
        <f>COUNTIFS(Sheet1!$B$2:$B$185,G$15,Sheet1!$F$2:$F$185,$A32)</f>
        <v>0</v>
      </c>
      <c r="H32" s="20">
        <f>COUNTIFS(Sheet1!$B$2:$B$185,H$15,Sheet1!$F$2:$F$185,$A32)</f>
        <v>0</v>
      </c>
      <c r="I32" s="20">
        <f>COUNTIFS(Sheet1!$B$2:$B$185,I$15,Sheet1!$F$2:$F$185,$A32)</f>
        <v>1</v>
      </c>
      <c r="J32" s="20">
        <f>COUNTIFS(Sheet1!$B$2:$B$185,J$15,Sheet1!$F$2:$F$185,$A32)</f>
        <v>0</v>
      </c>
      <c r="K32" s="20">
        <f>COUNTIFS(Sheet1!$B$2:$B$185,K$15,Sheet1!$F$2:$F$185,$A32)</f>
        <v>0</v>
      </c>
      <c r="L32" s="18"/>
      <c r="M32" s="18"/>
      <c r="N32" s="18"/>
      <c r="O32" s="18"/>
      <c r="P32" s="18"/>
      <c r="Q32" s="18"/>
    </row>
    <row r="33" spans="1:17" ht="14.5">
      <c r="A33" s="25">
        <v>23</v>
      </c>
      <c r="B33" s="20">
        <f>IFERROR(INDEX('ملخص البطولات'!$L$4:$L$26,MATCH($A33,'ملخص البطولات'!$A$4:$A$26,0)),IF($A33&lt;=13,1,IF($A33&lt;=52,MIN(4,ROUNDUP($A33/11,0)),ROUNDUP($A33/13,0))))</f>
        <v>3</v>
      </c>
      <c r="C33" s="20">
        <f>IFERROR(INDEX('ملخص البطولات'!$K$4:$K$26,MATCH($A33,'ملخص البطولات'!$A$4:$A$26,0)),IF(MOD($A33,$B33)=0,0,MOD($A33,$B33)*INDEX($N$16:$N$24,MATCH(INT($A33/$B33)+1,$M$16:$M$24,0)))+($B33-MOD($A33,$B33))*INDEX($N$16:$N$24,MATCH(INT($A33/$B33),$M$16:$M$24,0)))</f>
        <v>10</v>
      </c>
      <c r="D33" s="20" t="str">
        <f>IF(ISNUMBER(MATCH($A33,'ملخص البطولات'!$A$4:$A$26,0)),"من ملخص البطولات","حسب القاعدة")</f>
        <v>حسب القاعدة</v>
      </c>
      <c r="E33" s="20">
        <f>COUNTIFS(Sheet1!$B$2:$B$185,E$15,Sheet1!$F$2:$F$185,$A33)</f>
        <v>0</v>
      </c>
      <c r="F33" s="20">
        <f>COUNTIFS(Sheet1!$B$2:$B$185,F$15,Sheet1!$F$2:$F$185,$A33)</f>
        <v>0</v>
      </c>
      <c r="G33" s="20">
        <f>COUNTIFS(Sheet1!$B$2:$B$185,G$15,Sheet1!$F$2:$F$185,$A33)</f>
        <v>0</v>
      </c>
      <c r="H33" s="20">
        <f>COUNTIFS(Sheet1!$B$2:$B$185,H$15,Sheet1!$F$2:$F$185,$A33)</f>
        <v>1</v>
      </c>
      <c r="I33" s="20">
        <f>COUNTIFS(Sheet1!$B$2:$B$185,I$15,Sheet1!$F$2:$F$185,$A33)</f>
        <v>0</v>
      </c>
      <c r="J33" s="20">
        <f>COUNTIFS(Sheet1!$B$2:$B$185,J$15,Sheet1!$F$2:$F$185,$A33)</f>
        <v>0</v>
      </c>
      <c r="K33" s="20">
        <f>COUNTIFS(Sheet1!$B$2:$B$185,K$15,Sheet1!$F$2:$F$185,$A33)</f>
        <v>0</v>
      </c>
      <c r="L33" s="18"/>
      <c r="M33" s="18"/>
      <c r="N33" s="18"/>
      <c r="O33" s="18"/>
      <c r="P33" s="18"/>
      <c r="Q33" s="18"/>
    </row>
    <row r="34" spans="1:17" ht="14.5">
      <c r="A34" s="25">
        <v>24</v>
      </c>
      <c r="B34" s="20">
        <f>IFERROR(INDEX('ملخص البطولات'!$L$4:$L$26,MATCH($A34,'ملخص البطولات'!$A$4:$A$26,0)),IF($A34&lt;=13,1,IF($A34&lt;=52,MIN(4,ROUNDUP($A34/11,0)),ROUNDUP($A34/13,0))))</f>
        <v>3</v>
      </c>
      <c r="C34" s="20">
        <f>IFERROR(INDEX('ملخص البطولات'!$K$4:$K$26,MATCH($A34,'ملخص البطولات'!$A$4:$A$26,0)),IF(MOD($A34,$B34)=0,0,MOD($A34,$B34)*INDEX($N$16:$N$24,MATCH(INT($A34/$B34)+1,$M$16:$M$24,0)))+($B34-MOD($A34,$B34))*INDEX($N$16:$N$24,MATCH(INT($A34/$B34),$M$16:$M$24,0)))</f>
        <v>12</v>
      </c>
      <c r="D34" s="20" t="str">
        <f>IF(ISNUMBER(MATCH($A34,'ملخص البطولات'!$A$4:$A$26,0)),"من ملخص البطولات","حسب القاعدة")</f>
        <v>حسب القاعدة</v>
      </c>
      <c r="E34" s="20">
        <f>COUNTIFS(Sheet1!$B$2:$B$185,E$15,Sheet1!$F$2:$F$185,$A34)</f>
        <v>0</v>
      </c>
      <c r="F34" s="20">
        <f>COUNTIFS(Sheet1!$B$2:$B$185,F$15,Sheet1!$F$2:$F$185,$A34)</f>
        <v>0</v>
      </c>
      <c r="G34" s="20">
        <f>COUNTIFS(Sheet1!$B$2:$B$185,G$15,Sheet1!$F$2:$F$185,$A34)</f>
        <v>0</v>
      </c>
      <c r="H34" s="20">
        <f>COUNTIFS(Sheet1!$B$2:$B$185,H$15,Sheet1!$F$2:$F$185,$A34)</f>
        <v>0</v>
      </c>
      <c r="I34" s="20">
        <f>COUNTIFS(Sheet1!$B$2:$B$185,I$15,Sheet1!$F$2:$F$185,$A34)</f>
        <v>0</v>
      </c>
      <c r="J34" s="20">
        <f>COUNTIFS(Sheet1!$B$2:$B$185,J$15,Sheet1!$F$2:$F$185,$A34)</f>
        <v>1</v>
      </c>
      <c r="K34" s="20">
        <f>COUNTIFS(Sheet1!$B$2:$B$185,K$15,Sheet1!$F$2:$F$185,$A34)</f>
        <v>0</v>
      </c>
      <c r="L34" s="18"/>
      <c r="M34" s="18"/>
      <c r="N34" s="18"/>
      <c r="O34" s="18"/>
      <c r="P34" s="18"/>
      <c r="Q34" s="18"/>
    </row>
    <row r="35" spans="1:17" ht="14.5">
      <c r="A35" s="25">
        <v>25</v>
      </c>
      <c r="B35" s="20">
        <f>IFERROR(INDEX('ملخص البطولات'!$L$4:$L$26,MATCH($A35,'ملخص البطولات'!$A$4:$A$26,0)),IF($A35&lt;=13,1,IF($A35&lt;=52,MIN(4,ROUNDUP($A35/11,0)),ROUNDUP($A35/13,0))))</f>
        <v>3</v>
      </c>
      <c r="C35" s="20">
        <f>IFERROR(INDEX('ملخص البطولات'!$K$4:$K$26,MATCH($A35,'ملخص البطولات'!$A$4:$A$26,0)),IF(MOD($A35,$B35)=0,0,MOD($A35,$B35)*INDEX($N$16:$N$24,MATCH(INT($A35/$B35)+1,$M$16:$M$24,0)))+($B35-MOD($A35,$B35))*INDEX($N$16:$N$24,MATCH(INT($A35/$B35),$M$16:$M$24,0)))</f>
        <v>11</v>
      </c>
      <c r="D35" s="20" t="str">
        <f>IF(ISNUMBER(MATCH($A35,'ملخص البطولات'!$A$4:$A$26,0)),"من ملخص البطولات","حسب القاعدة")</f>
        <v>من ملخص البطولات</v>
      </c>
      <c r="E35" s="20">
        <f>COUNTIFS(Sheet1!$B$2:$B$185,E$15,Sheet1!$F$2:$F$185,$A35)</f>
        <v>0</v>
      </c>
      <c r="F35" s="20">
        <f>COUNTIFS(Sheet1!$B$2:$B$185,F$15,Sheet1!$F$2:$F$185,$A35)</f>
        <v>0</v>
      </c>
      <c r="G35" s="20">
        <f>COUNTIFS(Sheet1!$B$2:$B$185,G$15,Sheet1!$F$2:$F$185,$A35)</f>
        <v>1</v>
      </c>
      <c r="H35" s="20">
        <f>COUNTIFS(Sheet1!$B$2:$B$185,H$15,Sheet1!$F$2:$F$185,$A35)</f>
        <v>0</v>
      </c>
      <c r="I35" s="20">
        <f>COUNTIFS(Sheet1!$B$2:$B$185,I$15,Sheet1!$F$2:$F$185,$A35)</f>
        <v>1</v>
      </c>
      <c r="J35" s="20">
        <f>COUNTIFS(Sheet1!$B$2:$B$185,J$15,Sheet1!$F$2:$F$185,$A35)</f>
        <v>0</v>
      </c>
      <c r="K35" s="20">
        <f>COUNTIFS(Sheet1!$B$2:$B$185,K$15,Sheet1!$F$2:$F$185,$A35)</f>
        <v>0</v>
      </c>
      <c r="L35" s="18"/>
      <c r="M35" s="18"/>
      <c r="N35" s="18"/>
      <c r="O35" s="18"/>
      <c r="P35" s="18"/>
      <c r="Q35" s="18"/>
    </row>
    <row r="36" spans="1:17" ht="14.5">
      <c r="A36" s="25">
        <v>26</v>
      </c>
      <c r="B36" s="20">
        <f>IFERROR(INDEX('ملخص البطولات'!$L$4:$L$26,MATCH($A36,'ملخص البطولات'!$A$4:$A$26,0)),IF($A36&lt;=13,1,IF($A36&lt;=52,MIN(4,ROUNDUP($A36/11,0)),ROUNDUP($A36/13,0))))</f>
        <v>3</v>
      </c>
      <c r="C36" s="20">
        <f>IFERROR(INDEX('ملخص البطولات'!$K$4:$K$26,MATCH($A36,'ملخص البطولات'!$A$4:$A$26,0)),IF(MOD($A36,$B36)=0,0,MOD($A36,$B36)*INDEX($N$16:$N$24,MATCH(INT($A36/$B36)+1,$M$16:$M$24,0)))+($B36-MOD($A36,$B36))*INDEX($N$16:$N$24,MATCH(INT($A36/$B36),$M$16:$M$24,0)))</f>
        <v>10</v>
      </c>
      <c r="D36" s="20" t="str">
        <f>IF(ISNUMBER(MATCH($A36,'ملخص البطولات'!$A$4:$A$26,0)),"من ملخص البطولات","حسب القاعدة")</f>
        <v>حسب القاعدة</v>
      </c>
      <c r="E36" s="20">
        <f>COUNTIFS(Sheet1!$B$2:$B$185,E$15,Sheet1!$F$2:$F$185,$A36)</f>
        <v>0</v>
      </c>
      <c r="F36" s="20">
        <f>COUNTIFS(Sheet1!$B$2:$B$185,F$15,Sheet1!$F$2:$F$185,$A36)</f>
        <v>0</v>
      </c>
      <c r="G36" s="20">
        <f>COUNTIFS(Sheet1!$B$2:$B$185,G$15,Sheet1!$F$2:$F$185,$A36)</f>
        <v>0</v>
      </c>
      <c r="H36" s="20">
        <f>COUNTIFS(Sheet1!$B$2:$B$185,H$15,Sheet1!$F$2:$F$185,$A36)</f>
        <v>0</v>
      </c>
      <c r="I36" s="20">
        <f>COUNTIFS(Sheet1!$B$2:$B$185,I$15,Sheet1!$F$2:$F$185,$A36)</f>
        <v>0</v>
      </c>
      <c r="J36" s="20">
        <f>COUNTIFS(Sheet1!$B$2:$B$185,J$15,Sheet1!$F$2:$F$185,$A36)</f>
        <v>0</v>
      </c>
      <c r="K36" s="20">
        <f>COUNTIFS(Sheet1!$B$2:$B$185,K$15,Sheet1!$F$2:$F$185,$A36)</f>
        <v>1</v>
      </c>
      <c r="L36" s="18"/>
      <c r="M36" s="18"/>
      <c r="N36" s="18"/>
      <c r="O36" s="18"/>
      <c r="P36" s="18"/>
      <c r="Q36" s="18"/>
    </row>
    <row r="37" spans="1:17" ht="14.5">
      <c r="A37" s="25">
        <v>27</v>
      </c>
      <c r="B37" s="20">
        <f>IFERROR(INDEX('ملخص البطولات'!$L$4:$L$26,MATCH($A37,'ملخص البطولات'!$A$4:$A$26,0)),IF($A37&lt;=13,1,IF($A37&lt;=52,MIN(4,ROUNDUP($A37/11,0)),ROUNDUP($A37/13,0))))</f>
        <v>3</v>
      </c>
      <c r="C37" s="20">
        <f>IFERROR(INDEX('ملخص البطولات'!$K$4:$K$26,MATCH($A37,'ملخص البطولات'!$A$4:$A$26,0)),IF(MOD($A37,$B37)=0,0,MOD($A37,$B37)*INDEX($N$16:$N$24,MATCH(INT($A37/$B37)+1,$M$16:$M$24,0)))+($B37-MOD($A37,$B37))*INDEX($N$16:$N$24,MATCH(INT($A37/$B37),$M$16:$M$24,0)))</f>
        <v>9</v>
      </c>
      <c r="D37" s="20" t="str">
        <f>IF(ISNUMBER(MATCH($A37,'ملخص البطولات'!$A$4:$A$26,0)),"من ملخص البطولات","حسب القاعدة")</f>
        <v>حسب القاعدة</v>
      </c>
      <c r="E37" s="20">
        <f>COUNTIFS(Sheet1!$B$2:$B$185,E$15,Sheet1!$F$2:$F$185,$A37)</f>
        <v>0</v>
      </c>
      <c r="F37" s="20">
        <f>COUNTIFS(Sheet1!$B$2:$B$185,F$15,Sheet1!$F$2:$F$185,$A37)</f>
        <v>0</v>
      </c>
      <c r="G37" s="20">
        <f>COUNTIFS(Sheet1!$B$2:$B$185,G$15,Sheet1!$F$2:$F$185,$A37)</f>
        <v>0</v>
      </c>
      <c r="H37" s="20">
        <f>COUNTIFS(Sheet1!$B$2:$B$185,H$15,Sheet1!$F$2:$F$185,$A37)</f>
        <v>1</v>
      </c>
      <c r="I37" s="20">
        <f>COUNTIFS(Sheet1!$B$2:$B$185,I$15,Sheet1!$F$2:$F$185,$A37)</f>
        <v>1</v>
      </c>
      <c r="J37" s="20">
        <f>COUNTIFS(Sheet1!$B$2:$B$185,J$15,Sheet1!$F$2:$F$185,$A37)</f>
        <v>0</v>
      </c>
      <c r="K37" s="20">
        <f>COUNTIFS(Sheet1!$B$2:$B$185,K$15,Sheet1!$F$2:$F$185,$A37)</f>
        <v>0</v>
      </c>
      <c r="L37" s="18"/>
      <c r="M37" s="18"/>
      <c r="N37" s="18"/>
      <c r="O37" s="18"/>
      <c r="P37" s="18"/>
      <c r="Q37" s="18"/>
    </row>
    <row r="38" spans="1:17" ht="14.5">
      <c r="A38" s="25">
        <v>28</v>
      </c>
      <c r="B38" s="20">
        <f>IFERROR(INDEX('ملخص البطولات'!$L$4:$L$26,MATCH($A38,'ملخص البطولات'!$A$4:$A$26,0)),IF($A38&lt;=13,1,IF($A38&lt;=52,MIN(4,ROUNDUP($A38/11,0)),ROUNDUP($A38/13,0))))</f>
        <v>3</v>
      </c>
      <c r="C38" s="20">
        <f>IFERROR(INDEX('ملخص البطولات'!$K$4:$K$26,MATCH($A38,'ملخص البطولات'!$A$4:$A$26,0)),IF(MOD($A38,$B38)=0,0,MOD($A38,$B38)*INDEX($N$16:$N$24,MATCH(INT($A38/$B38)+1,$M$16:$M$24,0)))+($B38-MOD($A38,$B38))*INDEX($N$16:$N$24,MATCH(INT($A38/$B38),$M$16:$M$24,0)))</f>
        <v>10</v>
      </c>
      <c r="D38" s="20" t="str">
        <f>IF(ISNUMBER(MATCH($A38,'ملخص البطولات'!$A$4:$A$26,0)),"من ملخص البطولات","حسب القاعدة")</f>
        <v>من ملخص البطولات</v>
      </c>
      <c r="E38" s="20">
        <f>COUNTIFS(Sheet1!$B$2:$B$185,E$15,Sheet1!$F$2:$F$185,$A38)</f>
        <v>0</v>
      </c>
      <c r="F38" s="20">
        <f>COUNTIFS(Sheet1!$B$2:$B$185,F$15,Sheet1!$F$2:$F$185,$A38)</f>
        <v>0</v>
      </c>
      <c r="G38" s="20">
        <f>COUNTIFS(Sheet1!$B$2:$B$185,G$15,Sheet1!$F$2:$F$185,$A38)</f>
        <v>1</v>
      </c>
      <c r="H38" s="20">
        <f>COUNTIFS(Sheet1!$B$2:$B$185,H$15,Sheet1!$F$2:$F$185,$A38)</f>
        <v>0</v>
      </c>
      <c r="I38" s="20">
        <f>COUNTIFS(Sheet1!$B$2:$B$185,I$15,Sheet1!$F$2:$F$185,$A38)</f>
        <v>0</v>
      </c>
      <c r="J38" s="20">
        <f>COUNTIFS(Sheet1!$B$2:$B$185,J$15,Sheet1!$F$2:$F$185,$A38)</f>
        <v>0</v>
      </c>
      <c r="K38" s="20">
        <f>COUNTIFS(Sheet1!$B$2:$B$185,K$15,Sheet1!$F$2:$F$185,$A38)</f>
        <v>1</v>
      </c>
      <c r="L38" s="18"/>
      <c r="M38" s="18"/>
      <c r="N38" s="18"/>
      <c r="O38" s="18"/>
      <c r="P38" s="18"/>
      <c r="Q38" s="18"/>
    </row>
    <row r="39" spans="1:17" ht="14.5">
      <c r="A39" s="25">
        <v>29</v>
      </c>
      <c r="B39" s="20">
        <f>IFERROR(INDEX('ملخص البطولات'!$L$4:$L$26,MATCH($A39,'ملخص البطولات'!$A$4:$A$26,0)),IF($A39&lt;=13,1,IF($A39&lt;=52,MIN(4,ROUNDUP($A39/11,0)),ROUNDUP($A39/13,0))))</f>
        <v>3</v>
      </c>
      <c r="C39" s="20">
        <f>IFERROR(INDEX('ملخص البطولات'!$K$4:$K$26,MATCH($A39,'ملخص البطولات'!$A$4:$A$26,0)),IF(MOD($A39,$B39)=0,0,MOD($A39,$B39)*INDEX($N$16:$N$24,MATCH(INT($A39/$B39)+1,$M$16:$M$24,0)))+($B39-MOD($A39,$B39))*INDEX($N$16:$N$24,MATCH(INT($A39/$B39),$M$16:$M$24,0)))</f>
        <v>11</v>
      </c>
      <c r="D39" s="20" t="str">
        <f>IF(ISNUMBER(MATCH($A39,'ملخص البطولات'!$A$4:$A$26,0)),"من ملخص البطولات","حسب القاعدة")</f>
        <v>من ملخص البطولات</v>
      </c>
      <c r="E39" s="20">
        <f>COUNTIFS(Sheet1!$B$2:$B$185,E$15,Sheet1!$F$2:$F$185,$A39)</f>
        <v>0</v>
      </c>
      <c r="F39" s="20">
        <f>COUNTIFS(Sheet1!$B$2:$B$185,F$15,Sheet1!$F$2:$F$185,$A39)</f>
        <v>0</v>
      </c>
      <c r="G39" s="20">
        <f>COUNTIFS(Sheet1!$B$2:$B$185,G$15,Sheet1!$F$2:$F$185,$A39)</f>
        <v>1</v>
      </c>
      <c r="H39" s="20">
        <f>COUNTIFS(Sheet1!$B$2:$B$185,H$15,Sheet1!$F$2:$F$185,$A39)</f>
        <v>0</v>
      </c>
      <c r="I39" s="20">
        <f>COUNTIFS(Sheet1!$B$2:$B$185,I$15,Sheet1!$F$2:$F$185,$A39)</f>
        <v>1</v>
      </c>
      <c r="J39" s="20">
        <f>COUNTIFS(Sheet1!$B$2:$B$185,J$15,Sheet1!$F$2:$F$185,$A39)</f>
        <v>1</v>
      </c>
      <c r="K39" s="20">
        <f>COUNTIFS(Sheet1!$B$2:$B$185,K$15,Sheet1!$F$2:$F$185,$A39)</f>
        <v>0</v>
      </c>
      <c r="L39" s="18"/>
      <c r="M39" s="18"/>
      <c r="N39" s="18"/>
      <c r="O39" s="18"/>
      <c r="P39" s="18"/>
      <c r="Q39" s="18"/>
    </row>
    <row r="40" spans="1:17" ht="14.5">
      <c r="A40" s="25">
        <v>30</v>
      </c>
      <c r="B40" s="20">
        <f>IFERROR(INDEX('ملخص البطولات'!$L$4:$L$26,MATCH($A40,'ملخص البطولات'!$A$4:$A$26,0)),IF($A40&lt;=13,1,IF($A40&lt;=52,MIN(4,ROUNDUP($A40/11,0)),ROUNDUP($A40/13,0))))</f>
        <v>3</v>
      </c>
      <c r="C40" s="20">
        <f>IFERROR(INDEX('ملخص البطولات'!$K$4:$K$26,MATCH($A40,'ملخص البطولات'!$A$4:$A$26,0)),IF(MOD($A40,$B40)=0,0,MOD($A40,$B40)*INDEX($N$16:$N$24,MATCH(INT($A40/$B40)+1,$M$16:$M$24,0)))+($B40-MOD($A40,$B40))*INDEX($N$16:$N$24,MATCH(INT($A40/$B40),$M$16:$M$24,0)))</f>
        <v>12</v>
      </c>
      <c r="D40" s="20" t="str">
        <f>IF(ISNUMBER(MATCH($A40,'ملخص البطولات'!$A$4:$A$26,0)),"من ملخص البطولات","حسب القاعدة")</f>
        <v>من ملخص البطولات</v>
      </c>
      <c r="E40" s="20">
        <f>COUNTIFS(Sheet1!$B$2:$B$185,E$15,Sheet1!$F$2:$F$185,$A40)</f>
        <v>0</v>
      </c>
      <c r="F40" s="20">
        <f>COUNTIFS(Sheet1!$B$2:$B$185,F$15,Sheet1!$F$2:$F$185,$A40)</f>
        <v>1</v>
      </c>
      <c r="G40" s="20">
        <f>COUNTIFS(Sheet1!$B$2:$B$185,G$15,Sheet1!$F$2:$F$185,$A40)</f>
        <v>0</v>
      </c>
      <c r="H40" s="20">
        <f>COUNTIFS(Sheet1!$B$2:$B$185,H$15,Sheet1!$F$2:$F$185,$A40)</f>
        <v>0</v>
      </c>
      <c r="I40" s="20">
        <f>COUNTIFS(Sheet1!$B$2:$B$185,I$15,Sheet1!$F$2:$F$185,$A40)</f>
        <v>0</v>
      </c>
      <c r="J40" s="20">
        <f>COUNTIFS(Sheet1!$B$2:$B$185,J$15,Sheet1!$F$2:$F$185,$A40)</f>
        <v>0</v>
      </c>
      <c r="K40" s="20">
        <f>COUNTIFS(Sheet1!$B$2:$B$185,K$15,Sheet1!$F$2:$F$185,$A40)</f>
        <v>0</v>
      </c>
      <c r="L40" s="18"/>
      <c r="M40" s="18"/>
      <c r="N40" s="18"/>
      <c r="O40" s="18"/>
      <c r="P40" s="18"/>
      <c r="Q40" s="18"/>
    </row>
    <row r="41" spans="1:17" ht="14.5">
      <c r="A41" s="25">
        <v>31</v>
      </c>
      <c r="B41" s="20">
        <f>IFERROR(INDEX('ملخص البطولات'!$L$4:$L$26,MATCH($A41,'ملخص البطولات'!$A$4:$A$26,0)),IF($A41&lt;=13,1,IF($A41&lt;=52,MIN(4,ROUNDUP($A41/11,0)),ROUNDUP($A41/13,0))))</f>
        <v>3</v>
      </c>
      <c r="C41" s="20">
        <f>IFERROR(INDEX('ملخص البطولات'!$K$4:$K$26,MATCH($A41,'ملخص البطولات'!$A$4:$A$26,0)),IF(MOD($A41,$B41)=0,0,MOD($A41,$B41)*INDEX($N$16:$N$24,MATCH(INT($A41/$B41)+1,$M$16:$M$24,0)))+($B41-MOD($A41,$B41))*INDEX($N$16:$N$24,MATCH(INT($A41/$B41),$M$16:$M$24,0)))</f>
        <v>12</v>
      </c>
      <c r="D41" s="20" t="str">
        <f>IF(ISNUMBER(MATCH($A41,'ملخص البطولات'!$A$4:$A$26,0)),"من ملخص البطولات","حسب القاعدة")</f>
        <v>من ملخص البطولات</v>
      </c>
      <c r="E41" s="20">
        <f>COUNTIFS(Sheet1!$B$2:$B$185,E$15,Sheet1!$F$2:$F$185,$A41)</f>
        <v>0</v>
      </c>
      <c r="F41" s="20">
        <f>COUNTIFS(Sheet1!$B$2:$B$185,F$15,Sheet1!$F$2:$F$185,$A41)</f>
        <v>1</v>
      </c>
      <c r="G41" s="20">
        <f>COUNTIFS(Sheet1!$B$2:$B$185,G$15,Sheet1!$F$2:$F$185,$A41)</f>
        <v>1</v>
      </c>
      <c r="H41" s="20">
        <f>COUNTIFS(Sheet1!$B$2:$B$185,H$15,Sheet1!$F$2:$F$185,$A41)</f>
        <v>0</v>
      </c>
      <c r="I41" s="20">
        <f>COUNTIFS(Sheet1!$B$2:$B$185,I$15,Sheet1!$F$2:$F$185,$A41)</f>
        <v>0</v>
      </c>
      <c r="J41" s="20">
        <f>COUNTIFS(Sheet1!$B$2:$B$185,J$15,Sheet1!$F$2:$F$185,$A41)</f>
        <v>0</v>
      </c>
      <c r="K41" s="20">
        <f>COUNTIFS(Sheet1!$B$2:$B$185,K$15,Sheet1!$F$2:$F$185,$A41)</f>
        <v>0</v>
      </c>
      <c r="L41" s="18"/>
      <c r="M41" s="18"/>
      <c r="N41" s="18"/>
      <c r="O41" s="18"/>
      <c r="P41" s="18"/>
      <c r="Q41" s="18"/>
    </row>
    <row r="42" spans="1:17" ht="14.5">
      <c r="A42" s="25">
        <v>34</v>
      </c>
      <c r="B42" s="20">
        <f>IFERROR(INDEX('ملخص البطولات'!$L$4:$L$26,MATCH($A42,'ملخص البطولات'!$A$4:$A$26,0)),IF($A42&lt;=13,1,IF($A42&lt;=52,MIN(4,ROUNDUP($A42/11,0)),ROUNDUP($A42/13,0))))</f>
        <v>4</v>
      </c>
      <c r="C42" s="20">
        <f>IFERROR(INDEX('ملخص البطولات'!$K$4:$K$26,MATCH($A42,'ملخص البطولات'!$A$4:$A$26,0)),IF(MOD($A42,$B42)=0,0,MOD($A42,$B42)*INDEX($N$16:$N$24,MATCH(INT($A42/$B42)+1,$M$16:$M$24,0)))+($B42-MOD($A42,$B42))*INDEX($N$16:$N$24,MATCH(INT($A42/$B42),$M$16:$M$24,0)))</f>
        <v>14</v>
      </c>
      <c r="D42" s="20" t="str">
        <f>IF(ISNUMBER(MATCH($A42,'ملخص البطولات'!$A$4:$A$26,0)),"من ملخص البطولات","حسب القاعدة")</f>
        <v>حسب القاعدة</v>
      </c>
      <c r="E42" s="20">
        <f>COUNTIFS(Sheet1!$B$2:$B$185,E$15,Sheet1!$F$2:$F$185,$A42)</f>
        <v>0</v>
      </c>
      <c r="F42" s="20">
        <f>COUNTIFS(Sheet1!$B$2:$B$185,F$15,Sheet1!$F$2:$F$185,$A42)</f>
        <v>0</v>
      </c>
      <c r="G42" s="20">
        <f>COUNTIFS(Sheet1!$B$2:$B$185,G$15,Sheet1!$F$2:$F$185,$A42)</f>
        <v>0</v>
      </c>
      <c r="H42" s="20">
        <f>COUNTIFS(Sheet1!$B$2:$B$185,H$15,Sheet1!$F$2:$F$185,$A42)</f>
        <v>0</v>
      </c>
      <c r="I42" s="20">
        <f>COUNTIFS(Sheet1!$B$2:$B$185,I$15,Sheet1!$F$2:$F$185,$A42)</f>
        <v>0</v>
      </c>
      <c r="J42" s="20">
        <f>COUNTIFS(Sheet1!$B$2:$B$185,J$15,Sheet1!$F$2:$F$185,$A42)</f>
        <v>2</v>
      </c>
      <c r="K42" s="20">
        <f>COUNTIFS(Sheet1!$B$2:$B$185,K$15,Sheet1!$F$2:$F$185,$A42)</f>
        <v>0</v>
      </c>
      <c r="L42" s="18"/>
      <c r="M42" s="18"/>
      <c r="N42" s="18"/>
      <c r="O42" s="18"/>
      <c r="P42" s="18"/>
      <c r="Q42" s="18"/>
    </row>
    <row r="43" spans="1:17" ht="14.5">
      <c r="A43" s="25">
        <v>35</v>
      </c>
      <c r="B43" s="20">
        <f>IFERROR(INDEX('ملخص البطولات'!$L$4:$L$26,MATCH($A43,'ملخص البطولات'!$A$4:$A$26,0)),IF($A43&lt;=13,1,IF($A43&lt;=52,MIN(4,ROUNDUP($A43/11,0)),ROUNDUP($A43/13,0))))</f>
        <v>4</v>
      </c>
      <c r="C43" s="20">
        <f>IFERROR(INDEX('ملخص البطولات'!$K$4:$K$26,MATCH($A43,'ملخص البطولات'!$A$4:$A$26,0)),IF(MOD($A43,$B43)=0,0,MOD($A43,$B43)*INDEX($N$16:$N$24,MATCH(INT($A43/$B43)+1,$M$16:$M$24,0)))+($B43-MOD($A43,$B43))*INDEX($N$16:$N$24,MATCH(INT($A43/$B43),$M$16:$M$24,0)))</f>
        <v>13</v>
      </c>
      <c r="D43" s="20" t="str">
        <f>IF(ISNUMBER(MATCH($A43,'ملخص البطولات'!$A$4:$A$26,0)),"من ملخص البطولات","حسب القاعدة")</f>
        <v>حسب القاعدة</v>
      </c>
      <c r="E43" s="20">
        <f>COUNTIFS(Sheet1!$B$2:$B$185,E$15,Sheet1!$F$2:$F$185,$A43)</f>
        <v>0</v>
      </c>
      <c r="F43" s="20">
        <f>COUNTIFS(Sheet1!$B$2:$B$185,F$15,Sheet1!$F$2:$F$185,$A43)</f>
        <v>0</v>
      </c>
      <c r="G43" s="20">
        <f>COUNTIFS(Sheet1!$B$2:$B$185,G$15,Sheet1!$F$2:$F$185,$A43)</f>
        <v>0</v>
      </c>
      <c r="H43" s="20">
        <f>COUNTIFS(Sheet1!$B$2:$B$185,H$15,Sheet1!$F$2:$F$185,$A43)</f>
        <v>1</v>
      </c>
      <c r="I43" s="20">
        <f>COUNTIFS(Sheet1!$B$2:$B$185,I$15,Sheet1!$F$2:$F$185,$A43)</f>
        <v>0</v>
      </c>
      <c r="J43" s="20">
        <f>COUNTIFS(Sheet1!$B$2:$B$185,J$15,Sheet1!$F$2:$F$185,$A43)</f>
        <v>0</v>
      </c>
      <c r="K43" s="20">
        <f>COUNTIFS(Sheet1!$B$2:$B$185,K$15,Sheet1!$F$2:$F$185,$A43)</f>
        <v>0</v>
      </c>
      <c r="L43" s="18"/>
      <c r="M43" s="18"/>
      <c r="N43" s="18"/>
      <c r="O43" s="18"/>
      <c r="P43" s="18"/>
      <c r="Q43" s="18"/>
    </row>
    <row r="44" spans="1:17" ht="14.5">
      <c r="A44" s="25">
        <v>38</v>
      </c>
      <c r="B44" s="20">
        <f>IFERROR(INDEX('ملخص البطولات'!$L$4:$L$26,MATCH($A44,'ملخص البطولات'!$A$4:$A$26,0)),IF($A44&lt;=13,1,IF($A44&lt;=52,MIN(4,ROUNDUP($A44/11,0)),ROUNDUP($A44/13,0))))</f>
        <v>4</v>
      </c>
      <c r="C44" s="20">
        <f>IFERROR(INDEX('ملخص البطولات'!$K$4:$K$26,MATCH($A44,'ملخص البطولات'!$A$4:$A$26,0)),IF(MOD($A44,$B44)=0,0,MOD($A44,$B44)*INDEX($N$16:$N$24,MATCH(INT($A44/$B44)+1,$M$16:$M$24,0)))+($B44-MOD($A44,$B44))*INDEX($N$16:$N$24,MATCH(INT($A44/$B44),$M$16:$M$24,0)))</f>
        <v>14</v>
      </c>
      <c r="D44" s="20" t="str">
        <f>IF(ISNUMBER(MATCH($A44,'ملخص البطولات'!$A$4:$A$26,0)),"من ملخص البطولات","حسب القاعدة")</f>
        <v>حسب القاعدة</v>
      </c>
      <c r="E44" s="20">
        <f>COUNTIFS(Sheet1!$B$2:$B$185,E$15,Sheet1!$F$2:$F$185,$A44)</f>
        <v>0</v>
      </c>
      <c r="F44" s="20">
        <f>COUNTIFS(Sheet1!$B$2:$B$185,F$15,Sheet1!$F$2:$F$185,$A44)</f>
        <v>0</v>
      </c>
      <c r="G44" s="20">
        <f>COUNTIFS(Sheet1!$B$2:$B$185,G$15,Sheet1!$F$2:$F$185,$A44)</f>
        <v>0</v>
      </c>
      <c r="H44" s="20">
        <f>COUNTIFS(Sheet1!$B$2:$B$185,H$15,Sheet1!$F$2:$F$185,$A44)</f>
        <v>0</v>
      </c>
      <c r="I44" s="20">
        <f>COUNTIFS(Sheet1!$B$2:$B$185,I$15,Sheet1!$F$2:$F$185,$A44)</f>
        <v>0</v>
      </c>
      <c r="J44" s="20">
        <f>COUNTIFS(Sheet1!$B$2:$B$185,J$15,Sheet1!$F$2:$F$185,$A44)</f>
        <v>0</v>
      </c>
      <c r="K44" s="20">
        <f>COUNTIFS(Sheet1!$B$2:$B$185,K$15,Sheet1!$F$2:$F$185,$A44)</f>
        <v>1</v>
      </c>
      <c r="L44" s="18"/>
      <c r="M44" s="18"/>
      <c r="N44" s="18"/>
      <c r="O44" s="18"/>
      <c r="P44" s="18"/>
      <c r="Q44" s="18"/>
    </row>
    <row r="45" spans="1:17" ht="14.5">
      <c r="A45" s="25">
        <v>39</v>
      </c>
      <c r="B45" s="20">
        <f>IFERROR(INDEX('ملخص البطولات'!$L$4:$L$26,MATCH($A45,'ملخص البطولات'!$A$4:$A$26,0)),IF($A45&lt;=13,1,IF($A45&lt;=52,MIN(4,ROUNDUP($A45/11,0)),ROUNDUP($A45/13,0))))</f>
        <v>4</v>
      </c>
      <c r="C45" s="20">
        <f>IFERROR(INDEX('ملخص البطولات'!$K$4:$K$26,MATCH($A45,'ملخص البطولات'!$A$4:$A$26,0)),IF(MOD($A45,$B45)=0,0,MOD($A45,$B45)*INDEX($N$16:$N$24,MATCH(INT($A45/$B45)+1,$M$16:$M$24,0)))+($B45-MOD($A45,$B45))*INDEX($N$16:$N$24,MATCH(INT($A45/$B45),$M$16:$M$24,0)))</f>
        <v>15</v>
      </c>
      <c r="D45" s="20" t="str">
        <f>IF(ISNUMBER(MATCH($A45,'ملخص البطولات'!$A$4:$A$26,0)),"من ملخص البطولات","حسب القاعدة")</f>
        <v>حسب القاعدة</v>
      </c>
      <c r="E45" s="20">
        <f>COUNTIFS(Sheet1!$B$2:$B$185,E$15,Sheet1!$F$2:$F$185,$A45)</f>
        <v>0</v>
      </c>
      <c r="F45" s="20">
        <f>COUNTIFS(Sheet1!$B$2:$B$185,F$15,Sheet1!$F$2:$F$185,$A45)</f>
        <v>0</v>
      </c>
      <c r="G45" s="20">
        <f>COUNTIFS(Sheet1!$B$2:$B$185,G$15,Sheet1!$F$2:$F$185,$A45)</f>
        <v>0</v>
      </c>
      <c r="H45" s="20">
        <f>COUNTIFS(Sheet1!$B$2:$B$185,H$15,Sheet1!$F$2:$F$185,$A45)</f>
        <v>0</v>
      </c>
      <c r="I45" s="20">
        <f>COUNTIFS(Sheet1!$B$2:$B$185,I$15,Sheet1!$F$2:$F$185,$A45)</f>
        <v>0</v>
      </c>
      <c r="J45" s="20">
        <f>COUNTIFS(Sheet1!$B$2:$B$185,J$15,Sheet1!$F$2:$F$185,$A45)</f>
        <v>0</v>
      </c>
      <c r="K45" s="20">
        <f>COUNTIFS(Sheet1!$B$2:$B$185,K$15,Sheet1!$F$2:$F$185,$A45)</f>
        <v>1</v>
      </c>
      <c r="L45" s="18"/>
      <c r="M45" s="18"/>
      <c r="N45" s="18"/>
      <c r="O45" s="18"/>
      <c r="P45" s="18"/>
      <c r="Q45" s="18"/>
    </row>
    <row r="46" spans="1:17" ht="14.5">
      <c r="A46" s="25">
        <v>40</v>
      </c>
      <c r="B46" s="20">
        <f>IFERROR(INDEX('ملخص البطولات'!$L$4:$L$26,MATCH($A46,'ملخص البطولات'!$A$4:$A$26,0)),IF($A46&lt;=13,1,IF($A46&lt;=52,MIN(4,ROUNDUP($A46/11,0)),ROUNDUP($A46/13,0))))</f>
        <v>4</v>
      </c>
      <c r="C46" s="20">
        <f>IFERROR(INDEX('ملخص البطولات'!$K$4:$K$26,MATCH($A46,'ملخص البطولات'!$A$4:$A$26,0)),IF(MOD($A46,$B46)=0,0,MOD($A46,$B46)*INDEX($N$16:$N$24,MATCH(INT($A46/$B46)+1,$M$16:$M$24,0)))+($B46-MOD($A46,$B46))*INDEX($N$16:$N$24,MATCH(INT($A46/$B46),$M$16:$M$24,0)))</f>
        <v>16</v>
      </c>
      <c r="D46" s="20" t="str">
        <f>IF(ISNUMBER(MATCH($A46,'ملخص البطولات'!$A$4:$A$26,0)),"من ملخص البطولات","حسب القاعدة")</f>
        <v>من ملخص البطولات</v>
      </c>
      <c r="E46" s="20">
        <f>COUNTIFS(Sheet1!$B$2:$B$185,E$15,Sheet1!$F$2:$F$185,$A46)</f>
        <v>0</v>
      </c>
      <c r="F46" s="20">
        <f>COUNTIFS(Sheet1!$B$2:$B$185,F$15,Sheet1!$F$2:$F$185,$A46)</f>
        <v>0</v>
      </c>
      <c r="G46" s="20">
        <f>COUNTIFS(Sheet1!$B$2:$B$185,G$15,Sheet1!$F$2:$F$185,$A46)</f>
        <v>1</v>
      </c>
      <c r="H46" s="20">
        <f>COUNTIFS(Sheet1!$B$2:$B$185,H$15,Sheet1!$F$2:$F$185,$A46)</f>
        <v>0</v>
      </c>
      <c r="I46" s="20">
        <f>COUNTIFS(Sheet1!$B$2:$B$185,I$15,Sheet1!$F$2:$F$185,$A46)</f>
        <v>0</v>
      </c>
      <c r="J46" s="20">
        <f>COUNTIFS(Sheet1!$B$2:$B$185,J$15,Sheet1!$F$2:$F$185,$A46)</f>
        <v>0</v>
      </c>
      <c r="K46" s="20">
        <f>COUNTIFS(Sheet1!$B$2:$B$185,K$15,Sheet1!$F$2:$F$185,$A46)</f>
        <v>0</v>
      </c>
      <c r="L46" s="18"/>
      <c r="M46" s="18"/>
      <c r="N46" s="18"/>
      <c r="O46" s="18"/>
      <c r="P46" s="18"/>
      <c r="Q46" s="18"/>
    </row>
    <row r="47" spans="1:17" ht="14.5">
      <c r="A47" s="25">
        <v>48</v>
      </c>
      <c r="B47" s="20">
        <f>IFERROR(INDEX('ملخص البطولات'!$L$4:$L$26,MATCH($A47,'ملخص البطولات'!$A$4:$A$26,0)),IF($A47&lt;=13,1,IF($A47&lt;=52,MIN(4,ROUNDUP($A47/11,0)),ROUNDUP($A47/13,0))))</f>
        <v>4</v>
      </c>
      <c r="C47" s="20">
        <f>IFERROR(INDEX('ملخص البطولات'!$K$4:$K$26,MATCH($A47,'ملخص البطولات'!$A$4:$A$26,0)),IF(MOD($A47,$B47)=0,0,MOD($A47,$B47)*INDEX($N$16:$N$24,MATCH(INT($A47/$B47)+1,$M$16:$M$24,0)))+($B47-MOD($A47,$B47))*INDEX($N$16:$N$24,MATCH(INT($A47/$B47),$M$16:$M$24,0)))</f>
        <v>16</v>
      </c>
      <c r="D47" s="20" t="str">
        <f>IF(ISNUMBER(MATCH($A47,'ملخص البطولات'!$A$4:$A$26,0)),"من ملخص البطولات","حسب القاعدة")</f>
        <v>حسب القاعدة</v>
      </c>
      <c r="E47" s="20">
        <f>COUNTIFS(Sheet1!$B$2:$B$185,E$15,Sheet1!$F$2:$F$185,$A47)</f>
        <v>0</v>
      </c>
      <c r="F47" s="20">
        <f>COUNTIFS(Sheet1!$B$2:$B$185,F$15,Sheet1!$F$2:$F$185,$A47)</f>
        <v>0</v>
      </c>
      <c r="G47" s="20">
        <f>COUNTIFS(Sheet1!$B$2:$B$185,G$15,Sheet1!$F$2:$F$185,$A47)</f>
        <v>0</v>
      </c>
      <c r="H47" s="20">
        <f>COUNTIFS(Sheet1!$B$2:$B$185,H$15,Sheet1!$F$2:$F$185,$A47)</f>
        <v>1</v>
      </c>
      <c r="I47" s="20">
        <f>COUNTIFS(Sheet1!$B$2:$B$185,I$15,Sheet1!$F$2:$F$185,$A47)</f>
        <v>0</v>
      </c>
      <c r="J47" s="20">
        <f>COUNTIFS(Sheet1!$B$2:$B$185,J$15,Sheet1!$F$2:$F$185,$A47)</f>
        <v>0</v>
      </c>
      <c r="K47" s="20">
        <f>COUNTIFS(Sheet1!$B$2:$B$185,K$15,Sheet1!$F$2:$F$185,$A47)</f>
        <v>0</v>
      </c>
      <c r="L47" s="18"/>
      <c r="M47" s="18"/>
      <c r="N47" s="18"/>
      <c r="O47" s="18"/>
      <c r="P47" s="18"/>
      <c r="Q47" s="18"/>
    </row>
    <row r="48" spans="1:17" ht="14.5">
      <c r="A48" s="25">
        <v>49</v>
      </c>
      <c r="B48" s="20">
        <f>IFERROR(INDEX('ملخص البطولات'!$L$4:$L$26,MATCH($A48,'ملخص البطولات'!$A$4:$A$26,0)),IF($A48&lt;=13,1,IF($A48&lt;=52,MIN(4,ROUNDUP($A48/11,0)),ROUNDUP($A48/13,0))))</f>
        <v>4</v>
      </c>
      <c r="C48" s="20">
        <f>IFERROR(INDEX('ملخص البطولات'!$K$4:$K$26,MATCH($A48,'ملخص البطولات'!$A$4:$A$26,0)),IF(MOD($A48,$B48)=0,0,MOD($A48,$B48)*INDEX($N$16:$N$24,MATCH(INT($A48/$B48)+1,$M$16:$M$24,0)))+($B48-MOD($A48,$B48))*INDEX($N$16:$N$24,MATCH(INT($A48/$B48),$M$16:$M$24,0)))</f>
        <v>16</v>
      </c>
      <c r="D48" s="20" t="str">
        <f>IF(ISNUMBER(MATCH($A48,'ملخص البطولات'!$A$4:$A$26,0)),"من ملخص البطولات","حسب القاعدة")</f>
        <v>من ملخص البطولات</v>
      </c>
      <c r="E48" s="20">
        <f>COUNTIFS(Sheet1!$B$2:$B$185,E$15,Sheet1!$F$2:$F$185,$A48)</f>
        <v>0</v>
      </c>
      <c r="F48" s="20">
        <f>COUNTIFS(Sheet1!$B$2:$B$185,F$15,Sheet1!$F$2:$F$185,$A48)</f>
        <v>0</v>
      </c>
      <c r="G48" s="20">
        <f>COUNTIFS(Sheet1!$B$2:$B$185,G$15,Sheet1!$F$2:$F$185,$A48)</f>
        <v>1</v>
      </c>
      <c r="H48" s="20">
        <f>COUNTIFS(Sheet1!$B$2:$B$185,H$15,Sheet1!$F$2:$F$185,$A48)</f>
        <v>0</v>
      </c>
      <c r="I48" s="20">
        <f>COUNTIFS(Sheet1!$B$2:$B$185,I$15,Sheet1!$F$2:$F$185,$A48)</f>
        <v>1</v>
      </c>
      <c r="J48" s="20">
        <f>COUNTIFS(Sheet1!$B$2:$B$185,J$15,Sheet1!$F$2:$F$185,$A48)</f>
        <v>0</v>
      </c>
      <c r="K48" s="20">
        <f>COUNTIFS(Sheet1!$B$2:$B$185,K$15,Sheet1!$F$2:$F$185,$A48)</f>
        <v>0</v>
      </c>
      <c r="L48" s="18"/>
      <c r="M48" s="18"/>
      <c r="N48" s="18"/>
      <c r="O48" s="18"/>
      <c r="P48" s="18"/>
      <c r="Q48" s="18"/>
    </row>
    <row r="49" spans="1:17" ht="14.5">
      <c r="A49" s="25">
        <v>52</v>
      </c>
      <c r="B49" s="20">
        <f>IFERROR(INDEX('ملخص البطولات'!$L$4:$L$26,MATCH($A49,'ملخص البطولات'!$A$4:$A$26,0)),IF($A49&lt;=13,1,IF($A49&lt;=52,MIN(4,ROUNDUP($A49/11,0)),ROUNDUP($A49/13,0))))</f>
        <v>4</v>
      </c>
      <c r="C49" s="20">
        <f>IFERROR(INDEX('ملخص البطولات'!$K$4:$K$26,MATCH($A49,'ملخص البطولات'!$A$4:$A$26,0)),IF(MOD($A49,$B49)=0,0,MOD($A49,$B49)*INDEX($N$16:$N$24,MATCH(INT($A49/$B49)+1,$M$16:$M$24,0)))+($B49-MOD($A49,$B49))*INDEX($N$16:$N$24,MATCH(INT($A49/$B49),$M$16:$M$24,0)))</f>
        <v>16</v>
      </c>
      <c r="D49" s="20" t="str">
        <f>IF(ISNUMBER(MATCH($A49,'ملخص البطولات'!$A$4:$A$26,0)),"من ملخص البطولات","حسب القاعدة")</f>
        <v>حسب القاعدة</v>
      </c>
      <c r="E49" s="20">
        <f>COUNTIFS(Sheet1!$B$2:$B$185,E$15,Sheet1!$F$2:$F$185,$A49)</f>
        <v>0</v>
      </c>
      <c r="F49" s="20">
        <f>COUNTIFS(Sheet1!$B$2:$B$185,F$15,Sheet1!$F$2:$F$185,$A49)</f>
        <v>0</v>
      </c>
      <c r="G49" s="20">
        <f>COUNTIFS(Sheet1!$B$2:$B$185,G$15,Sheet1!$F$2:$F$185,$A49)</f>
        <v>0</v>
      </c>
      <c r="H49" s="20">
        <f>COUNTIFS(Sheet1!$B$2:$B$185,H$15,Sheet1!$F$2:$F$185,$A49)</f>
        <v>1</v>
      </c>
      <c r="I49" s="20">
        <f>COUNTIFS(Sheet1!$B$2:$B$185,I$15,Sheet1!$F$2:$F$185,$A49)</f>
        <v>0</v>
      </c>
      <c r="J49" s="20">
        <f>COUNTIFS(Sheet1!$B$2:$B$185,J$15,Sheet1!$F$2:$F$185,$A49)</f>
        <v>0</v>
      </c>
      <c r="K49" s="20">
        <f>COUNTIFS(Sheet1!$B$2:$B$185,K$15,Sheet1!$F$2:$F$185,$A49)</f>
        <v>0</v>
      </c>
      <c r="L49" s="18"/>
      <c r="M49" s="18"/>
      <c r="N49" s="18"/>
      <c r="O49" s="18"/>
      <c r="P49" s="18"/>
      <c r="Q49" s="18"/>
    </row>
    <row r="50" spans="1:17" ht="14.5">
      <c r="A50" s="25">
        <v>56</v>
      </c>
      <c r="B50" s="20">
        <f>IFERROR(INDEX('ملخص البطولات'!$L$4:$L$26,MATCH($A50,'ملخص البطولات'!$A$4:$A$26,0)),IF($A50&lt;=13,1,IF($A50&lt;=52,MIN(4,ROUNDUP($A50/11,0)),ROUNDUP($A50/13,0))))</f>
        <v>5</v>
      </c>
      <c r="C50" s="20">
        <f>IFERROR(INDEX('ملخص البطولات'!$K$4:$K$26,MATCH($A50,'ملخص البطولات'!$A$4:$A$26,0)),IF(MOD($A50,$B50)=0,0,MOD($A50,$B50)*INDEX($N$16:$N$24,MATCH(INT($A50/$B50)+1,$M$16:$M$24,0)))+($B50-MOD($A50,$B50))*INDEX($N$16:$N$24,MATCH(INT($A50/$B50),$M$16:$M$24,0)))</f>
        <v>20</v>
      </c>
      <c r="D50" s="20" t="str">
        <f>IF(ISNUMBER(MATCH($A50,'ملخص البطولات'!$A$4:$A$26,0)),"من ملخص البطولات","حسب القاعدة")</f>
        <v>حسب القاعدة</v>
      </c>
      <c r="E50" s="20">
        <f>COUNTIFS(Sheet1!$B$2:$B$185,E$15,Sheet1!$F$2:$F$185,$A50)</f>
        <v>0</v>
      </c>
      <c r="F50" s="20">
        <f>COUNTIFS(Sheet1!$B$2:$B$185,F$15,Sheet1!$F$2:$F$185,$A50)</f>
        <v>0</v>
      </c>
      <c r="G50" s="20">
        <f>COUNTIFS(Sheet1!$B$2:$B$185,G$15,Sheet1!$F$2:$F$185,$A50)</f>
        <v>0</v>
      </c>
      <c r="H50" s="20">
        <f>COUNTIFS(Sheet1!$B$2:$B$185,H$15,Sheet1!$F$2:$F$185,$A50)</f>
        <v>0</v>
      </c>
      <c r="I50" s="20">
        <f>COUNTIFS(Sheet1!$B$2:$B$185,I$15,Sheet1!$F$2:$F$185,$A50)</f>
        <v>1</v>
      </c>
      <c r="J50" s="20">
        <f>COUNTIFS(Sheet1!$B$2:$B$185,J$15,Sheet1!$F$2:$F$185,$A50)</f>
        <v>0</v>
      </c>
      <c r="K50" s="20">
        <f>COUNTIFS(Sheet1!$B$2:$B$185,K$15,Sheet1!$F$2:$F$185,$A50)</f>
        <v>0</v>
      </c>
      <c r="L50" s="18"/>
      <c r="M50" s="18"/>
      <c r="N50" s="18"/>
      <c r="O50" s="18"/>
      <c r="P50" s="18"/>
      <c r="Q50" s="18"/>
    </row>
    <row r="51" spans="1:17" ht="14.5">
      <c r="A51" s="25" t="s">
        <v>644</v>
      </c>
      <c r="B51" s="25"/>
      <c r="C51" s="25"/>
      <c r="D51" s="25"/>
      <c r="E51" s="25">
        <f t="shared" ref="E51:K51" si="0">SUM(E16:E50)</f>
        <v>21</v>
      </c>
      <c r="F51" s="25">
        <f t="shared" si="0"/>
        <v>24</v>
      </c>
      <c r="G51" s="25">
        <f t="shared" si="0"/>
        <v>28</v>
      </c>
      <c r="H51" s="25">
        <f t="shared" si="0"/>
        <v>26</v>
      </c>
      <c r="I51" s="25">
        <f t="shared" si="0"/>
        <v>30</v>
      </c>
      <c r="J51" s="25">
        <f t="shared" si="0"/>
        <v>27</v>
      </c>
      <c r="K51" s="25">
        <f t="shared" si="0"/>
        <v>28</v>
      </c>
      <c r="L51" s="18"/>
      <c r="M51" s="18"/>
      <c r="N51" s="18"/>
      <c r="O51" s="18"/>
      <c r="P51" s="18"/>
      <c r="Q51" s="18"/>
    </row>
    <row r="52" spans="1:17" ht="14.5">
      <c r="A52" s="18"/>
      <c r="B52" s="18"/>
      <c r="C52" s="18"/>
      <c r="D52" s="18"/>
      <c r="E52" s="18"/>
      <c r="F52" s="18"/>
      <c r="G52" s="18"/>
      <c r="H52" s="18"/>
      <c r="I52" s="18"/>
      <c r="J52" s="18"/>
      <c r="K52" s="18"/>
      <c r="L52" s="18"/>
      <c r="M52" s="18"/>
      <c r="N52" s="18"/>
      <c r="O52" s="18"/>
      <c r="P52" s="18"/>
      <c r="Q52" s="18"/>
    </row>
    <row r="53" spans="1:17" ht="14.5">
      <c r="A53" s="18"/>
      <c r="B53" s="18"/>
      <c r="C53" s="18"/>
      <c r="D53" s="18"/>
      <c r="E53" s="18"/>
      <c r="F53" s="18"/>
      <c r="G53" s="18"/>
      <c r="H53" s="18"/>
      <c r="I53" s="18"/>
      <c r="J53" s="18"/>
      <c r="K53" s="18"/>
      <c r="L53" s="18"/>
      <c r="M53" s="18"/>
      <c r="N53" s="18"/>
      <c r="O53" s="18"/>
      <c r="P53" s="18"/>
      <c r="Q53" s="18"/>
    </row>
    <row r="54" spans="1:17" ht="17">
      <c r="A54" s="118" t="s">
        <v>649</v>
      </c>
      <c r="B54" s="119"/>
      <c r="C54" s="119"/>
      <c r="D54" s="119"/>
      <c r="E54" s="119"/>
      <c r="F54" s="119"/>
      <c r="G54" s="119"/>
      <c r="H54" s="119"/>
      <c r="I54" s="119"/>
      <c r="J54" s="119"/>
      <c r="K54" s="119"/>
      <c r="L54" s="119"/>
      <c r="M54" s="119"/>
      <c r="N54" s="119"/>
      <c r="O54" s="119"/>
      <c r="P54" s="119"/>
      <c r="Q54" s="119"/>
    </row>
    <row r="55" spans="1:17" ht="32" customHeight="1">
      <c r="A55" s="54" t="s">
        <v>364</v>
      </c>
      <c r="B55" s="54" t="s">
        <v>561</v>
      </c>
      <c r="C55" s="54" t="s">
        <v>564</v>
      </c>
      <c r="D55" s="54" t="s">
        <v>565</v>
      </c>
      <c r="E55" s="54" t="s">
        <v>573</v>
      </c>
      <c r="F55" s="54" t="s">
        <v>568</v>
      </c>
      <c r="G55" s="54" t="s">
        <v>576</v>
      </c>
      <c r="H55" s="54" t="s">
        <v>558</v>
      </c>
      <c r="I55" s="54" t="s">
        <v>650</v>
      </c>
      <c r="J55" s="54" t="s">
        <v>561</v>
      </c>
      <c r="K55" s="54" t="s">
        <v>564</v>
      </c>
      <c r="L55" s="54" t="s">
        <v>565</v>
      </c>
      <c r="M55" s="54" t="s">
        <v>573</v>
      </c>
      <c r="N55" s="54" t="s">
        <v>568</v>
      </c>
      <c r="O55" s="54" t="s">
        <v>576</v>
      </c>
      <c r="P55" s="54" t="s">
        <v>558</v>
      </c>
      <c r="Q55" s="54" t="s">
        <v>651</v>
      </c>
    </row>
    <row r="56" spans="1:17" ht="14.5">
      <c r="A56" s="20" t="s">
        <v>559</v>
      </c>
      <c r="B56" s="20" cm="1">
        <f t="array" ref="B56">SUMPRODUCT(COUNTIFS(Sheet1!$C$2:$C$185,$A56,Sheet1!$B$2:$B$185,B$55,Sheet1!$F$2:$F$185,$A$16:$A$50)*$B$16:$B$50)</f>
        <v>0</v>
      </c>
      <c r="C56" s="20" cm="1">
        <f t="array" ref="C56">SUMPRODUCT(COUNTIFS(Sheet1!$C$2:$C$185,$A56,Sheet1!$B$2:$B$185,C$55,Sheet1!$F$2:$F$185,$A$16:$A$50)*$B$16:$B$50)</f>
        <v>0</v>
      </c>
      <c r="D56" s="20" cm="1">
        <f t="array" ref="D56">SUMPRODUCT(COUNTIFS(Sheet1!$C$2:$C$185,$A56,Sheet1!$B$2:$B$185,D$55,Sheet1!$F$2:$F$185,$A$16:$A$50)*$B$16:$B$50)</f>
        <v>0</v>
      </c>
      <c r="E56" s="20" cm="1">
        <f t="array" ref="E56">SUMPRODUCT(COUNTIFS(Sheet1!$C$2:$C$185,$A56,Sheet1!$B$2:$B$185,E$55,Sheet1!$F$2:$F$185,$A$16:$A$50)*$B$16:$B$50)</f>
        <v>0</v>
      </c>
      <c r="F56" s="20" cm="1">
        <f t="array" ref="F56">SUMPRODUCT(COUNTIFS(Sheet1!$C$2:$C$185,$A56,Sheet1!$B$2:$B$185,F$55,Sheet1!$F$2:$F$185,$A$16:$A$50)*$B$16:$B$50)</f>
        <v>1</v>
      </c>
      <c r="G56" s="20" cm="1">
        <f t="array" ref="G56">SUMPRODUCT(COUNTIFS(Sheet1!$C$2:$C$185,$A56,Sheet1!$B$2:$B$185,G$55,Sheet1!$F$2:$F$185,$A$16:$A$50)*$B$16:$B$50)</f>
        <v>1</v>
      </c>
      <c r="H56" s="20" cm="1">
        <f t="array" ref="H56">SUMPRODUCT(COUNTIFS(Sheet1!$C$2:$C$185,$A56,Sheet1!$B$2:$B$185,H$55,Sheet1!$F$2:$F$185,$A$16:$A$50)*$B$16:$B$50)</f>
        <v>1</v>
      </c>
      <c r="I56" s="25">
        <f t="shared" ref="I56:I87" si="1">MAX(B56:H56)</f>
        <v>1</v>
      </c>
      <c r="J56" s="20" cm="1">
        <f t="array" ref="J56">SUMPRODUCT(COUNTIFS(Sheet1!$C$2:$C$185,$A56,Sheet1!$B$2:$B$185,J$55,Sheet1!$F$2:$F$185,$A$16:$A$50)*$C$16:$C$50)</f>
        <v>0</v>
      </c>
      <c r="K56" s="20" cm="1">
        <f t="array" ref="K56">SUMPRODUCT(COUNTIFS(Sheet1!$C$2:$C$185,$A56,Sheet1!$B$2:$B$185,K$55,Sheet1!$F$2:$F$185,$A$16:$A$50)*$C$16:$C$50)</f>
        <v>0</v>
      </c>
      <c r="L56" s="20" cm="1">
        <f t="array" ref="L56">SUMPRODUCT(COUNTIFS(Sheet1!$C$2:$C$185,$A56,Sheet1!$B$2:$B$185,L$55,Sheet1!$F$2:$F$185,$A$16:$A$50)*$C$16:$C$50)</f>
        <v>0</v>
      </c>
      <c r="M56" s="20" cm="1">
        <f t="array" ref="M56">SUMPRODUCT(COUNTIFS(Sheet1!$C$2:$C$185,$A56,Sheet1!$B$2:$B$185,M$55,Sheet1!$F$2:$F$185,$A$16:$A$50)*$C$16:$C$50)</f>
        <v>0</v>
      </c>
      <c r="N56" s="20" cm="1">
        <f t="array" ref="N56">SUMPRODUCT(COUNTIFS(Sheet1!$C$2:$C$185,$A56,Sheet1!$B$2:$B$185,N$55,Sheet1!$F$2:$F$185,$A$16:$A$50)*$C$16:$C$50)</f>
        <v>4</v>
      </c>
      <c r="O56" s="20" cm="1">
        <f t="array" ref="O56">SUMPRODUCT(COUNTIFS(Sheet1!$C$2:$C$185,$A56,Sheet1!$B$2:$B$185,O$55,Sheet1!$F$2:$F$185,$A$16:$A$50)*$C$16:$C$50)</f>
        <v>3</v>
      </c>
      <c r="P56" s="20" cm="1">
        <f t="array" ref="P56">SUMPRODUCT(COUNTIFS(Sheet1!$C$2:$C$185,$A56,Sheet1!$B$2:$B$185,P$55,Sheet1!$F$2:$F$185,$A$16:$A$50)*$C$16:$C$50)</f>
        <v>1</v>
      </c>
      <c r="Q56" s="25">
        <f t="shared" ref="Q56:Q87" si="2">MAX(J56:P56)</f>
        <v>4</v>
      </c>
    </row>
    <row r="57" spans="1:17" ht="14.5">
      <c r="A57" s="20" t="s">
        <v>562</v>
      </c>
      <c r="B57" s="20" cm="1">
        <f t="array" ref="B57">SUMPRODUCT(COUNTIFS(Sheet1!$C$2:$C$185,$A57,Sheet1!$B$2:$B$185,B$55,Sheet1!$F$2:$F$185,$A$16:$A$50)*$B$16:$B$50)</f>
        <v>1</v>
      </c>
      <c r="C57" s="20" cm="1">
        <f t="array" ref="C57">SUMPRODUCT(COUNTIFS(Sheet1!$C$2:$C$185,$A57,Sheet1!$B$2:$B$185,C$55,Sheet1!$F$2:$F$185,$A$16:$A$50)*$B$16:$B$50)</f>
        <v>1</v>
      </c>
      <c r="D57" s="20" cm="1">
        <f t="array" ref="D57">SUMPRODUCT(COUNTIFS(Sheet1!$C$2:$C$185,$A57,Sheet1!$B$2:$B$185,D$55,Sheet1!$F$2:$F$185,$A$16:$A$50)*$B$16:$B$50)</f>
        <v>1</v>
      </c>
      <c r="E57" s="20" cm="1">
        <f t="array" ref="E57">SUMPRODUCT(COUNTIFS(Sheet1!$C$2:$C$185,$A57,Sheet1!$B$2:$B$185,E$55,Sheet1!$F$2:$F$185,$A$16:$A$50)*$B$16:$B$50)</f>
        <v>0</v>
      </c>
      <c r="F57" s="20" cm="1">
        <f t="array" ref="F57">SUMPRODUCT(COUNTIFS(Sheet1!$C$2:$C$185,$A57,Sheet1!$B$2:$B$185,F$55,Sheet1!$F$2:$F$185,$A$16:$A$50)*$B$16:$B$50)</f>
        <v>1</v>
      </c>
      <c r="G57" s="20" cm="1">
        <f t="array" ref="G57">SUMPRODUCT(COUNTIFS(Sheet1!$C$2:$C$185,$A57,Sheet1!$B$2:$B$185,G$55,Sheet1!$F$2:$F$185,$A$16:$A$50)*$B$16:$B$50)</f>
        <v>0</v>
      </c>
      <c r="H57" s="20" cm="1">
        <f t="array" ref="H57">SUMPRODUCT(COUNTIFS(Sheet1!$C$2:$C$185,$A57,Sheet1!$B$2:$B$185,H$55,Sheet1!$F$2:$F$185,$A$16:$A$50)*$B$16:$B$50)</f>
        <v>1</v>
      </c>
      <c r="I57" s="25">
        <f t="shared" si="1"/>
        <v>1</v>
      </c>
      <c r="J57" s="20" cm="1">
        <f t="array" ref="J57">SUMPRODUCT(COUNTIFS(Sheet1!$C$2:$C$185,$A57,Sheet1!$B$2:$B$185,J$55,Sheet1!$F$2:$F$185,$A$16:$A$50)*$C$16:$C$50)</f>
        <v>1</v>
      </c>
      <c r="K57" s="20" cm="1">
        <f t="array" ref="K57">SUMPRODUCT(COUNTIFS(Sheet1!$C$2:$C$185,$A57,Sheet1!$B$2:$B$185,K$55,Sheet1!$F$2:$F$185,$A$16:$A$50)*$C$16:$C$50)</f>
        <v>1</v>
      </c>
      <c r="L57" s="20" cm="1">
        <f t="array" ref="L57">SUMPRODUCT(COUNTIFS(Sheet1!$C$2:$C$185,$A57,Sheet1!$B$2:$B$185,L$55,Sheet1!$F$2:$F$185,$A$16:$A$50)*$C$16:$C$50)</f>
        <v>3</v>
      </c>
      <c r="M57" s="20" cm="1">
        <f t="array" ref="M57">SUMPRODUCT(COUNTIFS(Sheet1!$C$2:$C$185,$A57,Sheet1!$B$2:$B$185,M$55,Sheet1!$F$2:$F$185,$A$16:$A$50)*$C$16:$C$50)</f>
        <v>0</v>
      </c>
      <c r="N57" s="20" cm="1">
        <f t="array" ref="N57">SUMPRODUCT(COUNTIFS(Sheet1!$C$2:$C$185,$A57,Sheet1!$B$2:$B$185,N$55,Sheet1!$F$2:$F$185,$A$16:$A$50)*$C$16:$C$50)</f>
        <v>1</v>
      </c>
      <c r="O57" s="20" cm="1">
        <f t="array" ref="O57">SUMPRODUCT(COUNTIFS(Sheet1!$C$2:$C$185,$A57,Sheet1!$B$2:$B$185,O$55,Sheet1!$F$2:$F$185,$A$16:$A$50)*$C$16:$C$50)</f>
        <v>0</v>
      </c>
      <c r="P57" s="20" cm="1">
        <f t="array" ref="P57">SUMPRODUCT(COUNTIFS(Sheet1!$C$2:$C$185,$A57,Sheet1!$B$2:$B$185,P$55,Sheet1!$F$2:$F$185,$A$16:$A$50)*$C$16:$C$50)</f>
        <v>1</v>
      </c>
      <c r="Q57" s="25">
        <f t="shared" si="2"/>
        <v>3</v>
      </c>
    </row>
    <row r="58" spans="1:17" ht="14.5">
      <c r="A58" s="20" t="s">
        <v>566</v>
      </c>
      <c r="B58" s="20" cm="1">
        <f t="array" ref="B58">SUMPRODUCT(COUNTIFS(Sheet1!$C$2:$C$185,$A58,Sheet1!$B$2:$B$185,B$55,Sheet1!$F$2:$F$185,$A$16:$A$50)*$B$16:$B$50)</f>
        <v>0</v>
      </c>
      <c r="C58" s="20" cm="1">
        <f t="array" ref="C58">SUMPRODUCT(COUNTIFS(Sheet1!$C$2:$C$185,$A58,Sheet1!$B$2:$B$185,C$55,Sheet1!$F$2:$F$185,$A$16:$A$50)*$B$16:$B$50)</f>
        <v>0</v>
      </c>
      <c r="D58" s="20" cm="1">
        <f t="array" ref="D58">SUMPRODUCT(COUNTIFS(Sheet1!$C$2:$C$185,$A58,Sheet1!$B$2:$B$185,D$55,Sheet1!$F$2:$F$185,$A$16:$A$50)*$B$16:$B$50)</f>
        <v>1</v>
      </c>
      <c r="E58" s="20" cm="1">
        <f t="array" ref="E58">SUMPRODUCT(COUNTIFS(Sheet1!$C$2:$C$185,$A58,Sheet1!$B$2:$B$185,E$55,Sheet1!$F$2:$F$185,$A$16:$A$50)*$B$16:$B$50)</f>
        <v>1</v>
      </c>
      <c r="F58" s="20" cm="1">
        <f t="array" ref="F58">SUMPRODUCT(COUNTIFS(Sheet1!$C$2:$C$185,$A58,Sheet1!$B$2:$B$185,F$55,Sheet1!$F$2:$F$185,$A$16:$A$50)*$B$16:$B$50)</f>
        <v>2</v>
      </c>
      <c r="G58" s="20" cm="1">
        <f t="array" ref="G58">SUMPRODUCT(COUNTIFS(Sheet1!$C$2:$C$185,$A58,Sheet1!$B$2:$B$185,G$55,Sheet1!$F$2:$F$185,$A$16:$A$50)*$B$16:$B$50)</f>
        <v>1</v>
      </c>
      <c r="H58" s="20" cm="1">
        <f t="array" ref="H58">SUMPRODUCT(COUNTIFS(Sheet1!$C$2:$C$185,$A58,Sheet1!$B$2:$B$185,H$55,Sheet1!$F$2:$F$185,$A$16:$A$50)*$B$16:$B$50)</f>
        <v>1</v>
      </c>
      <c r="I58" s="25">
        <f t="shared" si="1"/>
        <v>2</v>
      </c>
      <c r="J58" s="20" cm="1">
        <f t="array" ref="J58">SUMPRODUCT(COUNTIFS(Sheet1!$C$2:$C$185,$A58,Sheet1!$B$2:$B$185,J$55,Sheet1!$F$2:$F$185,$A$16:$A$50)*$C$16:$C$50)</f>
        <v>0</v>
      </c>
      <c r="K58" s="20" cm="1">
        <f t="array" ref="K58">SUMPRODUCT(COUNTIFS(Sheet1!$C$2:$C$185,$A58,Sheet1!$B$2:$B$185,K$55,Sheet1!$F$2:$F$185,$A$16:$A$50)*$C$16:$C$50)</f>
        <v>0</v>
      </c>
      <c r="L58" s="20" cm="1">
        <f t="array" ref="L58">SUMPRODUCT(COUNTIFS(Sheet1!$C$2:$C$185,$A58,Sheet1!$B$2:$B$185,L$55,Sheet1!$F$2:$F$185,$A$16:$A$50)*$C$16:$C$50)</f>
        <v>1</v>
      </c>
      <c r="M58" s="20" cm="1">
        <f t="array" ref="M58">SUMPRODUCT(COUNTIFS(Sheet1!$C$2:$C$185,$A58,Sheet1!$B$2:$B$185,M$55,Sheet1!$F$2:$F$185,$A$16:$A$50)*$C$16:$C$50)</f>
        <v>4</v>
      </c>
      <c r="N58" s="20" cm="1">
        <f t="array" ref="N58">SUMPRODUCT(COUNTIFS(Sheet1!$C$2:$C$185,$A58,Sheet1!$B$2:$B$185,N$55,Sheet1!$F$2:$F$185,$A$16:$A$50)*$C$16:$C$50)</f>
        <v>4</v>
      </c>
      <c r="O58" s="20" cm="1">
        <f t="array" ref="O58">SUMPRODUCT(COUNTIFS(Sheet1!$C$2:$C$185,$A58,Sheet1!$B$2:$B$185,O$55,Sheet1!$F$2:$F$185,$A$16:$A$50)*$C$16:$C$50)</f>
        <v>4</v>
      </c>
      <c r="P58" s="20" cm="1">
        <f t="array" ref="P58">SUMPRODUCT(COUNTIFS(Sheet1!$C$2:$C$185,$A58,Sheet1!$B$2:$B$185,P$55,Sheet1!$F$2:$F$185,$A$16:$A$50)*$C$16:$C$50)</f>
        <v>2</v>
      </c>
      <c r="Q58" s="25">
        <f t="shared" si="2"/>
        <v>4</v>
      </c>
    </row>
    <row r="59" spans="1:17" ht="14.5">
      <c r="A59" s="20" t="s">
        <v>569</v>
      </c>
      <c r="B59" s="20" cm="1">
        <f t="array" ref="B59">SUMPRODUCT(COUNTIFS(Sheet1!$C$2:$C$185,$A59,Sheet1!$B$2:$B$185,B$55,Sheet1!$F$2:$F$185,$A$16:$A$50)*$B$16:$B$50)</f>
        <v>1</v>
      </c>
      <c r="C59" s="20" cm="1">
        <f t="array" ref="C59">SUMPRODUCT(COUNTIFS(Sheet1!$C$2:$C$185,$A59,Sheet1!$B$2:$B$185,C$55,Sheet1!$F$2:$F$185,$A$16:$A$50)*$B$16:$B$50)</f>
        <v>1</v>
      </c>
      <c r="D59" s="20" cm="1">
        <f t="array" ref="D59">SUMPRODUCT(COUNTIFS(Sheet1!$C$2:$C$185,$A59,Sheet1!$B$2:$B$185,D$55,Sheet1!$F$2:$F$185,$A$16:$A$50)*$B$16:$B$50)</f>
        <v>1</v>
      </c>
      <c r="E59" s="20" cm="1">
        <f t="array" ref="E59">SUMPRODUCT(COUNTIFS(Sheet1!$C$2:$C$185,$A59,Sheet1!$B$2:$B$185,E$55,Sheet1!$F$2:$F$185,$A$16:$A$50)*$B$16:$B$50)</f>
        <v>0</v>
      </c>
      <c r="F59" s="20" cm="1">
        <f t="array" ref="F59">SUMPRODUCT(COUNTIFS(Sheet1!$C$2:$C$185,$A59,Sheet1!$B$2:$B$185,F$55,Sheet1!$F$2:$F$185,$A$16:$A$50)*$B$16:$B$50)</f>
        <v>0</v>
      </c>
      <c r="G59" s="20" cm="1">
        <f t="array" ref="G59">SUMPRODUCT(COUNTIFS(Sheet1!$C$2:$C$185,$A59,Sheet1!$B$2:$B$185,G$55,Sheet1!$F$2:$F$185,$A$16:$A$50)*$B$16:$B$50)</f>
        <v>0</v>
      </c>
      <c r="H59" s="20" cm="1">
        <f t="array" ref="H59">SUMPRODUCT(COUNTIFS(Sheet1!$C$2:$C$185,$A59,Sheet1!$B$2:$B$185,H$55,Sheet1!$F$2:$F$185,$A$16:$A$50)*$B$16:$B$50)</f>
        <v>0</v>
      </c>
      <c r="I59" s="25">
        <f t="shared" si="1"/>
        <v>1</v>
      </c>
      <c r="J59" s="20" cm="1">
        <f t="array" ref="J59">SUMPRODUCT(COUNTIFS(Sheet1!$C$2:$C$185,$A59,Sheet1!$B$2:$B$185,J$55,Sheet1!$F$2:$F$185,$A$16:$A$50)*$C$16:$C$50)</f>
        <v>3</v>
      </c>
      <c r="K59" s="20" cm="1">
        <f t="array" ref="K59">SUMPRODUCT(COUNTIFS(Sheet1!$C$2:$C$185,$A59,Sheet1!$B$2:$B$185,K$55,Sheet1!$F$2:$F$185,$A$16:$A$50)*$C$16:$C$50)</f>
        <v>1</v>
      </c>
      <c r="L59" s="20" cm="1">
        <f t="array" ref="L59">SUMPRODUCT(COUNTIFS(Sheet1!$C$2:$C$185,$A59,Sheet1!$B$2:$B$185,L$55,Sheet1!$F$2:$F$185,$A$16:$A$50)*$C$16:$C$50)</f>
        <v>1</v>
      </c>
      <c r="M59" s="20" cm="1">
        <f t="array" ref="M59">SUMPRODUCT(COUNTIFS(Sheet1!$C$2:$C$185,$A59,Sheet1!$B$2:$B$185,M$55,Sheet1!$F$2:$F$185,$A$16:$A$50)*$C$16:$C$50)</f>
        <v>0</v>
      </c>
      <c r="N59" s="20" cm="1">
        <f t="array" ref="N59">SUMPRODUCT(COUNTIFS(Sheet1!$C$2:$C$185,$A59,Sheet1!$B$2:$B$185,N$55,Sheet1!$F$2:$F$185,$A$16:$A$50)*$C$16:$C$50)</f>
        <v>0</v>
      </c>
      <c r="O59" s="20" cm="1">
        <f t="array" ref="O59">SUMPRODUCT(COUNTIFS(Sheet1!$C$2:$C$185,$A59,Sheet1!$B$2:$B$185,O$55,Sheet1!$F$2:$F$185,$A$16:$A$50)*$C$16:$C$50)</f>
        <v>0</v>
      </c>
      <c r="P59" s="20" cm="1">
        <f t="array" ref="P59">SUMPRODUCT(COUNTIFS(Sheet1!$C$2:$C$185,$A59,Sheet1!$B$2:$B$185,P$55,Sheet1!$F$2:$F$185,$A$16:$A$50)*$C$16:$C$50)</f>
        <v>0</v>
      </c>
      <c r="Q59" s="25">
        <f t="shared" si="2"/>
        <v>3</v>
      </c>
    </row>
    <row r="60" spans="1:17" ht="14.5">
      <c r="A60" s="20" t="s">
        <v>571</v>
      </c>
      <c r="B60" s="20" cm="1">
        <f t="array" ref="B60">SUMPRODUCT(COUNTIFS(Sheet1!$C$2:$C$185,$A60,Sheet1!$B$2:$B$185,B$55,Sheet1!$F$2:$F$185,$A$16:$A$50)*$B$16:$B$50)</f>
        <v>0</v>
      </c>
      <c r="C60" s="20" cm="1">
        <f t="array" ref="C60">SUMPRODUCT(COUNTIFS(Sheet1!$C$2:$C$185,$A60,Sheet1!$B$2:$B$185,C$55,Sheet1!$F$2:$F$185,$A$16:$A$50)*$B$16:$B$50)</f>
        <v>0</v>
      </c>
      <c r="D60" s="20" cm="1">
        <f t="array" ref="D60">SUMPRODUCT(COUNTIFS(Sheet1!$C$2:$C$185,$A60,Sheet1!$B$2:$B$185,D$55,Sheet1!$F$2:$F$185,$A$16:$A$50)*$B$16:$B$50)</f>
        <v>1</v>
      </c>
      <c r="E60" s="20" cm="1">
        <f t="array" ref="E60">SUMPRODUCT(COUNTIFS(Sheet1!$C$2:$C$185,$A60,Sheet1!$B$2:$B$185,E$55,Sheet1!$F$2:$F$185,$A$16:$A$50)*$B$16:$B$50)</f>
        <v>0</v>
      </c>
      <c r="F60" s="20" cm="1">
        <f t="array" ref="F60">SUMPRODUCT(COUNTIFS(Sheet1!$C$2:$C$185,$A60,Sheet1!$B$2:$B$185,F$55,Sheet1!$F$2:$F$185,$A$16:$A$50)*$B$16:$B$50)</f>
        <v>0</v>
      </c>
      <c r="G60" s="20" cm="1">
        <f t="array" ref="G60">SUMPRODUCT(COUNTIFS(Sheet1!$C$2:$C$185,$A60,Sheet1!$B$2:$B$185,G$55,Sheet1!$F$2:$F$185,$A$16:$A$50)*$B$16:$B$50)</f>
        <v>0</v>
      </c>
      <c r="H60" s="20" cm="1">
        <f t="array" ref="H60">SUMPRODUCT(COUNTIFS(Sheet1!$C$2:$C$185,$A60,Sheet1!$B$2:$B$185,H$55,Sheet1!$F$2:$F$185,$A$16:$A$50)*$B$16:$B$50)</f>
        <v>0</v>
      </c>
      <c r="I60" s="25">
        <f t="shared" si="1"/>
        <v>1</v>
      </c>
      <c r="J60" s="20" cm="1">
        <f t="array" ref="J60">SUMPRODUCT(COUNTIFS(Sheet1!$C$2:$C$185,$A60,Sheet1!$B$2:$B$185,J$55,Sheet1!$F$2:$F$185,$A$16:$A$50)*$C$16:$C$50)</f>
        <v>0</v>
      </c>
      <c r="K60" s="20" cm="1">
        <f t="array" ref="K60">SUMPRODUCT(COUNTIFS(Sheet1!$C$2:$C$185,$A60,Sheet1!$B$2:$B$185,K$55,Sheet1!$F$2:$F$185,$A$16:$A$50)*$C$16:$C$50)</f>
        <v>0</v>
      </c>
      <c r="L60" s="20" cm="1">
        <f t="array" ref="L60">SUMPRODUCT(COUNTIFS(Sheet1!$C$2:$C$185,$A60,Sheet1!$B$2:$B$185,L$55,Sheet1!$F$2:$F$185,$A$16:$A$50)*$C$16:$C$50)</f>
        <v>1</v>
      </c>
      <c r="M60" s="20" cm="1">
        <f t="array" ref="M60">SUMPRODUCT(COUNTIFS(Sheet1!$C$2:$C$185,$A60,Sheet1!$B$2:$B$185,M$55,Sheet1!$F$2:$F$185,$A$16:$A$50)*$C$16:$C$50)</f>
        <v>0</v>
      </c>
      <c r="N60" s="20" cm="1">
        <f t="array" ref="N60">SUMPRODUCT(COUNTIFS(Sheet1!$C$2:$C$185,$A60,Sheet1!$B$2:$B$185,N$55,Sheet1!$F$2:$F$185,$A$16:$A$50)*$C$16:$C$50)</f>
        <v>0</v>
      </c>
      <c r="O60" s="20" cm="1">
        <f t="array" ref="O60">SUMPRODUCT(COUNTIFS(Sheet1!$C$2:$C$185,$A60,Sheet1!$B$2:$B$185,O$55,Sheet1!$F$2:$F$185,$A$16:$A$50)*$C$16:$C$50)</f>
        <v>0</v>
      </c>
      <c r="P60" s="20" cm="1">
        <f t="array" ref="P60">SUMPRODUCT(COUNTIFS(Sheet1!$C$2:$C$185,$A60,Sheet1!$B$2:$B$185,P$55,Sheet1!$F$2:$F$185,$A$16:$A$50)*$C$16:$C$50)</f>
        <v>0</v>
      </c>
      <c r="Q60" s="25">
        <f t="shared" si="2"/>
        <v>1</v>
      </c>
    </row>
    <row r="61" spans="1:17" ht="14.5">
      <c r="A61" s="20" t="s">
        <v>574</v>
      </c>
      <c r="B61" s="20" cm="1">
        <f t="array" ref="B61">SUMPRODUCT(COUNTIFS(Sheet1!$C$2:$C$185,$A61,Sheet1!$B$2:$B$185,B$55,Sheet1!$F$2:$F$185,$A$16:$A$50)*$B$16:$B$50)</f>
        <v>1</v>
      </c>
      <c r="C61" s="20" cm="1">
        <f t="array" ref="C61">SUMPRODUCT(COUNTIFS(Sheet1!$C$2:$C$185,$A61,Sheet1!$B$2:$B$185,C$55,Sheet1!$F$2:$F$185,$A$16:$A$50)*$B$16:$B$50)</f>
        <v>1</v>
      </c>
      <c r="D61" s="20" cm="1">
        <f t="array" ref="D61">SUMPRODUCT(COUNTIFS(Sheet1!$C$2:$C$185,$A61,Sheet1!$B$2:$B$185,D$55,Sheet1!$F$2:$F$185,$A$16:$A$50)*$B$16:$B$50)</f>
        <v>1</v>
      </c>
      <c r="E61" s="20" cm="1">
        <f t="array" ref="E61">SUMPRODUCT(COUNTIFS(Sheet1!$C$2:$C$185,$A61,Sheet1!$B$2:$B$185,E$55,Sheet1!$F$2:$F$185,$A$16:$A$50)*$B$16:$B$50)</f>
        <v>1</v>
      </c>
      <c r="F61" s="20" cm="1">
        <f t="array" ref="F61">SUMPRODUCT(COUNTIFS(Sheet1!$C$2:$C$185,$A61,Sheet1!$B$2:$B$185,F$55,Sheet1!$F$2:$F$185,$A$16:$A$50)*$B$16:$B$50)</f>
        <v>1</v>
      </c>
      <c r="G61" s="20" cm="1">
        <f t="array" ref="G61">SUMPRODUCT(COUNTIFS(Sheet1!$C$2:$C$185,$A61,Sheet1!$B$2:$B$185,G$55,Sheet1!$F$2:$F$185,$A$16:$A$50)*$B$16:$B$50)</f>
        <v>1</v>
      </c>
      <c r="H61" s="20" cm="1">
        <f t="array" ref="H61">SUMPRODUCT(COUNTIFS(Sheet1!$C$2:$C$185,$A61,Sheet1!$B$2:$B$185,H$55,Sheet1!$F$2:$F$185,$A$16:$A$50)*$B$16:$B$50)</f>
        <v>1</v>
      </c>
      <c r="I61" s="25">
        <f t="shared" si="1"/>
        <v>1</v>
      </c>
      <c r="J61" s="20" cm="1">
        <f t="array" ref="J61">SUMPRODUCT(COUNTIFS(Sheet1!$C$2:$C$185,$A61,Sheet1!$B$2:$B$185,J$55,Sheet1!$F$2:$F$185,$A$16:$A$50)*$C$16:$C$50)</f>
        <v>3</v>
      </c>
      <c r="K61" s="20" cm="1">
        <f t="array" ref="K61">SUMPRODUCT(COUNTIFS(Sheet1!$C$2:$C$185,$A61,Sheet1!$B$2:$B$185,K$55,Sheet1!$F$2:$F$185,$A$16:$A$50)*$C$16:$C$50)</f>
        <v>2</v>
      </c>
      <c r="L61" s="20" cm="1">
        <f t="array" ref="L61">SUMPRODUCT(COUNTIFS(Sheet1!$C$2:$C$185,$A61,Sheet1!$B$2:$B$185,L$55,Sheet1!$F$2:$F$185,$A$16:$A$50)*$C$16:$C$50)</f>
        <v>3</v>
      </c>
      <c r="M61" s="20" cm="1">
        <f t="array" ref="M61">SUMPRODUCT(COUNTIFS(Sheet1!$C$2:$C$185,$A61,Sheet1!$B$2:$B$185,M$55,Sheet1!$F$2:$F$185,$A$16:$A$50)*$C$16:$C$50)</f>
        <v>1</v>
      </c>
      <c r="N61" s="20" cm="1">
        <f t="array" ref="N61">SUMPRODUCT(COUNTIFS(Sheet1!$C$2:$C$185,$A61,Sheet1!$B$2:$B$185,N$55,Sheet1!$F$2:$F$185,$A$16:$A$50)*$C$16:$C$50)</f>
        <v>1</v>
      </c>
      <c r="O61" s="20" cm="1">
        <f t="array" ref="O61">SUMPRODUCT(COUNTIFS(Sheet1!$C$2:$C$185,$A61,Sheet1!$B$2:$B$185,O$55,Sheet1!$F$2:$F$185,$A$16:$A$50)*$C$16:$C$50)</f>
        <v>1</v>
      </c>
      <c r="P61" s="20" cm="1">
        <f t="array" ref="P61">SUMPRODUCT(COUNTIFS(Sheet1!$C$2:$C$185,$A61,Sheet1!$B$2:$B$185,P$55,Sheet1!$F$2:$F$185,$A$16:$A$50)*$C$16:$C$50)</f>
        <v>1</v>
      </c>
      <c r="Q61" s="25">
        <f t="shared" si="2"/>
        <v>3</v>
      </c>
    </row>
    <row r="62" spans="1:17" ht="14.5">
      <c r="A62" s="20" t="s">
        <v>577</v>
      </c>
      <c r="B62" s="20" cm="1">
        <f t="array" ref="B62">SUMPRODUCT(COUNTIFS(Sheet1!$C$2:$C$185,$A62,Sheet1!$B$2:$B$185,B$55,Sheet1!$F$2:$F$185,$A$16:$A$50)*$B$16:$B$50)</f>
        <v>0</v>
      </c>
      <c r="C62" s="20" cm="1">
        <f t="array" ref="C62">SUMPRODUCT(COUNTIFS(Sheet1!$C$2:$C$185,$A62,Sheet1!$B$2:$B$185,C$55,Sheet1!$F$2:$F$185,$A$16:$A$50)*$B$16:$B$50)</f>
        <v>1</v>
      </c>
      <c r="D62" s="20" cm="1">
        <f t="array" ref="D62">SUMPRODUCT(COUNTIFS(Sheet1!$C$2:$C$185,$A62,Sheet1!$B$2:$B$185,D$55,Sheet1!$F$2:$F$185,$A$16:$A$50)*$B$16:$B$50)</f>
        <v>1</v>
      </c>
      <c r="E62" s="20" cm="1">
        <f t="array" ref="E62">SUMPRODUCT(COUNTIFS(Sheet1!$C$2:$C$185,$A62,Sheet1!$B$2:$B$185,E$55,Sheet1!$F$2:$F$185,$A$16:$A$50)*$B$16:$B$50)</f>
        <v>0</v>
      </c>
      <c r="F62" s="20" cm="1">
        <f t="array" ref="F62">SUMPRODUCT(COUNTIFS(Sheet1!$C$2:$C$185,$A62,Sheet1!$B$2:$B$185,F$55,Sheet1!$F$2:$F$185,$A$16:$A$50)*$B$16:$B$50)</f>
        <v>1</v>
      </c>
      <c r="G62" s="20" cm="1">
        <f t="array" ref="G62">SUMPRODUCT(COUNTIFS(Sheet1!$C$2:$C$185,$A62,Sheet1!$B$2:$B$185,G$55,Sheet1!$F$2:$F$185,$A$16:$A$50)*$B$16:$B$50)</f>
        <v>1</v>
      </c>
      <c r="H62" s="20" cm="1">
        <f t="array" ref="H62">SUMPRODUCT(COUNTIFS(Sheet1!$C$2:$C$185,$A62,Sheet1!$B$2:$B$185,H$55,Sheet1!$F$2:$F$185,$A$16:$A$50)*$B$16:$B$50)</f>
        <v>1</v>
      </c>
      <c r="I62" s="25">
        <f t="shared" si="1"/>
        <v>1</v>
      </c>
      <c r="J62" s="20" cm="1">
        <f t="array" ref="J62">SUMPRODUCT(COUNTIFS(Sheet1!$C$2:$C$185,$A62,Sheet1!$B$2:$B$185,J$55,Sheet1!$F$2:$F$185,$A$16:$A$50)*$C$16:$C$50)</f>
        <v>0</v>
      </c>
      <c r="K62" s="20" cm="1">
        <f t="array" ref="K62">SUMPRODUCT(COUNTIFS(Sheet1!$C$2:$C$185,$A62,Sheet1!$B$2:$B$185,K$55,Sheet1!$F$2:$F$185,$A$16:$A$50)*$C$16:$C$50)</f>
        <v>3</v>
      </c>
      <c r="L62" s="20" cm="1">
        <f t="array" ref="L62">SUMPRODUCT(COUNTIFS(Sheet1!$C$2:$C$185,$A62,Sheet1!$B$2:$B$185,L$55,Sheet1!$F$2:$F$185,$A$16:$A$50)*$C$16:$C$50)</f>
        <v>2</v>
      </c>
      <c r="M62" s="20" cm="1">
        <f t="array" ref="M62">SUMPRODUCT(COUNTIFS(Sheet1!$C$2:$C$185,$A62,Sheet1!$B$2:$B$185,M$55,Sheet1!$F$2:$F$185,$A$16:$A$50)*$C$16:$C$50)</f>
        <v>0</v>
      </c>
      <c r="N62" s="20" cm="1">
        <f t="array" ref="N62">SUMPRODUCT(COUNTIFS(Sheet1!$C$2:$C$185,$A62,Sheet1!$B$2:$B$185,N$55,Sheet1!$F$2:$F$185,$A$16:$A$50)*$C$16:$C$50)</f>
        <v>3</v>
      </c>
      <c r="O62" s="20" cm="1">
        <f t="array" ref="O62">SUMPRODUCT(COUNTIFS(Sheet1!$C$2:$C$185,$A62,Sheet1!$B$2:$B$185,O$55,Sheet1!$F$2:$F$185,$A$16:$A$50)*$C$16:$C$50)</f>
        <v>3</v>
      </c>
      <c r="P62" s="20" cm="1">
        <f t="array" ref="P62">SUMPRODUCT(COUNTIFS(Sheet1!$C$2:$C$185,$A62,Sheet1!$B$2:$B$185,P$55,Sheet1!$F$2:$F$185,$A$16:$A$50)*$C$16:$C$50)</f>
        <v>3</v>
      </c>
      <c r="Q62" s="25">
        <f t="shared" si="2"/>
        <v>3</v>
      </c>
    </row>
    <row r="63" spans="1:17" ht="14.5">
      <c r="A63" s="20" t="s">
        <v>581</v>
      </c>
      <c r="B63" s="20" cm="1">
        <f t="array" ref="B63">SUMPRODUCT(COUNTIFS(Sheet1!$C$2:$C$185,$A63,Sheet1!$B$2:$B$185,B$55,Sheet1!$F$2:$F$185,$A$16:$A$50)*$B$16:$B$50)</f>
        <v>1</v>
      </c>
      <c r="C63" s="20" cm="1">
        <f t="array" ref="C63">SUMPRODUCT(COUNTIFS(Sheet1!$C$2:$C$185,$A63,Sheet1!$B$2:$B$185,C$55,Sheet1!$F$2:$F$185,$A$16:$A$50)*$B$16:$B$50)</f>
        <v>1</v>
      </c>
      <c r="D63" s="20" cm="1">
        <f t="array" ref="D63">SUMPRODUCT(COUNTIFS(Sheet1!$C$2:$C$185,$A63,Sheet1!$B$2:$B$185,D$55,Sheet1!$F$2:$F$185,$A$16:$A$50)*$B$16:$B$50)</f>
        <v>1</v>
      </c>
      <c r="E63" s="20" cm="1">
        <f t="array" ref="E63">SUMPRODUCT(COUNTIFS(Sheet1!$C$2:$C$185,$A63,Sheet1!$B$2:$B$185,E$55,Sheet1!$F$2:$F$185,$A$16:$A$50)*$B$16:$B$50)</f>
        <v>1</v>
      </c>
      <c r="F63" s="20" cm="1">
        <f t="array" ref="F63">SUMPRODUCT(COUNTIFS(Sheet1!$C$2:$C$185,$A63,Sheet1!$B$2:$B$185,F$55,Sheet1!$F$2:$F$185,$A$16:$A$50)*$B$16:$B$50)</f>
        <v>1</v>
      </c>
      <c r="G63" s="20" cm="1">
        <f t="array" ref="G63">SUMPRODUCT(COUNTIFS(Sheet1!$C$2:$C$185,$A63,Sheet1!$B$2:$B$185,G$55,Sheet1!$F$2:$F$185,$A$16:$A$50)*$B$16:$B$50)</f>
        <v>1</v>
      </c>
      <c r="H63" s="20" cm="1">
        <f t="array" ref="H63">SUMPRODUCT(COUNTIFS(Sheet1!$C$2:$C$185,$A63,Sheet1!$B$2:$B$185,H$55,Sheet1!$F$2:$F$185,$A$16:$A$50)*$B$16:$B$50)</f>
        <v>1</v>
      </c>
      <c r="I63" s="25">
        <f t="shared" si="1"/>
        <v>1</v>
      </c>
      <c r="J63" s="20" cm="1">
        <f t="array" ref="J63">SUMPRODUCT(COUNTIFS(Sheet1!$C$2:$C$185,$A63,Sheet1!$B$2:$B$185,J$55,Sheet1!$F$2:$F$185,$A$16:$A$50)*$C$16:$C$50)</f>
        <v>3</v>
      </c>
      <c r="K63" s="20" cm="1">
        <f t="array" ref="K63">SUMPRODUCT(COUNTIFS(Sheet1!$C$2:$C$185,$A63,Sheet1!$B$2:$B$185,K$55,Sheet1!$F$2:$F$185,$A$16:$A$50)*$C$16:$C$50)</f>
        <v>2</v>
      </c>
      <c r="L63" s="20" cm="1">
        <f t="array" ref="L63">SUMPRODUCT(COUNTIFS(Sheet1!$C$2:$C$185,$A63,Sheet1!$B$2:$B$185,L$55,Sheet1!$F$2:$F$185,$A$16:$A$50)*$C$16:$C$50)</f>
        <v>4</v>
      </c>
      <c r="M63" s="20" cm="1">
        <f t="array" ref="M63">SUMPRODUCT(COUNTIFS(Sheet1!$C$2:$C$185,$A63,Sheet1!$B$2:$B$185,M$55,Sheet1!$F$2:$F$185,$A$16:$A$50)*$C$16:$C$50)</f>
        <v>4</v>
      </c>
      <c r="N63" s="20" cm="1">
        <f t="array" ref="N63">SUMPRODUCT(COUNTIFS(Sheet1!$C$2:$C$185,$A63,Sheet1!$B$2:$B$185,N$55,Sheet1!$F$2:$F$185,$A$16:$A$50)*$C$16:$C$50)</f>
        <v>4</v>
      </c>
      <c r="O63" s="20" cm="1">
        <f t="array" ref="O63">SUMPRODUCT(COUNTIFS(Sheet1!$C$2:$C$185,$A63,Sheet1!$B$2:$B$185,O$55,Sheet1!$F$2:$F$185,$A$16:$A$50)*$C$16:$C$50)</f>
        <v>4</v>
      </c>
      <c r="P63" s="20" cm="1">
        <f t="array" ref="P63">SUMPRODUCT(COUNTIFS(Sheet1!$C$2:$C$185,$A63,Sheet1!$B$2:$B$185,P$55,Sheet1!$F$2:$F$185,$A$16:$A$50)*$C$16:$C$50)</f>
        <v>2</v>
      </c>
      <c r="Q63" s="25">
        <f t="shared" si="2"/>
        <v>4</v>
      </c>
    </row>
    <row r="64" spans="1:17" ht="14.5">
      <c r="A64" s="20" t="s">
        <v>584</v>
      </c>
      <c r="B64" s="20" cm="1">
        <f t="array" ref="B64">SUMPRODUCT(COUNTIFS(Sheet1!$C$2:$C$185,$A64,Sheet1!$B$2:$B$185,B$55,Sheet1!$F$2:$F$185,$A$16:$A$50)*$B$16:$B$50)</f>
        <v>0</v>
      </c>
      <c r="C64" s="20" cm="1">
        <f t="array" ref="C64">SUMPRODUCT(COUNTIFS(Sheet1!$C$2:$C$185,$A64,Sheet1!$B$2:$B$185,C$55,Sheet1!$F$2:$F$185,$A$16:$A$50)*$B$16:$B$50)</f>
        <v>1</v>
      </c>
      <c r="D64" s="20" cm="1">
        <f t="array" ref="D64">SUMPRODUCT(COUNTIFS(Sheet1!$C$2:$C$185,$A64,Sheet1!$B$2:$B$185,D$55,Sheet1!$F$2:$F$185,$A$16:$A$50)*$B$16:$B$50)</f>
        <v>1</v>
      </c>
      <c r="E64" s="20" cm="1">
        <f t="array" ref="E64">SUMPRODUCT(COUNTIFS(Sheet1!$C$2:$C$185,$A64,Sheet1!$B$2:$B$185,E$55,Sheet1!$F$2:$F$185,$A$16:$A$50)*$B$16:$B$50)</f>
        <v>1</v>
      </c>
      <c r="F64" s="20" cm="1">
        <f t="array" ref="F64">SUMPRODUCT(COUNTIFS(Sheet1!$C$2:$C$185,$A64,Sheet1!$B$2:$B$185,F$55,Sheet1!$F$2:$F$185,$A$16:$A$50)*$B$16:$B$50)</f>
        <v>2</v>
      </c>
      <c r="G64" s="20" cm="1">
        <f t="array" ref="G64">SUMPRODUCT(COUNTIFS(Sheet1!$C$2:$C$185,$A64,Sheet1!$B$2:$B$185,G$55,Sheet1!$F$2:$F$185,$A$16:$A$50)*$B$16:$B$50)</f>
        <v>1</v>
      </c>
      <c r="H64" s="20" cm="1">
        <f t="array" ref="H64">SUMPRODUCT(COUNTIFS(Sheet1!$C$2:$C$185,$A64,Sheet1!$B$2:$B$185,H$55,Sheet1!$F$2:$F$185,$A$16:$A$50)*$B$16:$B$50)</f>
        <v>2</v>
      </c>
      <c r="I64" s="25">
        <f t="shared" si="1"/>
        <v>2</v>
      </c>
      <c r="J64" s="20" cm="1">
        <f t="array" ref="J64">SUMPRODUCT(COUNTIFS(Sheet1!$C$2:$C$185,$A64,Sheet1!$B$2:$B$185,J$55,Sheet1!$F$2:$F$185,$A$16:$A$50)*$C$16:$C$50)</f>
        <v>0</v>
      </c>
      <c r="K64" s="20" cm="1">
        <f t="array" ref="K64">SUMPRODUCT(COUNTIFS(Sheet1!$C$2:$C$185,$A64,Sheet1!$B$2:$B$185,K$55,Sheet1!$F$2:$F$185,$A$16:$A$50)*$C$16:$C$50)</f>
        <v>3</v>
      </c>
      <c r="L64" s="20" cm="1">
        <f t="array" ref="L64">SUMPRODUCT(COUNTIFS(Sheet1!$C$2:$C$185,$A64,Sheet1!$B$2:$B$185,L$55,Sheet1!$F$2:$F$185,$A$16:$A$50)*$C$16:$C$50)</f>
        <v>4</v>
      </c>
      <c r="M64" s="20" cm="1">
        <f t="array" ref="M64">SUMPRODUCT(COUNTIFS(Sheet1!$C$2:$C$185,$A64,Sheet1!$B$2:$B$185,M$55,Sheet1!$F$2:$F$185,$A$16:$A$50)*$C$16:$C$50)</f>
        <v>4</v>
      </c>
      <c r="N64" s="20" cm="1">
        <f t="array" ref="N64">SUMPRODUCT(COUNTIFS(Sheet1!$C$2:$C$185,$A64,Sheet1!$B$2:$B$185,N$55,Sheet1!$F$2:$F$185,$A$16:$A$50)*$C$16:$C$50)</f>
        <v>6</v>
      </c>
      <c r="O64" s="20" cm="1">
        <f t="array" ref="O64">SUMPRODUCT(COUNTIFS(Sheet1!$C$2:$C$185,$A64,Sheet1!$B$2:$B$185,O$55,Sheet1!$F$2:$F$185,$A$16:$A$50)*$C$16:$C$50)</f>
        <v>4</v>
      </c>
      <c r="P64" s="20" cm="1">
        <f t="array" ref="P64">SUMPRODUCT(COUNTIFS(Sheet1!$C$2:$C$185,$A64,Sheet1!$B$2:$B$185,P$55,Sheet1!$F$2:$F$185,$A$16:$A$50)*$C$16:$C$50)</f>
        <v>6</v>
      </c>
      <c r="Q64" s="25">
        <f t="shared" si="2"/>
        <v>6</v>
      </c>
    </row>
    <row r="65" spans="1:17" ht="14.5">
      <c r="A65" s="20" t="s">
        <v>586</v>
      </c>
      <c r="B65" s="20" cm="1">
        <f t="array" ref="B65">SUMPRODUCT(COUNTIFS(Sheet1!$C$2:$C$185,$A65,Sheet1!$B$2:$B$185,B$55,Sheet1!$F$2:$F$185,$A$16:$A$50)*$B$16:$B$50)</f>
        <v>0</v>
      </c>
      <c r="C65" s="20" cm="1">
        <f t="array" ref="C65">SUMPRODUCT(COUNTIFS(Sheet1!$C$2:$C$185,$A65,Sheet1!$B$2:$B$185,C$55,Sheet1!$F$2:$F$185,$A$16:$A$50)*$B$16:$B$50)</f>
        <v>0</v>
      </c>
      <c r="D65" s="20" cm="1">
        <f t="array" ref="D65">SUMPRODUCT(COUNTIFS(Sheet1!$C$2:$C$185,$A65,Sheet1!$B$2:$B$185,D$55,Sheet1!$F$2:$F$185,$A$16:$A$50)*$B$16:$B$50)</f>
        <v>1</v>
      </c>
      <c r="E65" s="20" cm="1">
        <f t="array" ref="E65">SUMPRODUCT(COUNTIFS(Sheet1!$C$2:$C$185,$A65,Sheet1!$B$2:$B$185,E$55,Sheet1!$F$2:$F$185,$A$16:$A$50)*$B$16:$B$50)</f>
        <v>1</v>
      </c>
      <c r="F65" s="20" cm="1">
        <f t="array" ref="F65">SUMPRODUCT(COUNTIFS(Sheet1!$C$2:$C$185,$A65,Sheet1!$B$2:$B$185,F$55,Sheet1!$F$2:$F$185,$A$16:$A$50)*$B$16:$B$50)</f>
        <v>1</v>
      </c>
      <c r="G65" s="20" cm="1">
        <f t="array" ref="G65">SUMPRODUCT(COUNTIFS(Sheet1!$C$2:$C$185,$A65,Sheet1!$B$2:$B$185,G$55,Sheet1!$F$2:$F$185,$A$16:$A$50)*$B$16:$B$50)</f>
        <v>1</v>
      </c>
      <c r="H65" s="20" cm="1">
        <f t="array" ref="H65">SUMPRODUCT(COUNTIFS(Sheet1!$C$2:$C$185,$A65,Sheet1!$B$2:$B$185,H$55,Sheet1!$F$2:$F$185,$A$16:$A$50)*$B$16:$B$50)</f>
        <v>1</v>
      </c>
      <c r="I65" s="25">
        <f t="shared" si="1"/>
        <v>1</v>
      </c>
      <c r="J65" s="20" cm="1">
        <f t="array" ref="J65">SUMPRODUCT(COUNTIFS(Sheet1!$C$2:$C$185,$A65,Sheet1!$B$2:$B$185,J$55,Sheet1!$F$2:$F$185,$A$16:$A$50)*$C$16:$C$50)</f>
        <v>0</v>
      </c>
      <c r="K65" s="20" cm="1">
        <f t="array" ref="K65">SUMPRODUCT(COUNTIFS(Sheet1!$C$2:$C$185,$A65,Sheet1!$B$2:$B$185,K$55,Sheet1!$F$2:$F$185,$A$16:$A$50)*$C$16:$C$50)</f>
        <v>0</v>
      </c>
      <c r="L65" s="20" cm="1">
        <f t="array" ref="L65">SUMPRODUCT(COUNTIFS(Sheet1!$C$2:$C$185,$A65,Sheet1!$B$2:$B$185,L$55,Sheet1!$F$2:$F$185,$A$16:$A$50)*$C$16:$C$50)</f>
        <v>4</v>
      </c>
      <c r="M65" s="20" cm="1">
        <f t="array" ref="M65">SUMPRODUCT(COUNTIFS(Sheet1!$C$2:$C$185,$A65,Sheet1!$B$2:$B$185,M$55,Sheet1!$F$2:$F$185,$A$16:$A$50)*$C$16:$C$50)</f>
        <v>4</v>
      </c>
      <c r="N65" s="20" cm="1">
        <f t="array" ref="N65">SUMPRODUCT(COUNTIFS(Sheet1!$C$2:$C$185,$A65,Sheet1!$B$2:$B$185,N$55,Sheet1!$F$2:$F$185,$A$16:$A$50)*$C$16:$C$50)</f>
        <v>4</v>
      </c>
      <c r="O65" s="20" cm="1">
        <f t="array" ref="O65">SUMPRODUCT(COUNTIFS(Sheet1!$C$2:$C$185,$A65,Sheet1!$B$2:$B$185,O$55,Sheet1!$F$2:$F$185,$A$16:$A$50)*$C$16:$C$50)</f>
        <v>2</v>
      </c>
      <c r="P65" s="20" cm="1">
        <f t="array" ref="P65">SUMPRODUCT(COUNTIFS(Sheet1!$C$2:$C$185,$A65,Sheet1!$B$2:$B$185,P$55,Sheet1!$F$2:$F$185,$A$16:$A$50)*$C$16:$C$50)</f>
        <v>4</v>
      </c>
      <c r="Q65" s="25">
        <f t="shared" si="2"/>
        <v>4</v>
      </c>
    </row>
    <row r="66" spans="1:17" ht="14.5">
      <c r="A66" s="20" t="s">
        <v>588</v>
      </c>
      <c r="B66" s="20" cm="1">
        <f t="array" ref="B66">SUMPRODUCT(COUNTIFS(Sheet1!$C$2:$C$185,$A66,Sheet1!$B$2:$B$185,B$55,Sheet1!$F$2:$F$185,$A$16:$A$50)*$B$16:$B$50)</f>
        <v>1</v>
      </c>
      <c r="C66" s="20" cm="1">
        <f t="array" ref="C66">SUMPRODUCT(COUNTIFS(Sheet1!$C$2:$C$185,$A66,Sheet1!$B$2:$B$185,C$55,Sheet1!$F$2:$F$185,$A$16:$A$50)*$B$16:$B$50)</f>
        <v>1</v>
      </c>
      <c r="D66" s="20" cm="1">
        <f t="array" ref="D66">SUMPRODUCT(COUNTIFS(Sheet1!$C$2:$C$185,$A66,Sheet1!$B$2:$B$185,D$55,Sheet1!$F$2:$F$185,$A$16:$A$50)*$B$16:$B$50)</f>
        <v>1</v>
      </c>
      <c r="E66" s="20" cm="1">
        <f t="array" ref="E66">SUMPRODUCT(COUNTIFS(Sheet1!$C$2:$C$185,$A66,Sheet1!$B$2:$B$185,E$55,Sheet1!$F$2:$F$185,$A$16:$A$50)*$B$16:$B$50)</f>
        <v>1</v>
      </c>
      <c r="F66" s="20" cm="1">
        <f t="array" ref="F66">SUMPRODUCT(COUNTIFS(Sheet1!$C$2:$C$185,$A66,Sheet1!$B$2:$B$185,F$55,Sheet1!$F$2:$F$185,$A$16:$A$50)*$B$16:$B$50)</f>
        <v>1</v>
      </c>
      <c r="G66" s="20" cm="1">
        <f t="array" ref="G66">SUMPRODUCT(COUNTIFS(Sheet1!$C$2:$C$185,$A66,Sheet1!$B$2:$B$185,G$55,Sheet1!$F$2:$F$185,$A$16:$A$50)*$B$16:$B$50)</f>
        <v>1</v>
      </c>
      <c r="H66" s="20" cm="1">
        <f t="array" ref="H66">SUMPRODUCT(COUNTIFS(Sheet1!$C$2:$C$185,$A66,Sheet1!$B$2:$B$185,H$55,Sheet1!$F$2:$F$185,$A$16:$A$50)*$B$16:$B$50)</f>
        <v>1</v>
      </c>
      <c r="I66" s="25">
        <f t="shared" si="1"/>
        <v>1</v>
      </c>
      <c r="J66" s="20" cm="1">
        <f t="array" ref="J66">SUMPRODUCT(COUNTIFS(Sheet1!$C$2:$C$185,$A66,Sheet1!$B$2:$B$185,J$55,Sheet1!$F$2:$F$185,$A$16:$A$50)*$C$16:$C$50)</f>
        <v>3</v>
      </c>
      <c r="K66" s="20" cm="1">
        <f t="array" ref="K66">SUMPRODUCT(COUNTIFS(Sheet1!$C$2:$C$185,$A66,Sheet1!$B$2:$B$185,K$55,Sheet1!$F$2:$F$185,$A$16:$A$50)*$C$16:$C$50)</f>
        <v>4</v>
      </c>
      <c r="L66" s="20" cm="1">
        <f t="array" ref="L66">SUMPRODUCT(COUNTIFS(Sheet1!$C$2:$C$185,$A66,Sheet1!$B$2:$B$185,L$55,Sheet1!$F$2:$F$185,$A$16:$A$50)*$C$16:$C$50)</f>
        <v>4</v>
      </c>
      <c r="M66" s="20" cm="1">
        <f t="array" ref="M66">SUMPRODUCT(COUNTIFS(Sheet1!$C$2:$C$185,$A66,Sheet1!$B$2:$B$185,M$55,Sheet1!$F$2:$F$185,$A$16:$A$50)*$C$16:$C$50)</f>
        <v>4</v>
      </c>
      <c r="N66" s="20" cm="1">
        <f t="array" ref="N66">SUMPRODUCT(COUNTIFS(Sheet1!$C$2:$C$185,$A66,Sheet1!$B$2:$B$185,N$55,Sheet1!$F$2:$F$185,$A$16:$A$50)*$C$16:$C$50)</f>
        <v>4</v>
      </c>
      <c r="O66" s="20" cm="1">
        <f t="array" ref="O66">SUMPRODUCT(COUNTIFS(Sheet1!$C$2:$C$185,$A66,Sheet1!$B$2:$B$185,O$55,Sheet1!$F$2:$F$185,$A$16:$A$50)*$C$16:$C$50)</f>
        <v>2</v>
      </c>
      <c r="P66" s="20" cm="1">
        <f t="array" ref="P66">SUMPRODUCT(COUNTIFS(Sheet1!$C$2:$C$185,$A66,Sheet1!$B$2:$B$185,P$55,Sheet1!$F$2:$F$185,$A$16:$A$50)*$C$16:$C$50)</f>
        <v>4</v>
      </c>
      <c r="Q66" s="25">
        <f t="shared" si="2"/>
        <v>4</v>
      </c>
    </row>
    <row r="67" spans="1:17" ht="14.5">
      <c r="A67" s="20" t="s">
        <v>591</v>
      </c>
      <c r="B67" s="20" cm="1">
        <f t="array" ref="B67">SUMPRODUCT(COUNTIFS(Sheet1!$C$2:$C$185,$A67,Sheet1!$B$2:$B$185,B$55,Sheet1!$F$2:$F$185,$A$16:$A$50)*$B$16:$B$50)</f>
        <v>1</v>
      </c>
      <c r="C67" s="20" cm="1">
        <f t="array" ref="C67">SUMPRODUCT(COUNTIFS(Sheet1!$C$2:$C$185,$A67,Sheet1!$B$2:$B$185,C$55,Sheet1!$F$2:$F$185,$A$16:$A$50)*$B$16:$B$50)</f>
        <v>1</v>
      </c>
      <c r="D67" s="20" cm="1">
        <f t="array" ref="D67">SUMPRODUCT(COUNTIFS(Sheet1!$C$2:$C$185,$A67,Sheet1!$B$2:$B$185,D$55,Sheet1!$F$2:$F$185,$A$16:$A$50)*$B$16:$B$50)</f>
        <v>1</v>
      </c>
      <c r="E67" s="20" cm="1">
        <f t="array" ref="E67">SUMPRODUCT(COUNTIFS(Sheet1!$C$2:$C$185,$A67,Sheet1!$B$2:$B$185,E$55,Sheet1!$F$2:$F$185,$A$16:$A$50)*$B$16:$B$50)</f>
        <v>1</v>
      </c>
      <c r="F67" s="20" cm="1">
        <f t="array" ref="F67">SUMPRODUCT(COUNTIFS(Sheet1!$C$2:$C$185,$A67,Sheet1!$B$2:$B$185,F$55,Sheet1!$F$2:$F$185,$A$16:$A$50)*$B$16:$B$50)</f>
        <v>1</v>
      </c>
      <c r="G67" s="20" cm="1">
        <f t="array" ref="G67">SUMPRODUCT(COUNTIFS(Sheet1!$C$2:$C$185,$A67,Sheet1!$B$2:$B$185,G$55,Sheet1!$F$2:$F$185,$A$16:$A$50)*$B$16:$B$50)</f>
        <v>1</v>
      </c>
      <c r="H67" s="20" cm="1">
        <f t="array" ref="H67">SUMPRODUCT(COUNTIFS(Sheet1!$C$2:$C$185,$A67,Sheet1!$B$2:$B$185,H$55,Sheet1!$F$2:$F$185,$A$16:$A$50)*$B$16:$B$50)</f>
        <v>1</v>
      </c>
      <c r="I67" s="25">
        <f t="shared" si="1"/>
        <v>1</v>
      </c>
      <c r="J67" s="20" cm="1">
        <f t="array" ref="J67">SUMPRODUCT(COUNTIFS(Sheet1!$C$2:$C$185,$A67,Sheet1!$B$2:$B$185,J$55,Sheet1!$F$2:$F$185,$A$16:$A$50)*$C$16:$C$50)</f>
        <v>2</v>
      </c>
      <c r="K67" s="20" cm="1">
        <f t="array" ref="K67">SUMPRODUCT(COUNTIFS(Sheet1!$C$2:$C$185,$A67,Sheet1!$B$2:$B$185,K$55,Sheet1!$F$2:$F$185,$A$16:$A$50)*$C$16:$C$50)</f>
        <v>2</v>
      </c>
      <c r="L67" s="20" cm="1">
        <f t="array" ref="L67">SUMPRODUCT(COUNTIFS(Sheet1!$C$2:$C$185,$A67,Sheet1!$B$2:$B$185,L$55,Sheet1!$F$2:$F$185,$A$16:$A$50)*$C$16:$C$50)</f>
        <v>2</v>
      </c>
      <c r="M67" s="20" cm="1">
        <f t="array" ref="M67">SUMPRODUCT(COUNTIFS(Sheet1!$C$2:$C$185,$A67,Sheet1!$B$2:$B$185,M$55,Sheet1!$F$2:$F$185,$A$16:$A$50)*$C$16:$C$50)</f>
        <v>3</v>
      </c>
      <c r="N67" s="20" cm="1">
        <f t="array" ref="N67">SUMPRODUCT(COUNTIFS(Sheet1!$C$2:$C$185,$A67,Sheet1!$B$2:$B$185,N$55,Sheet1!$F$2:$F$185,$A$16:$A$50)*$C$16:$C$50)</f>
        <v>4</v>
      </c>
      <c r="O67" s="20" cm="1">
        <f t="array" ref="O67">SUMPRODUCT(COUNTIFS(Sheet1!$C$2:$C$185,$A67,Sheet1!$B$2:$B$185,O$55,Sheet1!$F$2:$F$185,$A$16:$A$50)*$C$16:$C$50)</f>
        <v>4</v>
      </c>
      <c r="P67" s="20" cm="1">
        <f t="array" ref="P67">SUMPRODUCT(COUNTIFS(Sheet1!$C$2:$C$185,$A67,Sheet1!$B$2:$B$185,P$55,Sheet1!$F$2:$F$185,$A$16:$A$50)*$C$16:$C$50)</f>
        <v>4</v>
      </c>
      <c r="Q67" s="25">
        <f t="shared" si="2"/>
        <v>4</v>
      </c>
    </row>
    <row r="68" spans="1:17" ht="14.5">
      <c r="A68" s="20" t="s">
        <v>593</v>
      </c>
      <c r="B68" s="20" cm="1">
        <f t="array" ref="B68">SUMPRODUCT(COUNTIFS(Sheet1!$C$2:$C$185,$A68,Sheet1!$B$2:$B$185,B$55,Sheet1!$F$2:$F$185,$A$16:$A$50)*$B$16:$B$50)</f>
        <v>1</v>
      </c>
      <c r="C68" s="20" cm="1">
        <f t="array" ref="C68">SUMPRODUCT(COUNTIFS(Sheet1!$C$2:$C$185,$A68,Sheet1!$B$2:$B$185,C$55,Sheet1!$F$2:$F$185,$A$16:$A$50)*$B$16:$B$50)</f>
        <v>1</v>
      </c>
      <c r="D68" s="20" cm="1">
        <f t="array" ref="D68">SUMPRODUCT(COUNTIFS(Sheet1!$C$2:$C$185,$A68,Sheet1!$B$2:$B$185,D$55,Sheet1!$F$2:$F$185,$A$16:$A$50)*$B$16:$B$50)</f>
        <v>2</v>
      </c>
      <c r="E68" s="20" cm="1">
        <f t="array" ref="E68">SUMPRODUCT(COUNTIFS(Sheet1!$C$2:$C$185,$A68,Sheet1!$B$2:$B$185,E$55,Sheet1!$F$2:$F$185,$A$16:$A$50)*$B$16:$B$50)</f>
        <v>2</v>
      </c>
      <c r="F68" s="20" cm="1">
        <f t="array" ref="F68">SUMPRODUCT(COUNTIFS(Sheet1!$C$2:$C$185,$A68,Sheet1!$B$2:$B$185,F$55,Sheet1!$F$2:$F$185,$A$16:$A$50)*$B$16:$B$50)</f>
        <v>2</v>
      </c>
      <c r="G68" s="20" cm="1">
        <f t="array" ref="G68">SUMPRODUCT(COUNTIFS(Sheet1!$C$2:$C$185,$A68,Sheet1!$B$2:$B$185,G$55,Sheet1!$F$2:$F$185,$A$16:$A$50)*$B$16:$B$50)</f>
        <v>1</v>
      </c>
      <c r="H68" s="20" cm="1">
        <f t="array" ref="H68">SUMPRODUCT(COUNTIFS(Sheet1!$C$2:$C$185,$A68,Sheet1!$B$2:$B$185,H$55,Sheet1!$F$2:$F$185,$A$16:$A$50)*$B$16:$B$50)</f>
        <v>1</v>
      </c>
      <c r="I68" s="25">
        <f t="shared" si="1"/>
        <v>2</v>
      </c>
      <c r="J68" s="20" cm="1">
        <f t="array" ref="J68">SUMPRODUCT(COUNTIFS(Sheet1!$C$2:$C$185,$A68,Sheet1!$B$2:$B$185,J$55,Sheet1!$F$2:$F$185,$A$16:$A$50)*$C$16:$C$50)</f>
        <v>2</v>
      </c>
      <c r="K68" s="20" cm="1">
        <f t="array" ref="K68">SUMPRODUCT(COUNTIFS(Sheet1!$C$2:$C$185,$A68,Sheet1!$B$2:$B$185,K$55,Sheet1!$F$2:$F$185,$A$16:$A$50)*$C$16:$C$50)</f>
        <v>4</v>
      </c>
      <c r="L68" s="20" cm="1">
        <f t="array" ref="L68">SUMPRODUCT(COUNTIFS(Sheet1!$C$2:$C$185,$A68,Sheet1!$B$2:$B$185,L$55,Sheet1!$F$2:$F$185,$A$16:$A$50)*$C$16:$C$50)</f>
        <v>6</v>
      </c>
      <c r="M68" s="20" cm="1">
        <f t="array" ref="M68">SUMPRODUCT(COUNTIFS(Sheet1!$C$2:$C$185,$A68,Sheet1!$B$2:$B$185,M$55,Sheet1!$F$2:$F$185,$A$16:$A$50)*$C$16:$C$50)</f>
        <v>8</v>
      </c>
      <c r="N68" s="20" cm="1">
        <f t="array" ref="N68">SUMPRODUCT(COUNTIFS(Sheet1!$C$2:$C$185,$A68,Sheet1!$B$2:$B$185,N$55,Sheet1!$F$2:$F$185,$A$16:$A$50)*$C$16:$C$50)</f>
        <v>8</v>
      </c>
      <c r="O68" s="20" cm="1">
        <f t="array" ref="O68">SUMPRODUCT(COUNTIFS(Sheet1!$C$2:$C$185,$A68,Sheet1!$B$2:$B$185,O$55,Sheet1!$F$2:$F$185,$A$16:$A$50)*$C$16:$C$50)</f>
        <v>4</v>
      </c>
      <c r="P68" s="20" cm="1">
        <f t="array" ref="P68">SUMPRODUCT(COUNTIFS(Sheet1!$C$2:$C$185,$A68,Sheet1!$B$2:$B$185,P$55,Sheet1!$F$2:$F$185,$A$16:$A$50)*$C$16:$C$50)</f>
        <v>4</v>
      </c>
      <c r="Q68" s="25">
        <f t="shared" si="2"/>
        <v>8</v>
      </c>
    </row>
    <row r="69" spans="1:17" ht="14.5">
      <c r="A69" s="20" t="s">
        <v>595</v>
      </c>
      <c r="B69" s="20" cm="1">
        <f t="array" ref="B69">SUMPRODUCT(COUNTIFS(Sheet1!$C$2:$C$185,$A69,Sheet1!$B$2:$B$185,B$55,Sheet1!$F$2:$F$185,$A$16:$A$50)*$B$16:$B$50)</f>
        <v>1</v>
      </c>
      <c r="C69" s="20" cm="1">
        <f t="array" ref="C69">SUMPRODUCT(COUNTIFS(Sheet1!$C$2:$C$185,$A69,Sheet1!$B$2:$B$185,C$55,Sheet1!$F$2:$F$185,$A$16:$A$50)*$B$16:$B$50)</f>
        <v>1</v>
      </c>
      <c r="D69" s="20" cm="1">
        <f t="array" ref="D69">SUMPRODUCT(COUNTIFS(Sheet1!$C$2:$C$185,$A69,Sheet1!$B$2:$B$185,D$55,Sheet1!$F$2:$F$185,$A$16:$A$50)*$B$16:$B$50)</f>
        <v>1</v>
      </c>
      <c r="E69" s="20" cm="1">
        <f t="array" ref="E69">SUMPRODUCT(COUNTIFS(Sheet1!$C$2:$C$185,$A69,Sheet1!$B$2:$B$185,E$55,Sheet1!$F$2:$F$185,$A$16:$A$50)*$B$16:$B$50)</f>
        <v>1</v>
      </c>
      <c r="F69" s="20" cm="1">
        <f t="array" ref="F69">SUMPRODUCT(COUNTIFS(Sheet1!$C$2:$C$185,$A69,Sheet1!$B$2:$B$185,F$55,Sheet1!$F$2:$F$185,$A$16:$A$50)*$B$16:$B$50)</f>
        <v>1</v>
      </c>
      <c r="G69" s="20" cm="1">
        <f t="array" ref="G69">SUMPRODUCT(COUNTIFS(Sheet1!$C$2:$C$185,$A69,Sheet1!$B$2:$B$185,G$55,Sheet1!$F$2:$F$185,$A$16:$A$50)*$B$16:$B$50)</f>
        <v>1</v>
      </c>
      <c r="H69" s="20" cm="1">
        <f t="array" ref="H69">SUMPRODUCT(COUNTIFS(Sheet1!$C$2:$C$185,$A69,Sheet1!$B$2:$B$185,H$55,Sheet1!$F$2:$F$185,$A$16:$A$50)*$B$16:$B$50)</f>
        <v>1</v>
      </c>
      <c r="I69" s="25">
        <f t="shared" si="1"/>
        <v>1</v>
      </c>
      <c r="J69" s="20" cm="1">
        <f t="array" ref="J69">SUMPRODUCT(COUNTIFS(Sheet1!$C$2:$C$185,$A69,Sheet1!$B$2:$B$185,J$55,Sheet1!$F$2:$F$185,$A$16:$A$50)*$C$16:$C$50)</f>
        <v>4</v>
      </c>
      <c r="K69" s="20" cm="1">
        <f t="array" ref="K69">SUMPRODUCT(COUNTIFS(Sheet1!$C$2:$C$185,$A69,Sheet1!$B$2:$B$185,K$55,Sheet1!$F$2:$F$185,$A$16:$A$50)*$C$16:$C$50)</f>
        <v>4</v>
      </c>
      <c r="L69" s="20" cm="1">
        <f t="array" ref="L69">SUMPRODUCT(COUNTIFS(Sheet1!$C$2:$C$185,$A69,Sheet1!$B$2:$B$185,L$55,Sheet1!$F$2:$F$185,$A$16:$A$50)*$C$16:$C$50)</f>
        <v>4</v>
      </c>
      <c r="M69" s="20" cm="1">
        <f t="array" ref="M69">SUMPRODUCT(COUNTIFS(Sheet1!$C$2:$C$185,$A69,Sheet1!$B$2:$B$185,M$55,Sheet1!$F$2:$F$185,$A$16:$A$50)*$C$16:$C$50)</f>
        <v>4</v>
      </c>
      <c r="N69" s="20" cm="1">
        <f t="array" ref="N69">SUMPRODUCT(COUNTIFS(Sheet1!$C$2:$C$185,$A69,Sheet1!$B$2:$B$185,N$55,Sheet1!$F$2:$F$185,$A$16:$A$50)*$C$16:$C$50)</f>
        <v>4</v>
      </c>
      <c r="O69" s="20" cm="1">
        <f t="array" ref="O69">SUMPRODUCT(COUNTIFS(Sheet1!$C$2:$C$185,$A69,Sheet1!$B$2:$B$185,O$55,Sheet1!$F$2:$F$185,$A$16:$A$50)*$C$16:$C$50)</f>
        <v>4</v>
      </c>
      <c r="P69" s="20" cm="1">
        <f t="array" ref="P69">SUMPRODUCT(COUNTIFS(Sheet1!$C$2:$C$185,$A69,Sheet1!$B$2:$B$185,P$55,Sheet1!$F$2:$F$185,$A$16:$A$50)*$C$16:$C$50)</f>
        <v>4</v>
      </c>
      <c r="Q69" s="25">
        <f t="shared" si="2"/>
        <v>4</v>
      </c>
    </row>
    <row r="70" spans="1:17" ht="14.5">
      <c r="A70" s="20" t="s">
        <v>597</v>
      </c>
      <c r="B70" s="20" cm="1">
        <f t="array" ref="B70">SUMPRODUCT(COUNTIFS(Sheet1!$C$2:$C$185,$A70,Sheet1!$B$2:$B$185,B$55,Sheet1!$F$2:$F$185,$A$16:$A$50)*$B$16:$B$50)</f>
        <v>0</v>
      </c>
      <c r="C70" s="20" cm="1">
        <f t="array" ref="C70">SUMPRODUCT(COUNTIFS(Sheet1!$C$2:$C$185,$A70,Sheet1!$B$2:$B$185,C$55,Sheet1!$F$2:$F$185,$A$16:$A$50)*$B$16:$B$50)</f>
        <v>0</v>
      </c>
      <c r="D70" s="20" cm="1">
        <f t="array" ref="D70">SUMPRODUCT(COUNTIFS(Sheet1!$C$2:$C$185,$A70,Sheet1!$B$2:$B$185,D$55,Sheet1!$F$2:$F$185,$A$16:$A$50)*$B$16:$B$50)</f>
        <v>0</v>
      </c>
      <c r="E70" s="20" cm="1">
        <f t="array" ref="E70">SUMPRODUCT(COUNTIFS(Sheet1!$C$2:$C$185,$A70,Sheet1!$B$2:$B$185,E$55,Sheet1!$F$2:$F$185,$A$16:$A$50)*$B$16:$B$50)</f>
        <v>0</v>
      </c>
      <c r="F70" s="20" cm="1">
        <f t="array" ref="F70">SUMPRODUCT(COUNTIFS(Sheet1!$C$2:$C$185,$A70,Sheet1!$B$2:$B$185,F$55,Sheet1!$F$2:$F$185,$A$16:$A$50)*$B$16:$B$50)</f>
        <v>1</v>
      </c>
      <c r="G70" s="20" cm="1">
        <f t="array" ref="G70">SUMPRODUCT(COUNTIFS(Sheet1!$C$2:$C$185,$A70,Sheet1!$B$2:$B$185,G$55,Sheet1!$F$2:$F$185,$A$16:$A$50)*$B$16:$B$50)</f>
        <v>0</v>
      </c>
      <c r="H70" s="20" cm="1">
        <f t="array" ref="H70">SUMPRODUCT(COUNTIFS(Sheet1!$C$2:$C$185,$A70,Sheet1!$B$2:$B$185,H$55,Sheet1!$F$2:$F$185,$A$16:$A$50)*$B$16:$B$50)</f>
        <v>0</v>
      </c>
      <c r="I70" s="25">
        <f t="shared" si="1"/>
        <v>1</v>
      </c>
      <c r="J70" s="20" cm="1">
        <f t="array" ref="J70">SUMPRODUCT(COUNTIFS(Sheet1!$C$2:$C$185,$A70,Sheet1!$B$2:$B$185,J$55,Sheet1!$F$2:$F$185,$A$16:$A$50)*$C$16:$C$50)</f>
        <v>0</v>
      </c>
      <c r="K70" s="20" cm="1">
        <f t="array" ref="K70">SUMPRODUCT(COUNTIFS(Sheet1!$C$2:$C$185,$A70,Sheet1!$B$2:$B$185,K$55,Sheet1!$F$2:$F$185,$A$16:$A$50)*$C$16:$C$50)</f>
        <v>0</v>
      </c>
      <c r="L70" s="20" cm="1">
        <f t="array" ref="L70">SUMPRODUCT(COUNTIFS(Sheet1!$C$2:$C$185,$A70,Sheet1!$B$2:$B$185,L$55,Sheet1!$F$2:$F$185,$A$16:$A$50)*$C$16:$C$50)</f>
        <v>0</v>
      </c>
      <c r="M70" s="20" cm="1">
        <f t="array" ref="M70">SUMPRODUCT(COUNTIFS(Sheet1!$C$2:$C$185,$A70,Sheet1!$B$2:$B$185,M$55,Sheet1!$F$2:$F$185,$A$16:$A$50)*$C$16:$C$50)</f>
        <v>0</v>
      </c>
      <c r="N70" s="20" cm="1">
        <f t="array" ref="N70">SUMPRODUCT(COUNTIFS(Sheet1!$C$2:$C$185,$A70,Sheet1!$B$2:$B$185,N$55,Sheet1!$F$2:$F$185,$A$16:$A$50)*$C$16:$C$50)</f>
        <v>4</v>
      </c>
      <c r="O70" s="20" cm="1">
        <f t="array" ref="O70">SUMPRODUCT(COUNTIFS(Sheet1!$C$2:$C$185,$A70,Sheet1!$B$2:$B$185,O$55,Sheet1!$F$2:$F$185,$A$16:$A$50)*$C$16:$C$50)</f>
        <v>0</v>
      </c>
      <c r="P70" s="20" cm="1">
        <f t="array" ref="P70">SUMPRODUCT(COUNTIFS(Sheet1!$C$2:$C$185,$A70,Sheet1!$B$2:$B$185,P$55,Sheet1!$F$2:$F$185,$A$16:$A$50)*$C$16:$C$50)</f>
        <v>0</v>
      </c>
      <c r="Q70" s="25">
        <f t="shared" si="2"/>
        <v>4</v>
      </c>
    </row>
    <row r="71" spans="1:17" ht="14.5">
      <c r="A71" s="20" t="s">
        <v>599</v>
      </c>
      <c r="B71" s="20" cm="1">
        <f t="array" ref="B71">SUMPRODUCT(COUNTIFS(Sheet1!$C$2:$C$185,$A71,Sheet1!$B$2:$B$185,B$55,Sheet1!$F$2:$F$185,$A$16:$A$50)*$B$16:$B$50)</f>
        <v>0</v>
      </c>
      <c r="C71" s="20" cm="1">
        <f t="array" ref="C71">SUMPRODUCT(COUNTIFS(Sheet1!$C$2:$C$185,$A71,Sheet1!$B$2:$B$185,C$55,Sheet1!$F$2:$F$185,$A$16:$A$50)*$B$16:$B$50)</f>
        <v>0</v>
      </c>
      <c r="D71" s="20" cm="1">
        <f t="array" ref="D71">SUMPRODUCT(COUNTIFS(Sheet1!$C$2:$C$185,$A71,Sheet1!$B$2:$B$185,D$55,Sheet1!$F$2:$F$185,$A$16:$A$50)*$B$16:$B$50)</f>
        <v>0</v>
      </c>
      <c r="E71" s="20" cm="1">
        <f t="array" ref="E71">SUMPRODUCT(COUNTIFS(Sheet1!$C$2:$C$185,$A71,Sheet1!$B$2:$B$185,E$55,Sheet1!$F$2:$F$185,$A$16:$A$50)*$B$16:$B$50)</f>
        <v>1</v>
      </c>
      <c r="F71" s="20" cm="1">
        <f t="array" ref="F71">SUMPRODUCT(COUNTIFS(Sheet1!$C$2:$C$185,$A71,Sheet1!$B$2:$B$185,F$55,Sheet1!$F$2:$F$185,$A$16:$A$50)*$B$16:$B$50)</f>
        <v>1</v>
      </c>
      <c r="G71" s="20" cm="1">
        <f t="array" ref="G71">SUMPRODUCT(COUNTIFS(Sheet1!$C$2:$C$185,$A71,Sheet1!$B$2:$B$185,G$55,Sheet1!$F$2:$F$185,$A$16:$A$50)*$B$16:$B$50)</f>
        <v>1</v>
      </c>
      <c r="H71" s="20" cm="1">
        <f t="array" ref="H71">SUMPRODUCT(COUNTIFS(Sheet1!$C$2:$C$185,$A71,Sheet1!$B$2:$B$185,H$55,Sheet1!$F$2:$F$185,$A$16:$A$50)*$B$16:$B$50)</f>
        <v>1</v>
      </c>
      <c r="I71" s="25">
        <f t="shared" si="1"/>
        <v>1</v>
      </c>
      <c r="J71" s="20" cm="1">
        <f t="array" ref="J71">SUMPRODUCT(COUNTIFS(Sheet1!$C$2:$C$185,$A71,Sheet1!$B$2:$B$185,J$55,Sheet1!$F$2:$F$185,$A$16:$A$50)*$C$16:$C$50)</f>
        <v>0</v>
      </c>
      <c r="K71" s="20" cm="1">
        <f t="array" ref="K71">SUMPRODUCT(COUNTIFS(Sheet1!$C$2:$C$185,$A71,Sheet1!$B$2:$B$185,K$55,Sheet1!$F$2:$F$185,$A$16:$A$50)*$C$16:$C$50)</f>
        <v>0</v>
      </c>
      <c r="L71" s="20" cm="1">
        <f t="array" ref="L71">SUMPRODUCT(COUNTIFS(Sheet1!$C$2:$C$185,$A71,Sheet1!$B$2:$B$185,L$55,Sheet1!$F$2:$F$185,$A$16:$A$50)*$C$16:$C$50)</f>
        <v>0</v>
      </c>
      <c r="M71" s="20" cm="1">
        <f t="array" ref="M71">SUMPRODUCT(COUNTIFS(Sheet1!$C$2:$C$185,$A71,Sheet1!$B$2:$B$185,M$55,Sheet1!$F$2:$F$185,$A$16:$A$50)*$C$16:$C$50)</f>
        <v>3</v>
      </c>
      <c r="N71" s="20" cm="1">
        <f t="array" ref="N71">SUMPRODUCT(COUNTIFS(Sheet1!$C$2:$C$185,$A71,Sheet1!$B$2:$B$185,N$55,Sheet1!$F$2:$F$185,$A$16:$A$50)*$C$16:$C$50)</f>
        <v>3</v>
      </c>
      <c r="O71" s="20" cm="1">
        <f t="array" ref="O71">SUMPRODUCT(COUNTIFS(Sheet1!$C$2:$C$185,$A71,Sheet1!$B$2:$B$185,O$55,Sheet1!$F$2:$F$185,$A$16:$A$50)*$C$16:$C$50)</f>
        <v>4</v>
      </c>
      <c r="P71" s="20" cm="1">
        <f t="array" ref="P71">SUMPRODUCT(COUNTIFS(Sheet1!$C$2:$C$185,$A71,Sheet1!$B$2:$B$185,P$55,Sheet1!$F$2:$F$185,$A$16:$A$50)*$C$16:$C$50)</f>
        <v>3</v>
      </c>
      <c r="Q71" s="25">
        <f t="shared" si="2"/>
        <v>4</v>
      </c>
    </row>
    <row r="72" spans="1:17" ht="14.5">
      <c r="A72" s="20" t="s">
        <v>601</v>
      </c>
      <c r="B72" s="20" cm="1">
        <f t="array" ref="B72">SUMPRODUCT(COUNTIFS(Sheet1!$C$2:$C$185,$A72,Sheet1!$B$2:$B$185,B$55,Sheet1!$F$2:$F$185,$A$16:$A$50)*$B$16:$B$50)</f>
        <v>1</v>
      </c>
      <c r="C72" s="20" cm="1">
        <f t="array" ref="C72">SUMPRODUCT(COUNTIFS(Sheet1!$C$2:$C$185,$A72,Sheet1!$B$2:$B$185,C$55,Sheet1!$F$2:$F$185,$A$16:$A$50)*$B$16:$B$50)</f>
        <v>1</v>
      </c>
      <c r="D72" s="20" cm="1">
        <f t="array" ref="D72">SUMPRODUCT(COUNTIFS(Sheet1!$C$2:$C$185,$A72,Sheet1!$B$2:$B$185,D$55,Sheet1!$F$2:$F$185,$A$16:$A$50)*$B$16:$B$50)</f>
        <v>2</v>
      </c>
      <c r="E72" s="20" cm="1">
        <f t="array" ref="E72">SUMPRODUCT(COUNTIFS(Sheet1!$C$2:$C$185,$A72,Sheet1!$B$2:$B$185,E$55,Sheet1!$F$2:$F$185,$A$16:$A$50)*$B$16:$B$50)</f>
        <v>1</v>
      </c>
      <c r="F72" s="20" cm="1">
        <f t="array" ref="F72">SUMPRODUCT(COUNTIFS(Sheet1!$C$2:$C$185,$A72,Sheet1!$B$2:$B$185,F$55,Sheet1!$F$2:$F$185,$A$16:$A$50)*$B$16:$B$50)</f>
        <v>1</v>
      </c>
      <c r="G72" s="20" cm="1">
        <f t="array" ref="G72">SUMPRODUCT(COUNTIFS(Sheet1!$C$2:$C$185,$A72,Sheet1!$B$2:$B$185,G$55,Sheet1!$F$2:$F$185,$A$16:$A$50)*$B$16:$B$50)</f>
        <v>1</v>
      </c>
      <c r="H72" s="20" cm="1">
        <f t="array" ref="H72">SUMPRODUCT(COUNTIFS(Sheet1!$C$2:$C$185,$A72,Sheet1!$B$2:$B$185,H$55,Sheet1!$F$2:$F$185,$A$16:$A$50)*$B$16:$B$50)</f>
        <v>1</v>
      </c>
      <c r="I72" s="25">
        <f t="shared" si="1"/>
        <v>2</v>
      </c>
      <c r="J72" s="20" cm="1">
        <f t="array" ref="J72">SUMPRODUCT(COUNTIFS(Sheet1!$C$2:$C$185,$A72,Sheet1!$B$2:$B$185,J$55,Sheet1!$F$2:$F$185,$A$16:$A$50)*$C$16:$C$50)</f>
        <v>4</v>
      </c>
      <c r="K72" s="20" cm="1">
        <f t="array" ref="K72">SUMPRODUCT(COUNTIFS(Sheet1!$C$2:$C$185,$A72,Sheet1!$B$2:$B$185,K$55,Sheet1!$F$2:$F$185,$A$16:$A$50)*$C$16:$C$50)</f>
        <v>4</v>
      </c>
      <c r="L72" s="20" cm="1">
        <f t="array" ref="L72">SUMPRODUCT(COUNTIFS(Sheet1!$C$2:$C$185,$A72,Sheet1!$B$2:$B$185,L$55,Sheet1!$F$2:$F$185,$A$16:$A$50)*$C$16:$C$50)</f>
        <v>6</v>
      </c>
      <c r="M72" s="20" cm="1">
        <f t="array" ref="M72">SUMPRODUCT(COUNTIFS(Sheet1!$C$2:$C$185,$A72,Sheet1!$B$2:$B$185,M$55,Sheet1!$F$2:$F$185,$A$16:$A$50)*$C$16:$C$50)</f>
        <v>4</v>
      </c>
      <c r="N72" s="20" cm="1">
        <f t="array" ref="N72">SUMPRODUCT(COUNTIFS(Sheet1!$C$2:$C$185,$A72,Sheet1!$B$2:$B$185,N$55,Sheet1!$F$2:$F$185,$A$16:$A$50)*$C$16:$C$50)</f>
        <v>3</v>
      </c>
      <c r="O72" s="20" cm="1">
        <f t="array" ref="O72">SUMPRODUCT(COUNTIFS(Sheet1!$C$2:$C$185,$A72,Sheet1!$B$2:$B$185,O$55,Sheet1!$F$2:$F$185,$A$16:$A$50)*$C$16:$C$50)</f>
        <v>4</v>
      </c>
      <c r="P72" s="20" cm="1">
        <f t="array" ref="P72">SUMPRODUCT(COUNTIFS(Sheet1!$C$2:$C$185,$A72,Sheet1!$B$2:$B$185,P$55,Sheet1!$F$2:$F$185,$A$16:$A$50)*$C$16:$C$50)</f>
        <v>4</v>
      </c>
      <c r="Q72" s="25">
        <f t="shared" si="2"/>
        <v>6</v>
      </c>
    </row>
    <row r="73" spans="1:17" ht="14.5">
      <c r="A73" s="20" t="s">
        <v>604</v>
      </c>
      <c r="B73" s="20" cm="1">
        <f t="array" ref="B73">SUMPRODUCT(COUNTIFS(Sheet1!$C$2:$C$185,$A73,Sheet1!$B$2:$B$185,B$55,Sheet1!$F$2:$F$185,$A$16:$A$50)*$B$16:$B$50)</f>
        <v>1</v>
      </c>
      <c r="C73" s="20" cm="1">
        <f t="array" ref="C73">SUMPRODUCT(COUNTIFS(Sheet1!$C$2:$C$185,$A73,Sheet1!$B$2:$B$185,C$55,Sheet1!$F$2:$F$185,$A$16:$A$50)*$B$16:$B$50)</f>
        <v>2</v>
      </c>
      <c r="D73" s="20" cm="1">
        <f t="array" ref="D73">SUMPRODUCT(COUNTIFS(Sheet1!$C$2:$C$185,$A73,Sheet1!$B$2:$B$185,D$55,Sheet1!$F$2:$F$185,$A$16:$A$50)*$B$16:$B$50)</f>
        <v>3</v>
      </c>
      <c r="E73" s="20" cm="1">
        <f t="array" ref="E73">SUMPRODUCT(COUNTIFS(Sheet1!$C$2:$C$185,$A73,Sheet1!$B$2:$B$185,E$55,Sheet1!$F$2:$F$185,$A$16:$A$50)*$B$16:$B$50)</f>
        <v>2</v>
      </c>
      <c r="F73" s="20" cm="1">
        <f t="array" ref="F73">SUMPRODUCT(COUNTIFS(Sheet1!$C$2:$C$185,$A73,Sheet1!$B$2:$B$185,F$55,Sheet1!$F$2:$F$185,$A$16:$A$50)*$B$16:$B$50)</f>
        <v>2</v>
      </c>
      <c r="G73" s="20" cm="1">
        <f t="array" ref="G73">SUMPRODUCT(COUNTIFS(Sheet1!$C$2:$C$185,$A73,Sheet1!$B$2:$B$185,G$55,Sheet1!$F$2:$F$185,$A$16:$A$50)*$B$16:$B$50)</f>
        <v>2</v>
      </c>
      <c r="H73" s="20" cm="1">
        <f t="array" ref="H73">SUMPRODUCT(COUNTIFS(Sheet1!$C$2:$C$185,$A73,Sheet1!$B$2:$B$185,H$55,Sheet1!$F$2:$F$185,$A$16:$A$50)*$B$16:$B$50)</f>
        <v>1</v>
      </c>
      <c r="I73" s="25">
        <f t="shared" si="1"/>
        <v>3</v>
      </c>
      <c r="J73" s="20" cm="1">
        <f t="array" ref="J73">SUMPRODUCT(COUNTIFS(Sheet1!$C$2:$C$185,$A73,Sheet1!$B$2:$B$185,J$55,Sheet1!$F$2:$F$185,$A$16:$A$50)*$C$16:$C$50)</f>
        <v>4</v>
      </c>
      <c r="K73" s="20" cm="1">
        <f t="array" ref="K73">SUMPRODUCT(COUNTIFS(Sheet1!$C$2:$C$185,$A73,Sheet1!$B$2:$B$185,K$55,Sheet1!$F$2:$F$185,$A$16:$A$50)*$C$16:$C$50)</f>
        <v>8</v>
      </c>
      <c r="L73" s="20" cm="1">
        <f t="array" ref="L73">SUMPRODUCT(COUNTIFS(Sheet1!$C$2:$C$185,$A73,Sheet1!$B$2:$B$185,L$55,Sheet1!$F$2:$F$185,$A$16:$A$50)*$C$16:$C$50)</f>
        <v>12</v>
      </c>
      <c r="M73" s="20" cm="1">
        <f t="array" ref="M73">SUMPRODUCT(COUNTIFS(Sheet1!$C$2:$C$185,$A73,Sheet1!$B$2:$B$185,M$55,Sheet1!$F$2:$F$185,$A$16:$A$50)*$C$16:$C$50)</f>
        <v>4</v>
      </c>
      <c r="N73" s="20" cm="1">
        <f t="array" ref="N73">SUMPRODUCT(COUNTIFS(Sheet1!$C$2:$C$185,$A73,Sheet1!$B$2:$B$185,N$55,Sheet1!$F$2:$F$185,$A$16:$A$50)*$C$16:$C$50)</f>
        <v>4</v>
      </c>
      <c r="O73" s="20" cm="1">
        <f t="array" ref="O73">SUMPRODUCT(COUNTIFS(Sheet1!$C$2:$C$185,$A73,Sheet1!$B$2:$B$185,O$55,Sheet1!$F$2:$F$185,$A$16:$A$50)*$C$16:$C$50)</f>
        <v>4</v>
      </c>
      <c r="P73" s="20" cm="1">
        <f t="array" ref="P73">SUMPRODUCT(COUNTIFS(Sheet1!$C$2:$C$185,$A73,Sheet1!$B$2:$B$185,P$55,Sheet1!$F$2:$F$185,$A$16:$A$50)*$C$16:$C$50)</f>
        <v>4</v>
      </c>
      <c r="Q73" s="25">
        <f t="shared" si="2"/>
        <v>12</v>
      </c>
    </row>
    <row r="74" spans="1:17" ht="14.5">
      <c r="A74" s="20" t="s">
        <v>606</v>
      </c>
      <c r="B74" s="20" cm="1">
        <f t="array" ref="B74">SUMPRODUCT(COUNTIFS(Sheet1!$C$2:$C$185,$A74,Sheet1!$B$2:$B$185,B$55,Sheet1!$F$2:$F$185,$A$16:$A$50)*$B$16:$B$50)</f>
        <v>1</v>
      </c>
      <c r="C74" s="20" cm="1">
        <f t="array" ref="C74">SUMPRODUCT(COUNTIFS(Sheet1!$C$2:$C$185,$A74,Sheet1!$B$2:$B$185,C$55,Sheet1!$F$2:$F$185,$A$16:$A$50)*$B$16:$B$50)</f>
        <v>1</v>
      </c>
      <c r="D74" s="20" cm="1">
        <f t="array" ref="D74">SUMPRODUCT(COUNTIFS(Sheet1!$C$2:$C$185,$A74,Sheet1!$B$2:$B$185,D$55,Sheet1!$F$2:$F$185,$A$16:$A$50)*$B$16:$B$50)</f>
        <v>1</v>
      </c>
      <c r="E74" s="20" cm="1">
        <f t="array" ref="E74">SUMPRODUCT(COUNTIFS(Sheet1!$C$2:$C$185,$A74,Sheet1!$B$2:$B$185,E$55,Sheet1!$F$2:$F$185,$A$16:$A$50)*$B$16:$B$50)</f>
        <v>1</v>
      </c>
      <c r="F74" s="20" cm="1">
        <f t="array" ref="F74">SUMPRODUCT(COUNTIFS(Sheet1!$C$2:$C$185,$A74,Sheet1!$B$2:$B$185,F$55,Sheet1!$F$2:$F$185,$A$16:$A$50)*$B$16:$B$50)</f>
        <v>1</v>
      </c>
      <c r="G74" s="20" cm="1">
        <f t="array" ref="G74">SUMPRODUCT(COUNTIFS(Sheet1!$C$2:$C$185,$A74,Sheet1!$B$2:$B$185,G$55,Sheet1!$F$2:$F$185,$A$16:$A$50)*$B$16:$B$50)</f>
        <v>1</v>
      </c>
      <c r="H74" s="20" cm="1">
        <f t="array" ref="H74">SUMPRODUCT(COUNTIFS(Sheet1!$C$2:$C$185,$A74,Sheet1!$B$2:$B$185,H$55,Sheet1!$F$2:$F$185,$A$16:$A$50)*$B$16:$B$50)</f>
        <v>1</v>
      </c>
      <c r="I74" s="25">
        <f t="shared" si="1"/>
        <v>1</v>
      </c>
      <c r="J74" s="20" cm="1">
        <f t="array" ref="J74">SUMPRODUCT(COUNTIFS(Sheet1!$C$2:$C$185,$A74,Sheet1!$B$2:$B$185,J$55,Sheet1!$F$2:$F$185,$A$16:$A$50)*$C$16:$C$50)</f>
        <v>4</v>
      </c>
      <c r="K74" s="20" cm="1">
        <f t="array" ref="K74">SUMPRODUCT(COUNTIFS(Sheet1!$C$2:$C$185,$A74,Sheet1!$B$2:$B$185,K$55,Sheet1!$F$2:$F$185,$A$16:$A$50)*$C$16:$C$50)</f>
        <v>3</v>
      </c>
      <c r="L74" s="20" cm="1">
        <f t="array" ref="L74">SUMPRODUCT(COUNTIFS(Sheet1!$C$2:$C$185,$A74,Sheet1!$B$2:$B$185,L$55,Sheet1!$F$2:$F$185,$A$16:$A$50)*$C$16:$C$50)</f>
        <v>3</v>
      </c>
      <c r="M74" s="20" cm="1">
        <f t="array" ref="M74">SUMPRODUCT(COUNTIFS(Sheet1!$C$2:$C$185,$A74,Sheet1!$B$2:$B$185,M$55,Sheet1!$F$2:$F$185,$A$16:$A$50)*$C$16:$C$50)</f>
        <v>4</v>
      </c>
      <c r="N74" s="20" cm="1">
        <f t="array" ref="N74">SUMPRODUCT(COUNTIFS(Sheet1!$C$2:$C$185,$A74,Sheet1!$B$2:$B$185,N$55,Sheet1!$F$2:$F$185,$A$16:$A$50)*$C$16:$C$50)</f>
        <v>4</v>
      </c>
      <c r="O74" s="20" cm="1">
        <f t="array" ref="O74">SUMPRODUCT(COUNTIFS(Sheet1!$C$2:$C$185,$A74,Sheet1!$B$2:$B$185,O$55,Sheet1!$F$2:$F$185,$A$16:$A$50)*$C$16:$C$50)</f>
        <v>4</v>
      </c>
      <c r="P74" s="20" cm="1">
        <f t="array" ref="P74">SUMPRODUCT(COUNTIFS(Sheet1!$C$2:$C$185,$A74,Sheet1!$B$2:$B$185,P$55,Sheet1!$F$2:$F$185,$A$16:$A$50)*$C$16:$C$50)</f>
        <v>4</v>
      </c>
      <c r="Q74" s="25">
        <f t="shared" si="2"/>
        <v>4</v>
      </c>
    </row>
    <row r="75" spans="1:17" ht="14.5">
      <c r="A75" s="20" t="s">
        <v>608</v>
      </c>
      <c r="B75" s="20" cm="1">
        <f t="array" ref="B75">SUMPRODUCT(COUNTIFS(Sheet1!$C$2:$C$185,$A75,Sheet1!$B$2:$B$185,B$55,Sheet1!$F$2:$F$185,$A$16:$A$50)*$B$16:$B$50)</f>
        <v>0</v>
      </c>
      <c r="C75" s="20" cm="1">
        <f t="array" ref="C75">SUMPRODUCT(COUNTIFS(Sheet1!$C$2:$C$185,$A75,Sheet1!$B$2:$B$185,C$55,Sheet1!$F$2:$F$185,$A$16:$A$50)*$B$16:$B$50)</f>
        <v>0</v>
      </c>
      <c r="D75" s="20" cm="1">
        <f t="array" ref="D75">SUMPRODUCT(COUNTIFS(Sheet1!$C$2:$C$185,$A75,Sheet1!$B$2:$B$185,D$55,Sheet1!$F$2:$F$185,$A$16:$A$50)*$B$16:$B$50)</f>
        <v>1</v>
      </c>
      <c r="E75" s="20" cm="1">
        <f t="array" ref="E75">SUMPRODUCT(COUNTIFS(Sheet1!$C$2:$C$185,$A75,Sheet1!$B$2:$B$185,E$55,Sheet1!$F$2:$F$185,$A$16:$A$50)*$B$16:$B$50)</f>
        <v>2</v>
      </c>
      <c r="F75" s="20" cm="1">
        <f t="array" ref="F75">SUMPRODUCT(COUNTIFS(Sheet1!$C$2:$C$185,$A75,Sheet1!$B$2:$B$185,F$55,Sheet1!$F$2:$F$185,$A$16:$A$50)*$B$16:$B$50)</f>
        <v>1</v>
      </c>
      <c r="G75" s="20" cm="1">
        <f t="array" ref="G75">SUMPRODUCT(COUNTIFS(Sheet1!$C$2:$C$185,$A75,Sheet1!$B$2:$B$185,G$55,Sheet1!$F$2:$F$185,$A$16:$A$50)*$B$16:$B$50)</f>
        <v>1</v>
      </c>
      <c r="H75" s="20" cm="1">
        <f t="array" ref="H75">SUMPRODUCT(COUNTIFS(Sheet1!$C$2:$C$185,$A75,Sheet1!$B$2:$B$185,H$55,Sheet1!$F$2:$F$185,$A$16:$A$50)*$B$16:$B$50)</f>
        <v>1</v>
      </c>
      <c r="I75" s="25">
        <f t="shared" si="1"/>
        <v>2</v>
      </c>
      <c r="J75" s="20" cm="1">
        <f t="array" ref="J75">SUMPRODUCT(COUNTIFS(Sheet1!$C$2:$C$185,$A75,Sheet1!$B$2:$B$185,J$55,Sheet1!$F$2:$F$185,$A$16:$A$50)*$C$16:$C$50)</f>
        <v>0</v>
      </c>
      <c r="K75" s="20" cm="1">
        <f t="array" ref="K75">SUMPRODUCT(COUNTIFS(Sheet1!$C$2:$C$185,$A75,Sheet1!$B$2:$B$185,K$55,Sheet1!$F$2:$F$185,$A$16:$A$50)*$C$16:$C$50)</f>
        <v>0</v>
      </c>
      <c r="L75" s="20" cm="1">
        <f t="array" ref="L75">SUMPRODUCT(COUNTIFS(Sheet1!$C$2:$C$185,$A75,Sheet1!$B$2:$B$185,L$55,Sheet1!$F$2:$F$185,$A$16:$A$50)*$C$16:$C$50)</f>
        <v>4</v>
      </c>
      <c r="M75" s="20" cm="1">
        <f t="array" ref="M75">SUMPRODUCT(COUNTIFS(Sheet1!$C$2:$C$185,$A75,Sheet1!$B$2:$B$185,M$55,Sheet1!$F$2:$F$185,$A$16:$A$50)*$C$16:$C$50)</f>
        <v>4</v>
      </c>
      <c r="N75" s="20" cm="1">
        <f t="array" ref="N75">SUMPRODUCT(COUNTIFS(Sheet1!$C$2:$C$185,$A75,Sheet1!$B$2:$B$185,N$55,Sheet1!$F$2:$F$185,$A$16:$A$50)*$C$16:$C$50)</f>
        <v>4</v>
      </c>
      <c r="O75" s="20" cm="1">
        <f t="array" ref="O75">SUMPRODUCT(COUNTIFS(Sheet1!$C$2:$C$185,$A75,Sheet1!$B$2:$B$185,O$55,Sheet1!$F$2:$F$185,$A$16:$A$50)*$C$16:$C$50)</f>
        <v>4</v>
      </c>
      <c r="P75" s="20" cm="1">
        <f t="array" ref="P75">SUMPRODUCT(COUNTIFS(Sheet1!$C$2:$C$185,$A75,Sheet1!$B$2:$B$185,P$55,Sheet1!$F$2:$F$185,$A$16:$A$50)*$C$16:$C$50)</f>
        <v>4</v>
      </c>
      <c r="Q75" s="25">
        <f t="shared" si="2"/>
        <v>4</v>
      </c>
    </row>
    <row r="76" spans="1:17" ht="14.5">
      <c r="A76" s="20" t="s">
        <v>610</v>
      </c>
      <c r="B76" s="20" cm="1">
        <f t="array" ref="B76">SUMPRODUCT(COUNTIFS(Sheet1!$C$2:$C$185,$A76,Sheet1!$B$2:$B$185,B$55,Sheet1!$F$2:$F$185,$A$16:$A$50)*$B$16:$B$50)</f>
        <v>1</v>
      </c>
      <c r="C76" s="20" cm="1">
        <f t="array" ref="C76">SUMPRODUCT(COUNTIFS(Sheet1!$C$2:$C$185,$A76,Sheet1!$B$2:$B$185,C$55,Sheet1!$F$2:$F$185,$A$16:$A$50)*$B$16:$B$50)</f>
        <v>2</v>
      </c>
      <c r="D76" s="20" cm="1">
        <f t="array" ref="D76">SUMPRODUCT(COUNTIFS(Sheet1!$C$2:$C$185,$A76,Sheet1!$B$2:$B$185,D$55,Sheet1!$F$2:$F$185,$A$16:$A$50)*$B$16:$B$50)</f>
        <v>3</v>
      </c>
      <c r="E76" s="20" cm="1">
        <f t="array" ref="E76">SUMPRODUCT(COUNTIFS(Sheet1!$C$2:$C$185,$A76,Sheet1!$B$2:$B$185,E$55,Sheet1!$F$2:$F$185,$A$16:$A$50)*$B$16:$B$50)</f>
        <v>3</v>
      </c>
      <c r="F76" s="20" cm="1">
        <f t="array" ref="F76">SUMPRODUCT(COUNTIFS(Sheet1!$C$2:$C$185,$A76,Sheet1!$B$2:$B$185,F$55,Sheet1!$F$2:$F$185,$A$16:$A$50)*$B$16:$B$50)</f>
        <v>3</v>
      </c>
      <c r="G76" s="20" cm="1">
        <f t="array" ref="G76">SUMPRODUCT(COUNTIFS(Sheet1!$C$2:$C$185,$A76,Sheet1!$B$2:$B$185,G$55,Sheet1!$F$2:$F$185,$A$16:$A$50)*$B$16:$B$50)</f>
        <v>1</v>
      </c>
      <c r="H76" s="20" cm="1">
        <f t="array" ref="H76">SUMPRODUCT(COUNTIFS(Sheet1!$C$2:$C$185,$A76,Sheet1!$B$2:$B$185,H$55,Sheet1!$F$2:$F$185,$A$16:$A$50)*$B$16:$B$50)</f>
        <v>2</v>
      </c>
      <c r="I76" s="25">
        <f t="shared" si="1"/>
        <v>3</v>
      </c>
      <c r="J76" s="20" cm="1">
        <f t="array" ref="J76">SUMPRODUCT(COUNTIFS(Sheet1!$C$2:$C$185,$A76,Sheet1!$B$2:$B$185,J$55,Sheet1!$F$2:$F$185,$A$16:$A$50)*$C$16:$C$50)</f>
        <v>3</v>
      </c>
      <c r="K76" s="20" cm="1">
        <f t="array" ref="K76">SUMPRODUCT(COUNTIFS(Sheet1!$C$2:$C$185,$A76,Sheet1!$B$2:$B$185,K$55,Sheet1!$F$2:$F$185,$A$16:$A$50)*$C$16:$C$50)</f>
        <v>8</v>
      </c>
      <c r="L76" s="20" cm="1">
        <f t="array" ref="L76">SUMPRODUCT(COUNTIFS(Sheet1!$C$2:$C$185,$A76,Sheet1!$B$2:$B$185,L$55,Sheet1!$F$2:$F$185,$A$16:$A$50)*$C$16:$C$50)</f>
        <v>11</v>
      </c>
      <c r="M76" s="20" cm="1">
        <f t="array" ref="M76">SUMPRODUCT(COUNTIFS(Sheet1!$C$2:$C$185,$A76,Sheet1!$B$2:$B$185,M$55,Sheet1!$F$2:$F$185,$A$16:$A$50)*$C$16:$C$50)</f>
        <v>10</v>
      </c>
      <c r="N76" s="20" cm="1">
        <f t="array" ref="N76">SUMPRODUCT(COUNTIFS(Sheet1!$C$2:$C$185,$A76,Sheet1!$B$2:$B$185,N$55,Sheet1!$F$2:$F$185,$A$16:$A$50)*$C$16:$C$50)</f>
        <v>11</v>
      </c>
      <c r="O76" s="20" cm="1">
        <f t="array" ref="O76">SUMPRODUCT(COUNTIFS(Sheet1!$C$2:$C$185,$A76,Sheet1!$B$2:$B$185,O$55,Sheet1!$F$2:$F$185,$A$16:$A$50)*$C$16:$C$50)</f>
        <v>4</v>
      </c>
      <c r="P76" s="20" cm="1">
        <f t="array" ref="P76">SUMPRODUCT(COUNTIFS(Sheet1!$C$2:$C$185,$A76,Sheet1!$B$2:$B$185,P$55,Sheet1!$F$2:$F$185,$A$16:$A$50)*$C$16:$C$50)</f>
        <v>8</v>
      </c>
      <c r="Q76" s="25">
        <f t="shared" si="2"/>
        <v>11</v>
      </c>
    </row>
    <row r="77" spans="1:17" ht="14.5">
      <c r="A77" s="20" t="s">
        <v>612</v>
      </c>
      <c r="B77" s="20" cm="1">
        <f t="array" ref="B77">SUMPRODUCT(COUNTIFS(Sheet1!$C$2:$C$185,$A77,Sheet1!$B$2:$B$185,B$55,Sheet1!$F$2:$F$185,$A$16:$A$50)*$B$16:$B$50)</f>
        <v>1</v>
      </c>
      <c r="C77" s="20" cm="1">
        <f t="array" ref="C77">SUMPRODUCT(COUNTIFS(Sheet1!$C$2:$C$185,$A77,Sheet1!$B$2:$B$185,C$55,Sheet1!$F$2:$F$185,$A$16:$A$50)*$B$16:$B$50)</f>
        <v>1</v>
      </c>
      <c r="D77" s="20" cm="1">
        <f t="array" ref="D77">SUMPRODUCT(COUNTIFS(Sheet1!$C$2:$C$185,$A77,Sheet1!$B$2:$B$185,D$55,Sheet1!$F$2:$F$185,$A$16:$A$50)*$B$16:$B$50)</f>
        <v>1</v>
      </c>
      <c r="E77" s="20" cm="1">
        <f t="array" ref="E77">SUMPRODUCT(COUNTIFS(Sheet1!$C$2:$C$185,$A77,Sheet1!$B$2:$B$185,E$55,Sheet1!$F$2:$F$185,$A$16:$A$50)*$B$16:$B$50)</f>
        <v>1</v>
      </c>
      <c r="F77" s="20" cm="1">
        <f t="array" ref="F77">SUMPRODUCT(COUNTIFS(Sheet1!$C$2:$C$185,$A77,Sheet1!$B$2:$B$185,F$55,Sheet1!$F$2:$F$185,$A$16:$A$50)*$B$16:$B$50)</f>
        <v>1</v>
      </c>
      <c r="G77" s="20" cm="1">
        <f t="array" ref="G77">SUMPRODUCT(COUNTIFS(Sheet1!$C$2:$C$185,$A77,Sheet1!$B$2:$B$185,G$55,Sheet1!$F$2:$F$185,$A$16:$A$50)*$B$16:$B$50)</f>
        <v>1</v>
      </c>
      <c r="H77" s="20" cm="1">
        <f t="array" ref="H77">SUMPRODUCT(COUNTIFS(Sheet1!$C$2:$C$185,$A77,Sheet1!$B$2:$B$185,H$55,Sheet1!$F$2:$F$185,$A$16:$A$50)*$B$16:$B$50)</f>
        <v>1</v>
      </c>
      <c r="I77" s="25">
        <f t="shared" si="1"/>
        <v>1</v>
      </c>
      <c r="J77" s="20" cm="1">
        <f t="array" ref="J77">SUMPRODUCT(COUNTIFS(Sheet1!$C$2:$C$185,$A77,Sheet1!$B$2:$B$185,J$55,Sheet1!$F$2:$F$185,$A$16:$A$50)*$C$16:$C$50)</f>
        <v>3</v>
      </c>
      <c r="K77" s="20" cm="1">
        <f t="array" ref="K77">SUMPRODUCT(COUNTIFS(Sheet1!$C$2:$C$185,$A77,Sheet1!$B$2:$B$185,K$55,Sheet1!$F$2:$F$185,$A$16:$A$50)*$C$16:$C$50)</f>
        <v>4</v>
      </c>
      <c r="L77" s="20" cm="1">
        <f t="array" ref="L77">SUMPRODUCT(COUNTIFS(Sheet1!$C$2:$C$185,$A77,Sheet1!$B$2:$B$185,L$55,Sheet1!$F$2:$F$185,$A$16:$A$50)*$C$16:$C$50)</f>
        <v>4</v>
      </c>
      <c r="M77" s="20" cm="1">
        <f t="array" ref="M77">SUMPRODUCT(COUNTIFS(Sheet1!$C$2:$C$185,$A77,Sheet1!$B$2:$B$185,M$55,Sheet1!$F$2:$F$185,$A$16:$A$50)*$C$16:$C$50)</f>
        <v>4</v>
      </c>
      <c r="N77" s="20" cm="1">
        <f t="array" ref="N77">SUMPRODUCT(COUNTIFS(Sheet1!$C$2:$C$185,$A77,Sheet1!$B$2:$B$185,N$55,Sheet1!$F$2:$F$185,$A$16:$A$50)*$C$16:$C$50)</f>
        <v>4</v>
      </c>
      <c r="O77" s="20" cm="1">
        <f t="array" ref="O77">SUMPRODUCT(COUNTIFS(Sheet1!$C$2:$C$185,$A77,Sheet1!$B$2:$B$185,O$55,Sheet1!$F$2:$F$185,$A$16:$A$50)*$C$16:$C$50)</f>
        <v>4</v>
      </c>
      <c r="P77" s="20" cm="1">
        <f t="array" ref="P77">SUMPRODUCT(COUNTIFS(Sheet1!$C$2:$C$185,$A77,Sheet1!$B$2:$B$185,P$55,Sheet1!$F$2:$F$185,$A$16:$A$50)*$C$16:$C$50)</f>
        <v>4</v>
      </c>
      <c r="Q77" s="25">
        <f t="shared" si="2"/>
        <v>4</v>
      </c>
    </row>
    <row r="78" spans="1:17" ht="14.5">
      <c r="A78" s="20" t="s">
        <v>614</v>
      </c>
      <c r="B78" s="20" cm="1">
        <f t="array" ref="B78">SUMPRODUCT(COUNTIFS(Sheet1!$C$2:$C$185,$A78,Sheet1!$B$2:$B$185,B$55,Sheet1!$F$2:$F$185,$A$16:$A$50)*$B$16:$B$50)</f>
        <v>0</v>
      </c>
      <c r="C78" s="20" cm="1">
        <f t="array" ref="C78">SUMPRODUCT(COUNTIFS(Sheet1!$C$2:$C$185,$A78,Sheet1!$B$2:$B$185,C$55,Sheet1!$F$2:$F$185,$A$16:$A$50)*$B$16:$B$50)</f>
        <v>1</v>
      </c>
      <c r="D78" s="20" cm="1">
        <f t="array" ref="D78">SUMPRODUCT(COUNTIFS(Sheet1!$C$2:$C$185,$A78,Sheet1!$B$2:$B$185,D$55,Sheet1!$F$2:$F$185,$A$16:$A$50)*$B$16:$B$50)</f>
        <v>2</v>
      </c>
      <c r="E78" s="20" cm="1">
        <f t="array" ref="E78">SUMPRODUCT(COUNTIFS(Sheet1!$C$2:$C$185,$A78,Sheet1!$B$2:$B$185,E$55,Sheet1!$F$2:$F$185,$A$16:$A$50)*$B$16:$B$50)</f>
        <v>2</v>
      </c>
      <c r="F78" s="20" cm="1">
        <f t="array" ref="F78">SUMPRODUCT(COUNTIFS(Sheet1!$C$2:$C$185,$A78,Sheet1!$B$2:$B$185,F$55,Sheet1!$F$2:$F$185,$A$16:$A$50)*$B$16:$B$50)</f>
        <v>2</v>
      </c>
      <c r="G78" s="20" cm="1">
        <f t="array" ref="G78">SUMPRODUCT(COUNTIFS(Sheet1!$C$2:$C$185,$A78,Sheet1!$B$2:$B$185,G$55,Sheet1!$F$2:$F$185,$A$16:$A$50)*$B$16:$B$50)</f>
        <v>1</v>
      </c>
      <c r="H78" s="20" cm="1">
        <f t="array" ref="H78">SUMPRODUCT(COUNTIFS(Sheet1!$C$2:$C$185,$A78,Sheet1!$B$2:$B$185,H$55,Sheet1!$F$2:$F$185,$A$16:$A$50)*$B$16:$B$50)</f>
        <v>1</v>
      </c>
      <c r="I78" s="25">
        <f t="shared" si="1"/>
        <v>2</v>
      </c>
      <c r="J78" s="20" cm="1">
        <f t="array" ref="J78">SUMPRODUCT(COUNTIFS(Sheet1!$C$2:$C$185,$A78,Sheet1!$B$2:$B$185,J$55,Sheet1!$F$2:$F$185,$A$16:$A$50)*$C$16:$C$50)</f>
        <v>0</v>
      </c>
      <c r="K78" s="20" cm="1">
        <f t="array" ref="K78">SUMPRODUCT(COUNTIFS(Sheet1!$C$2:$C$185,$A78,Sheet1!$B$2:$B$185,K$55,Sheet1!$F$2:$F$185,$A$16:$A$50)*$C$16:$C$50)</f>
        <v>3</v>
      </c>
      <c r="L78" s="20" cm="1">
        <f t="array" ref="L78">SUMPRODUCT(COUNTIFS(Sheet1!$C$2:$C$185,$A78,Sheet1!$B$2:$B$185,L$55,Sheet1!$F$2:$F$185,$A$16:$A$50)*$C$16:$C$50)</f>
        <v>4</v>
      </c>
      <c r="M78" s="20" cm="1">
        <f t="array" ref="M78">SUMPRODUCT(COUNTIFS(Sheet1!$C$2:$C$185,$A78,Sheet1!$B$2:$B$185,M$55,Sheet1!$F$2:$F$185,$A$16:$A$50)*$C$16:$C$50)</f>
        <v>8</v>
      </c>
      <c r="N78" s="20" cm="1">
        <f t="array" ref="N78">SUMPRODUCT(COUNTIFS(Sheet1!$C$2:$C$185,$A78,Sheet1!$B$2:$B$185,N$55,Sheet1!$F$2:$F$185,$A$16:$A$50)*$C$16:$C$50)</f>
        <v>4</v>
      </c>
      <c r="O78" s="20" cm="1">
        <f t="array" ref="O78">SUMPRODUCT(COUNTIFS(Sheet1!$C$2:$C$185,$A78,Sheet1!$B$2:$B$185,O$55,Sheet1!$F$2:$F$185,$A$16:$A$50)*$C$16:$C$50)</f>
        <v>4</v>
      </c>
      <c r="P78" s="20" cm="1">
        <f t="array" ref="P78">SUMPRODUCT(COUNTIFS(Sheet1!$C$2:$C$185,$A78,Sheet1!$B$2:$B$185,P$55,Sheet1!$F$2:$F$185,$A$16:$A$50)*$C$16:$C$50)</f>
        <v>4</v>
      </c>
      <c r="Q78" s="25">
        <f t="shared" si="2"/>
        <v>8</v>
      </c>
    </row>
    <row r="79" spans="1:17" ht="14.5">
      <c r="A79" s="20" t="s">
        <v>617</v>
      </c>
      <c r="B79" s="20" cm="1">
        <f t="array" ref="B79">SUMPRODUCT(COUNTIFS(Sheet1!$C$2:$C$185,$A79,Sheet1!$B$2:$B$185,B$55,Sheet1!$F$2:$F$185,$A$16:$A$50)*$B$16:$B$50)</f>
        <v>0</v>
      </c>
      <c r="C79" s="20" cm="1">
        <f t="array" ref="C79">SUMPRODUCT(COUNTIFS(Sheet1!$C$2:$C$185,$A79,Sheet1!$B$2:$B$185,C$55,Sheet1!$F$2:$F$185,$A$16:$A$50)*$B$16:$B$50)</f>
        <v>0</v>
      </c>
      <c r="D79" s="20" cm="1">
        <f t="array" ref="D79">SUMPRODUCT(COUNTIFS(Sheet1!$C$2:$C$185,$A79,Sheet1!$B$2:$B$185,D$55,Sheet1!$F$2:$F$185,$A$16:$A$50)*$B$16:$B$50)</f>
        <v>0</v>
      </c>
      <c r="E79" s="20" cm="1">
        <f t="array" ref="E79">SUMPRODUCT(COUNTIFS(Sheet1!$C$2:$C$185,$A79,Sheet1!$B$2:$B$185,E$55,Sheet1!$F$2:$F$185,$A$16:$A$50)*$B$16:$B$50)</f>
        <v>1</v>
      </c>
      <c r="F79" s="20" cm="1">
        <f t="array" ref="F79">SUMPRODUCT(COUNTIFS(Sheet1!$C$2:$C$185,$A79,Sheet1!$B$2:$B$185,F$55,Sheet1!$F$2:$F$185,$A$16:$A$50)*$B$16:$B$50)</f>
        <v>1</v>
      </c>
      <c r="G79" s="20" cm="1">
        <f t="array" ref="G79">SUMPRODUCT(COUNTIFS(Sheet1!$C$2:$C$185,$A79,Sheet1!$B$2:$B$185,G$55,Sheet1!$F$2:$F$185,$A$16:$A$50)*$B$16:$B$50)</f>
        <v>0</v>
      </c>
      <c r="H79" s="20" cm="1">
        <f t="array" ref="H79">SUMPRODUCT(COUNTIFS(Sheet1!$C$2:$C$185,$A79,Sheet1!$B$2:$B$185,H$55,Sheet1!$F$2:$F$185,$A$16:$A$50)*$B$16:$B$50)</f>
        <v>0</v>
      </c>
      <c r="I79" s="25">
        <f t="shared" si="1"/>
        <v>1</v>
      </c>
      <c r="J79" s="20" cm="1">
        <f t="array" ref="J79">SUMPRODUCT(COUNTIFS(Sheet1!$C$2:$C$185,$A79,Sheet1!$B$2:$B$185,J$55,Sheet1!$F$2:$F$185,$A$16:$A$50)*$C$16:$C$50)</f>
        <v>0</v>
      </c>
      <c r="K79" s="20" cm="1">
        <f t="array" ref="K79">SUMPRODUCT(COUNTIFS(Sheet1!$C$2:$C$185,$A79,Sheet1!$B$2:$B$185,K$55,Sheet1!$F$2:$F$185,$A$16:$A$50)*$C$16:$C$50)</f>
        <v>0</v>
      </c>
      <c r="L79" s="20" cm="1">
        <f t="array" ref="L79">SUMPRODUCT(COUNTIFS(Sheet1!$C$2:$C$185,$A79,Sheet1!$B$2:$B$185,L$55,Sheet1!$F$2:$F$185,$A$16:$A$50)*$C$16:$C$50)</f>
        <v>0</v>
      </c>
      <c r="M79" s="20" cm="1">
        <f t="array" ref="M79">SUMPRODUCT(COUNTIFS(Sheet1!$C$2:$C$185,$A79,Sheet1!$B$2:$B$185,M$55,Sheet1!$F$2:$F$185,$A$16:$A$50)*$C$16:$C$50)</f>
        <v>4</v>
      </c>
      <c r="N79" s="20" cm="1">
        <f t="array" ref="N79">SUMPRODUCT(COUNTIFS(Sheet1!$C$2:$C$185,$A79,Sheet1!$B$2:$B$185,N$55,Sheet1!$F$2:$F$185,$A$16:$A$50)*$C$16:$C$50)</f>
        <v>4</v>
      </c>
      <c r="O79" s="20" cm="1">
        <f t="array" ref="O79">SUMPRODUCT(COUNTIFS(Sheet1!$C$2:$C$185,$A79,Sheet1!$B$2:$B$185,O$55,Sheet1!$F$2:$F$185,$A$16:$A$50)*$C$16:$C$50)</f>
        <v>0</v>
      </c>
      <c r="P79" s="20" cm="1">
        <f t="array" ref="P79">SUMPRODUCT(COUNTIFS(Sheet1!$C$2:$C$185,$A79,Sheet1!$B$2:$B$185,P$55,Sheet1!$F$2:$F$185,$A$16:$A$50)*$C$16:$C$50)</f>
        <v>0</v>
      </c>
      <c r="Q79" s="25">
        <f t="shared" si="2"/>
        <v>4</v>
      </c>
    </row>
    <row r="80" spans="1:17" ht="14.5">
      <c r="A80" s="20" t="s">
        <v>619</v>
      </c>
      <c r="B80" s="20" cm="1">
        <f t="array" ref="B80">SUMPRODUCT(COUNTIFS(Sheet1!$C$2:$C$185,$A80,Sheet1!$B$2:$B$185,B$55,Sheet1!$F$2:$F$185,$A$16:$A$50)*$B$16:$B$50)</f>
        <v>1</v>
      </c>
      <c r="C80" s="20" cm="1">
        <f t="array" ref="C80">SUMPRODUCT(COUNTIFS(Sheet1!$C$2:$C$185,$A80,Sheet1!$B$2:$B$185,C$55,Sheet1!$F$2:$F$185,$A$16:$A$50)*$B$16:$B$50)</f>
        <v>1</v>
      </c>
      <c r="D80" s="20" cm="1">
        <f t="array" ref="D80">SUMPRODUCT(COUNTIFS(Sheet1!$C$2:$C$185,$A80,Sheet1!$B$2:$B$185,D$55,Sheet1!$F$2:$F$185,$A$16:$A$50)*$B$16:$B$50)</f>
        <v>2</v>
      </c>
      <c r="E80" s="20" cm="1">
        <f t="array" ref="E80">SUMPRODUCT(COUNTIFS(Sheet1!$C$2:$C$185,$A80,Sheet1!$B$2:$B$185,E$55,Sheet1!$F$2:$F$185,$A$16:$A$50)*$B$16:$B$50)</f>
        <v>2</v>
      </c>
      <c r="F80" s="20" cm="1">
        <f t="array" ref="F80">SUMPRODUCT(COUNTIFS(Sheet1!$C$2:$C$185,$A80,Sheet1!$B$2:$B$185,F$55,Sheet1!$F$2:$F$185,$A$16:$A$50)*$B$16:$B$50)</f>
        <v>2</v>
      </c>
      <c r="G80" s="20" cm="1">
        <f t="array" ref="G80">SUMPRODUCT(COUNTIFS(Sheet1!$C$2:$C$185,$A80,Sheet1!$B$2:$B$185,G$55,Sheet1!$F$2:$F$185,$A$16:$A$50)*$B$16:$B$50)</f>
        <v>2</v>
      </c>
      <c r="H80" s="20" cm="1">
        <f t="array" ref="H80">SUMPRODUCT(COUNTIFS(Sheet1!$C$2:$C$185,$A80,Sheet1!$B$2:$B$185,H$55,Sheet1!$F$2:$F$185,$A$16:$A$50)*$B$16:$B$50)</f>
        <v>2</v>
      </c>
      <c r="I80" s="25">
        <f t="shared" si="1"/>
        <v>2</v>
      </c>
      <c r="J80" s="20" cm="1">
        <f t="array" ref="J80">SUMPRODUCT(COUNTIFS(Sheet1!$C$2:$C$185,$A80,Sheet1!$B$2:$B$185,J$55,Sheet1!$F$2:$F$185,$A$16:$A$50)*$C$16:$C$50)</f>
        <v>4</v>
      </c>
      <c r="K80" s="20" cm="1">
        <f t="array" ref="K80">SUMPRODUCT(COUNTIFS(Sheet1!$C$2:$C$185,$A80,Sheet1!$B$2:$B$185,K$55,Sheet1!$F$2:$F$185,$A$16:$A$50)*$C$16:$C$50)</f>
        <v>4</v>
      </c>
      <c r="L80" s="20" cm="1">
        <f t="array" ref="L80">SUMPRODUCT(COUNTIFS(Sheet1!$C$2:$C$185,$A80,Sheet1!$B$2:$B$185,L$55,Sheet1!$F$2:$F$185,$A$16:$A$50)*$C$16:$C$50)</f>
        <v>6</v>
      </c>
      <c r="M80" s="20" cm="1">
        <f t="array" ref="M80">SUMPRODUCT(COUNTIFS(Sheet1!$C$2:$C$185,$A80,Sheet1!$B$2:$B$185,M$55,Sheet1!$F$2:$F$185,$A$16:$A$50)*$C$16:$C$50)</f>
        <v>6</v>
      </c>
      <c r="N80" s="20" cm="1">
        <f t="array" ref="N80">SUMPRODUCT(COUNTIFS(Sheet1!$C$2:$C$185,$A80,Sheet1!$B$2:$B$185,N$55,Sheet1!$F$2:$F$185,$A$16:$A$50)*$C$16:$C$50)</f>
        <v>8</v>
      </c>
      <c r="O80" s="20" cm="1">
        <f t="array" ref="O80">SUMPRODUCT(COUNTIFS(Sheet1!$C$2:$C$185,$A80,Sheet1!$B$2:$B$185,O$55,Sheet1!$F$2:$F$185,$A$16:$A$50)*$C$16:$C$50)</f>
        <v>8</v>
      </c>
      <c r="P80" s="20" cm="1">
        <f t="array" ref="P80">SUMPRODUCT(COUNTIFS(Sheet1!$C$2:$C$185,$A80,Sheet1!$B$2:$B$185,P$55,Sheet1!$F$2:$F$185,$A$16:$A$50)*$C$16:$C$50)</f>
        <v>7</v>
      </c>
      <c r="Q80" s="25">
        <f t="shared" si="2"/>
        <v>8</v>
      </c>
    </row>
    <row r="81" spans="1:17" ht="14.5">
      <c r="A81" s="20" t="s">
        <v>624</v>
      </c>
      <c r="B81" s="20" cm="1">
        <f t="array" ref="B81">SUMPRODUCT(COUNTIFS(Sheet1!$C$2:$C$185,$A81,Sheet1!$B$2:$B$185,B$55,Sheet1!$F$2:$F$185,$A$16:$A$50)*$B$16:$B$50)</f>
        <v>1</v>
      </c>
      <c r="C81" s="20" cm="1">
        <f t="array" ref="C81">SUMPRODUCT(COUNTIFS(Sheet1!$C$2:$C$185,$A81,Sheet1!$B$2:$B$185,C$55,Sheet1!$F$2:$F$185,$A$16:$A$50)*$B$16:$B$50)</f>
        <v>1</v>
      </c>
      <c r="D81" s="20" cm="1">
        <f t="array" ref="D81">SUMPRODUCT(COUNTIFS(Sheet1!$C$2:$C$185,$A81,Sheet1!$B$2:$B$185,D$55,Sheet1!$F$2:$F$185,$A$16:$A$50)*$B$16:$B$50)</f>
        <v>2</v>
      </c>
      <c r="E81" s="20" cm="1">
        <f t="array" ref="E81">SUMPRODUCT(COUNTIFS(Sheet1!$C$2:$C$185,$A81,Sheet1!$B$2:$B$185,E$55,Sheet1!$F$2:$F$185,$A$16:$A$50)*$B$16:$B$50)</f>
        <v>2</v>
      </c>
      <c r="F81" s="20" cm="1">
        <f t="array" ref="F81">SUMPRODUCT(COUNTIFS(Sheet1!$C$2:$C$185,$A81,Sheet1!$B$2:$B$185,F$55,Sheet1!$F$2:$F$185,$A$16:$A$50)*$B$16:$B$50)</f>
        <v>2</v>
      </c>
      <c r="G81" s="20" cm="1">
        <f t="array" ref="G81">SUMPRODUCT(COUNTIFS(Sheet1!$C$2:$C$185,$A81,Sheet1!$B$2:$B$185,G$55,Sheet1!$F$2:$F$185,$A$16:$A$50)*$B$16:$B$50)</f>
        <v>2</v>
      </c>
      <c r="H81" s="20" cm="1">
        <f t="array" ref="H81">SUMPRODUCT(COUNTIFS(Sheet1!$C$2:$C$185,$A81,Sheet1!$B$2:$B$185,H$55,Sheet1!$F$2:$F$185,$A$16:$A$50)*$B$16:$B$50)</f>
        <v>2</v>
      </c>
      <c r="I81" s="25">
        <f t="shared" si="1"/>
        <v>2</v>
      </c>
      <c r="J81" s="20" cm="1">
        <f t="array" ref="J81">SUMPRODUCT(COUNTIFS(Sheet1!$C$2:$C$185,$A81,Sheet1!$B$2:$B$185,J$55,Sheet1!$F$2:$F$185,$A$16:$A$50)*$C$16:$C$50)</f>
        <v>4</v>
      </c>
      <c r="K81" s="20" cm="1">
        <f t="array" ref="K81">SUMPRODUCT(COUNTIFS(Sheet1!$C$2:$C$185,$A81,Sheet1!$B$2:$B$185,K$55,Sheet1!$F$2:$F$185,$A$16:$A$50)*$C$16:$C$50)</f>
        <v>4</v>
      </c>
      <c r="L81" s="20" cm="1">
        <f t="array" ref="L81">SUMPRODUCT(COUNTIFS(Sheet1!$C$2:$C$185,$A81,Sheet1!$B$2:$B$185,L$55,Sheet1!$F$2:$F$185,$A$16:$A$50)*$C$16:$C$50)</f>
        <v>4</v>
      </c>
      <c r="M81" s="20" cm="1">
        <f t="array" ref="M81">SUMPRODUCT(COUNTIFS(Sheet1!$C$2:$C$185,$A81,Sheet1!$B$2:$B$185,M$55,Sheet1!$F$2:$F$185,$A$16:$A$50)*$C$16:$C$50)</f>
        <v>6</v>
      </c>
      <c r="N81" s="20" cm="1">
        <f t="array" ref="N81">SUMPRODUCT(COUNTIFS(Sheet1!$C$2:$C$185,$A81,Sheet1!$B$2:$B$185,N$55,Sheet1!$F$2:$F$185,$A$16:$A$50)*$C$16:$C$50)</f>
        <v>6</v>
      </c>
      <c r="O81" s="20" cm="1">
        <f t="array" ref="O81">SUMPRODUCT(COUNTIFS(Sheet1!$C$2:$C$185,$A81,Sheet1!$B$2:$B$185,O$55,Sheet1!$F$2:$F$185,$A$16:$A$50)*$C$16:$C$50)</f>
        <v>8</v>
      </c>
      <c r="P81" s="20" cm="1">
        <f t="array" ref="P81">SUMPRODUCT(COUNTIFS(Sheet1!$C$2:$C$185,$A81,Sheet1!$B$2:$B$185,P$55,Sheet1!$F$2:$F$185,$A$16:$A$50)*$C$16:$C$50)</f>
        <v>6</v>
      </c>
      <c r="Q81" s="25">
        <f t="shared" si="2"/>
        <v>8</v>
      </c>
    </row>
    <row r="82" spans="1:17" ht="14.5">
      <c r="A82" s="20" t="s">
        <v>626</v>
      </c>
      <c r="B82" s="20" cm="1">
        <f t="array" ref="B82">SUMPRODUCT(COUNTIFS(Sheet1!$C$2:$C$185,$A82,Sheet1!$B$2:$B$185,B$55,Sheet1!$F$2:$F$185,$A$16:$A$50)*$B$16:$B$50)</f>
        <v>1</v>
      </c>
      <c r="C82" s="20" cm="1">
        <f t="array" ref="C82">SUMPRODUCT(COUNTIFS(Sheet1!$C$2:$C$185,$A82,Sheet1!$B$2:$B$185,C$55,Sheet1!$F$2:$F$185,$A$16:$A$50)*$B$16:$B$50)</f>
        <v>2</v>
      </c>
      <c r="D82" s="20" cm="1">
        <f t="array" ref="D82">SUMPRODUCT(COUNTIFS(Sheet1!$C$2:$C$185,$A82,Sheet1!$B$2:$B$185,D$55,Sheet1!$F$2:$F$185,$A$16:$A$50)*$B$16:$B$50)</f>
        <v>3</v>
      </c>
      <c r="E82" s="20" cm="1">
        <f t="array" ref="E82">SUMPRODUCT(COUNTIFS(Sheet1!$C$2:$C$185,$A82,Sheet1!$B$2:$B$185,E$55,Sheet1!$F$2:$F$185,$A$16:$A$50)*$B$16:$B$50)</f>
        <v>4</v>
      </c>
      <c r="F82" s="20" cm="1">
        <f t="array" ref="F82">SUMPRODUCT(COUNTIFS(Sheet1!$C$2:$C$185,$A82,Sheet1!$B$2:$B$185,F$55,Sheet1!$F$2:$F$185,$A$16:$A$50)*$B$16:$B$50)</f>
        <v>3</v>
      </c>
      <c r="G82" s="20" cm="1">
        <f t="array" ref="G82">SUMPRODUCT(COUNTIFS(Sheet1!$C$2:$C$185,$A82,Sheet1!$B$2:$B$185,G$55,Sheet1!$F$2:$F$185,$A$16:$A$50)*$B$16:$B$50)</f>
        <v>4</v>
      </c>
      <c r="H82" s="20" cm="1">
        <f t="array" ref="H82">SUMPRODUCT(COUNTIFS(Sheet1!$C$2:$C$185,$A82,Sheet1!$B$2:$B$185,H$55,Sheet1!$F$2:$F$185,$A$16:$A$50)*$B$16:$B$50)</f>
        <v>3</v>
      </c>
      <c r="I82" s="25">
        <f t="shared" si="1"/>
        <v>4</v>
      </c>
      <c r="J82" s="20" cm="1">
        <f t="array" ref="J82">SUMPRODUCT(COUNTIFS(Sheet1!$C$2:$C$185,$A82,Sheet1!$B$2:$B$185,J$55,Sheet1!$F$2:$F$185,$A$16:$A$50)*$C$16:$C$50)</f>
        <v>4</v>
      </c>
      <c r="K82" s="20" cm="1">
        <f t="array" ref="K82">SUMPRODUCT(COUNTIFS(Sheet1!$C$2:$C$185,$A82,Sheet1!$B$2:$B$185,K$55,Sheet1!$F$2:$F$185,$A$16:$A$50)*$C$16:$C$50)</f>
        <v>8</v>
      </c>
      <c r="L82" s="20" cm="1">
        <f t="array" ref="L82">SUMPRODUCT(COUNTIFS(Sheet1!$C$2:$C$185,$A82,Sheet1!$B$2:$B$185,L$55,Sheet1!$F$2:$F$185,$A$16:$A$50)*$C$16:$C$50)</f>
        <v>10</v>
      </c>
      <c r="M82" s="20" cm="1">
        <f t="array" ref="M82">SUMPRODUCT(COUNTIFS(Sheet1!$C$2:$C$185,$A82,Sheet1!$B$2:$B$185,M$55,Sheet1!$F$2:$F$185,$A$16:$A$50)*$C$16:$C$50)</f>
        <v>13</v>
      </c>
      <c r="N82" s="20" cm="1">
        <f t="array" ref="N82">SUMPRODUCT(COUNTIFS(Sheet1!$C$2:$C$185,$A82,Sheet1!$B$2:$B$185,N$55,Sheet1!$F$2:$F$185,$A$16:$A$50)*$C$16:$C$50)</f>
        <v>11</v>
      </c>
      <c r="O82" s="20" cm="1">
        <f t="array" ref="O82">SUMPRODUCT(COUNTIFS(Sheet1!$C$2:$C$185,$A82,Sheet1!$B$2:$B$185,O$55,Sheet1!$F$2:$F$185,$A$16:$A$50)*$C$16:$C$50)</f>
        <v>14</v>
      </c>
      <c r="P82" s="20" cm="1">
        <f t="array" ref="P82">SUMPRODUCT(COUNTIFS(Sheet1!$C$2:$C$185,$A82,Sheet1!$B$2:$B$185,P$55,Sheet1!$F$2:$F$185,$A$16:$A$50)*$C$16:$C$50)</f>
        <v>10</v>
      </c>
      <c r="Q82" s="25">
        <f t="shared" si="2"/>
        <v>14</v>
      </c>
    </row>
    <row r="83" spans="1:17" ht="14.5">
      <c r="A83" s="20" t="s">
        <v>628</v>
      </c>
      <c r="B83" s="20" cm="1">
        <f t="array" ref="B83">SUMPRODUCT(COUNTIFS(Sheet1!$C$2:$C$185,$A83,Sheet1!$B$2:$B$185,B$55,Sheet1!$F$2:$F$185,$A$16:$A$50)*$B$16:$B$50)</f>
        <v>1</v>
      </c>
      <c r="C83" s="20" cm="1">
        <f t="array" ref="C83">SUMPRODUCT(COUNTIFS(Sheet1!$C$2:$C$185,$A83,Sheet1!$B$2:$B$185,C$55,Sheet1!$F$2:$F$185,$A$16:$A$50)*$B$16:$B$50)</f>
        <v>2</v>
      </c>
      <c r="D83" s="20" cm="1">
        <f t="array" ref="D83">SUMPRODUCT(COUNTIFS(Sheet1!$C$2:$C$185,$A83,Sheet1!$B$2:$B$185,D$55,Sheet1!$F$2:$F$185,$A$16:$A$50)*$B$16:$B$50)</f>
        <v>2</v>
      </c>
      <c r="E83" s="20" cm="1">
        <f t="array" ref="E83">SUMPRODUCT(COUNTIFS(Sheet1!$C$2:$C$185,$A83,Sheet1!$B$2:$B$185,E$55,Sheet1!$F$2:$F$185,$A$16:$A$50)*$B$16:$B$50)</f>
        <v>2</v>
      </c>
      <c r="F83" s="20" cm="1">
        <f t="array" ref="F83">SUMPRODUCT(COUNTIFS(Sheet1!$C$2:$C$185,$A83,Sheet1!$B$2:$B$185,F$55,Sheet1!$F$2:$F$185,$A$16:$A$50)*$B$16:$B$50)</f>
        <v>2</v>
      </c>
      <c r="G83" s="20" cm="1">
        <f t="array" ref="G83">SUMPRODUCT(COUNTIFS(Sheet1!$C$2:$C$185,$A83,Sheet1!$B$2:$B$185,G$55,Sheet1!$F$2:$F$185,$A$16:$A$50)*$B$16:$B$50)</f>
        <v>2</v>
      </c>
      <c r="H83" s="20" cm="1">
        <f t="array" ref="H83">SUMPRODUCT(COUNTIFS(Sheet1!$C$2:$C$185,$A83,Sheet1!$B$2:$B$185,H$55,Sheet1!$F$2:$F$185,$A$16:$A$50)*$B$16:$B$50)</f>
        <v>2</v>
      </c>
      <c r="I83" s="25">
        <f t="shared" si="1"/>
        <v>2</v>
      </c>
      <c r="J83" s="20" cm="1">
        <f t="array" ref="J83">SUMPRODUCT(COUNTIFS(Sheet1!$C$2:$C$185,$A83,Sheet1!$B$2:$B$185,J$55,Sheet1!$F$2:$F$185,$A$16:$A$50)*$C$16:$C$50)</f>
        <v>4</v>
      </c>
      <c r="K83" s="20" cm="1">
        <f t="array" ref="K83">SUMPRODUCT(COUNTIFS(Sheet1!$C$2:$C$185,$A83,Sheet1!$B$2:$B$185,K$55,Sheet1!$F$2:$F$185,$A$16:$A$50)*$C$16:$C$50)</f>
        <v>6</v>
      </c>
      <c r="L83" s="20" cm="1">
        <f t="array" ref="L83">SUMPRODUCT(COUNTIFS(Sheet1!$C$2:$C$185,$A83,Sheet1!$B$2:$B$185,L$55,Sheet1!$F$2:$F$185,$A$16:$A$50)*$C$16:$C$50)</f>
        <v>8</v>
      </c>
      <c r="M83" s="20" cm="1">
        <f t="array" ref="M83">SUMPRODUCT(COUNTIFS(Sheet1!$C$2:$C$185,$A83,Sheet1!$B$2:$B$185,M$55,Sheet1!$F$2:$F$185,$A$16:$A$50)*$C$16:$C$50)</f>
        <v>8</v>
      </c>
      <c r="N83" s="20" cm="1">
        <f t="array" ref="N83">SUMPRODUCT(COUNTIFS(Sheet1!$C$2:$C$185,$A83,Sheet1!$B$2:$B$185,N$55,Sheet1!$F$2:$F$185,$A$16:$A$50)*$C$16:$C$50)</f>
        <v>8</v>
      </c>
      <c r="O83" s="20" cm="1">
        <f t="array" ref="O83">SUMPRODUCT(COUNTIFS(Sheet1!$C$2:$C$185,$A83,Sheet1!$B$2:$B$185,O$55,Sheet1!$F$2:$F$185,$A$16:$A$50)*$C$16:$C$50)</f>
        <v>4</v>
      </c>
      <c r="P83" s="20" cm="1">
        <f t="array" ref="P83">SUMPRODUCT(COUNTIFS(Sheet1!$C$2:$C$185,$A83,Sheet1!$B$2:$B$185,P$55,Sheet1!$F$2:$F$185,$A$16:$A$50)*$C$16:$C$50)</f>
        <v>4</v>
      </c>
      <c r="Q83" s="25">
        <f t="shared" si="2"/>
        <v>8</v>
      </c>
    </row>
    <row r="84" spans="1:17" ht="14.5">
      <c r="A84" s="20" t="s">
        <v>631</v>
      </c>
      <c r="B84" s="20" cm="1">
        <f t="array" ref="B84">SUMPRODUCT(COUNTIFS(Sheet1!$C$2:$C$185,$A84,Sheet1!$B$2:$B$185,B$55,Sheet1!$F$2:$F$185,$A$16:$A$50)*$B$16:$B$50)</f>
        <v>2</v>
      </c>
      <c r="C84" s="20" cm="1">
        <f t="array" ref="C84">SUMPRODUCT(COUNTIFS(Sheet1!$C$2:$C$185,$A84,Sheet1!$B$2:$B$185,C$55,Sheet1!$F$2:$F$185,$A$16:$A$50)*$B$16:$B$50)</f>
        <v>2</v>
      </c>
      <c r="D84" s="20" cm="1">
        <f t="array" ref="D84">SUMPRODUCT(COUNTIFS(Sheet1!$C$2:$C$185,$A84,Sheet1!$B$2:$B$185,D$55,Sheet1!$F$2:$F$185,$A$16:$A$50)*$B$16:$B$50)</f>
        <v>3</v>
      </c>
      <c r="E84" s="20" cm="1">
        <f t="array" ref="E84">SUMPRODUCT(COUNTIFS(Sheet1!$C$2:$C$185,$A84,Sheet1!$B$2:$B$185,E$55,Sheet1!$F$2:$F$185,$A$16:$A$50)*$B$16:$B$50)</f>
        <v>3</v>
      </c>
      <c r="F84" s="20" cm="1">
        <f t="array" ref="F84">SUMPRODUCT(COUNTIFS(Sheet1!$C$2:$C$185,$A84,Sheet1!$B$2:$B$185,F$55,Sheet1!$F$2:$F$185,$A$16:$A$50)*$B$16:$B$50)</f>
        <v>3</v>
      </c>
      <c r="G84" s="20" cm="1">
        <f t="array" ref="G84">SUMPRODUCT(COUNTIFS(Sheet1!$C$2:$C$185,$A84,Sheet1!$B$2:$B$185,G$55,Sheet1!$F$2:$F$185,$A$16:$A$50)*$B$16:$B$50)</f>
        <v>3</v>
      </c>
      <c r="H84" s="20" cm="1">
        <f t="array" ref="H84">SUMPRODUCT(COUNTIFS(Sheet1!$C$2:$C$185,$A84,Sheet1!$B$2:$B$185,H$55,Sheet1!$F$2:$F$185,$A$16:$A$50)*$B$16:$B$50)</f>
        <v>3</v>
      </c>
      <c r="I84" s="25">
        <f t="shared" si="1"/>
        <v>3</v>
      </c>
      <c r="J84" s="20" cm="1">
        <f t="array" ref="J84">SUMPRODUCT(COUNTIFS(Sheet1!$C$2:$C$185,$A84,Sheet1!$B$2:$B$185,J$55,Sheet1!$F$2:$F$185,$A$16:$A$50)*$C$16:$C$50)</f>
        <v>6</v>
      </c>
      <c r="K84" s="20" cm="1">
        <f t="array" ref="K84">SUMPRODUCT(COUNTIFS(Sheet1!$C$2:$C$185,$A84,Sheet1!$B$2:$B$185,K$55,Sheet1!$F$2:$F$185,$A$16:$A$50)*$C$16:$C$50)</f>
        <v>8</v>
      </c>
      <c r="L84" s="20" cm="1">
        <f t="array" ref="L84">SUMPRODUCT(COUNTIFS(Sheet1!$C$2:$C$185,$A84,Sheet1!$B$2:$B$185,L$55,Sheet1!$F$2:$F$185,$A$16:$A$50)*$C$16:$C$50)</f>
        <v>11</v>
      </c>
      <c r="M84" s="20" cm="1">
        <f t="array" ref="M84">SUMPRODUCT(COUNTIFS(Sheet1!$C$2:$C$185,$A84,Sheet1!$B$2:$B$185,M$55,Sheet1!$F$2:$F$185,$A$16:$A$50)*$C$16:$C$50)</f>
        <v>9</v>
      </c>
      <c r="N84" s="20" cm="1">
        <f t="array" ref="N84">SUMPRODUCT(COUNTIFS(Sheet1!$C$2:$C$185,$A84,Sheet1!$B$2:$B$185,N$55,Sheet1!$F$2:$F$185,$A$16:$A$50)*$C$16:$C$50)</f>
        <v>9</v>
      </c>
      <c r="O84" s="20" cm="1">
        <f t="array" ref="O84">SUMPRODUCT(COUNTIFS(Sheet1!$C$2:$C$185,$A84,Sheet1!$B$2:$B$185,O$55,Sheet1!$F$2:$F$185,$A$16:$A$50)*$C$16:$C$50)</f>
        <v>12</v>
      </c>
      <c r="P84" s="20" cm="1">
        <f t="array" ref="P84">SUMPRODUCT(COUNTIFS(Sheet1!$C$2:$C$185,$A84,Sheet1!$B$2:$B$185,P$55,Sheet1!$F$2:$F$185,$A$16:$A$50)*$C$16:$C$50)</f>
        <v>10</v>
      </c>
      <c r="Q84" s="25">
        <f t="shared" si="2"/>
        <v>12</v>
      </c>
    </row>
    <row r="85" spans="1:17" ht="14.5">
      <c r="A85" s="20" t="s">
        <v>633</v>
      </c>
      <c r="B85" s="20" cm="1">
        <f t="array" ref="B85">SUMPRODUCT(COUNTIFS(Sheet1!$C$2:$C$185,$A85,Sheet1!$B$2:$B$185,B$55,Sheet1!$F$2:$F$185,$A$16:$A$50)*$B$16:$B$50)</f>
        <v>2</v>
      </c>
      <c r="C85" s="20" cm="1">
        <f t="array" ref="C85">SUMPRODUCT(COUNTIFS(Sheet1!$C$2:$C$185,$A85,Sheet1!$B$2:$B$185,C$55,Sheet1!$F$2:$F$185,$A$16:$A$50)*$B$16:$B$50)</f>
        <v>2</v>
      </c>
      <c r="D85" s="20" cm="1">
        <f t="array" ref="D85">SUMPRODUCT(COUNTIFS(Sheet1!$C$2:$C$185,$A85,Sheet1!$B$2:$B$185,D$55,Sheet1!$F$2:$F$185,$A$16:$A$50)*$B$16:$B$50)</f>
        <v>2</v>
      </c>
      <c r="E85" s="20" cm="1">
        <f t="array" ref="E85">SUMPRODUCT(COUNTIFS(Sheet1!$C$2:$C$185,$A85,Sheet1!$B$2:$B$185,E$55,Sheet1!$F$2:$F$185,$A$16:$A$50)*$B$16:$B$50)</f>
        <v>2</v>
      </c>
      <c r="F85" s="20" cm="1">
        <f t="array" ref="F85">SUMPRODUCT(COUNTIFS(Sheet1!$C$2:$C$185,$A85,Sheet1!$B$2:$B$185,F$55,Sheet1!$F$2:$F$185,$A$16:$A$50)*$B$16:$B$50)</f>
        <v>2</v>
      </c>
      <c r="G85" s="20" cm="1">
        <f t="array" ref="G85">SUMPRODUCT(COUNTIFS(Sheet1!$C$2:$C$185,$A85,Sheet1!$B$2:$B$185,G$55,Sheet1!$F$2:$F$185,$A$16:$A$50)*$B$16:$B$50)</f>
        <v>2</v>
      </c>
      <c r="H85" s="20" cm="1">
        <f t="array" ref="H85">SUMPRODUCT(COUNTIFS(Sheet1!$C$2:$C$185,$A85,Sheet1!$B$2:$B$185,H$55,Sheet1!$F$2:$F$185,$A$16:$A$50)*$B$16:$B$50)</f>
        <v>2</v>
      </c>
      <c r="I85" s="25">
        <f t="shared" si="1"/>
        <v>2</v>
      </c>
      <c r="J85" s="20" cm="1">
        <f t="array" ref="J85">SUMPRODUCT(COUNTIFS(Sheet1!$C$2:$C$185,$A85,Sheet1!$B$2:$B$185,J$55,Sheet1!$F$2:$F$185,$A$16:$A$50)*$C$16:$C$50)</f>
        <v>8</v>
      </c>
      <c r="K85" s="20" cm="1">
        <f t="array" ref="K85">SUMPRODUCT(COUNTIFS(Sheet1!$C$2:$C$185,$A85,Sheet1!$B$2:$B$185,K$55,Sheet1!$F$2:$F$185,$A$16:$A$50)*$C$16:$C$50)</f>
        <v>7</v>
      </c>
      <c r="L85" s="20" cm="1">
        <f t="array" ref="L85">SUMPRODUCT(COUNTIFS(Sheet1!$C$2:$C$185,$A85,Sheet1!$B$2:$B$185,L$55,Sheet1!$F$2:$F$185,$A$16:$A$50)*$C$16:$C$50)</f>
        <v>7</v>
      </c>
      <c r="M85" s="20" cm="1">
        <f t="array" ref="M85">SUMPRODUCT(COUNTIFS(Sheet1!$C$2:$C$185,$A85,Sheet1!$B$2:$B$185,M$55,Sheet1!$F$2:$F$185,$A$16:$A$50)*$C$16:$C$50)</f>
        <v>8</v>
      </c>
      <c r="N85" s="20" cm="1">
        <f t="array" ref="N85">SUMPRODUCT(COUNTIFS(Sheet1!$C$2:$C$185,$A85,Sheet1!$B$2:$B$185,N$55,Sheet1!$F$2:$F$185,$A$16:$A$50)*$C$16:$C$50)</f>
        <v>8</v>
      </c>
      <c r="O85" s="20" cm="1">
        <f t="array" ref="O85">SUMPRODUCT(COUNTIFS(Sheet1!$C$2:$C$185,$A85,Sheet1!$B$2:$B$185,O$55,Sheet1!$F$2:$F$185,$A$16:$A$50)*$C$16:$C$50)</f>
        <v>7</v>
      </c>
      <c r="P85" s="20" cm="1">
        <f t="array" ref="P85">SUMPRODUCT(COUNTIFS(Sheet1!$C$2:$C$185,$A85,Sheet1!$B$2:$B$185,P$55,Sheet1!$F$2:$F$185,$A$16:$A$50)*$C$16:$C$50)</f>
        <v>7</v>
      </c>
      <c r="Q85" s="25">
        <f t="shared" si="2"/>
        <v>8</v>
      </c>
    </row>
    <row r="86" spans="1:17" ht="14.5">
      <c r="A86" s="20" t="s">
        <v>635</v>
      </c>
      <c r="B86" s="20" cm="1">
        <f t="array" ref="B86">SUMPRODUCT(COUNTIFS(Sheet1!$C$2:$C$185,$A86,Sheet1!$B$2:$B$185,B$55,Sheet1!$F$2:$F$185,$A$16:$A$50)*$B$16:$B$50)</f>
        <v>2</v>
      </c>
      <c r="C86" s="20" cm="1">
        <f t="array" ref="C86">SUMPRODUCT(COUNTIFS(Sheet1!$C$2:$C$185,$A86,Sheet1!$B$2:$B$185,C$55,Sheet1!$F$2:$F$185,$A$16:$A$50)*$B$16:$B$50)</f>
        <v>3</v>
      </c>
      <c r="D86" s="20" cm="1">
        <f t="array" ref="D86">SUMPRODUCT(COUNTIFS(Sheet1!$C$2:$C$185,$A86,Sheet1!$B$2:$B$185,D$55,Sheet1!$F$2:$F$185,$A$16:$A$50)*$B$16:$B$50)</f>
        <v>4</v>
      </c>
      <c r="E86" s="20" cm="1">
        <f t="array" ref="E86">SUMPRODUCT(COUNTIFS(Sheet1!$C$2:$C$185,$A86,Sheet1!$B$2:$B$185,E$55,Sheet1!$F$2:$F$185,$A$16:$A$50)*$B$16:$B$50)</f>
        <v>4</v>
      </c>
      <c r="F86" s="20" cm="1">
        <f t="array" ref="F86">SUMPRODUCT(COUNTIFS(Sheet1!$C$2:$C$185,$A86,Sheet1!$B$2:$B$185,F$55,Sheet1!$F$2:$F$185,$A$16:$A$50)*$B$16:$B$50)</f>
        <v>4</v>
      </c>
      <c r="G86" s="20" cm="1">
        <f t="array" ref="G86">SUMPRODUCT(COUNTIFS(Sheet1!$C$2:$C$185,$A86,Sheet1!$B$2:$B$185,G$55,Sheet1!$F$2:$F$185,$A$16:$A$50)*$B$16:$B$50)</f>
        <v>3</v>
      </c>
      <c r="H86" s="20" cm="1">
        <f t="array" ref="H86">SUMPRODUCT(COUNTIFS(Sheet1!$C$2:$C$185,$A86,Sheet1!$B$2:$B$185,H$55,Sheet1!$F$2:$F$185,$A$16:$A$50)*$B$16:$B$50)</f>
        <v>4</v>
      </c>
      <c r="I86" s="25">
        <f t="shared" si="1"/>
        <v>4</v>
      </c>
      <c r="J86" s="20" cm="1">
        <f t="array" ref="J86">SUMPRODUCT(COUNTIFS(Sheet1!$C$2:$C$185,$A86,Sheet1!$B$2:$B$185,J$55,Sheet1!$F$2:$F$185,$A$16:$A$50)*$C$16:$C$50)</f>
        <v>7</v>
      </c>
      <c r="K86" s="20" cm="1">
        <f t="array" ref="K86">SUMPRODUCT(COUNTIFS(Sheet1!$C$2:$C$185,$A86,Sheet1!$B$2:$B$185,K$55,Sheet1!$F$2:$F$185,$A$16:$A$50)*$C$16:$C$50)</f>
        <v>12</v>
      </c>
      <c r="L86" s="20" cm="1">
        <f t="array" ref="L86">SUMPRODUCT(COUNTIFS(Sheet1!$C$2:$C$185,$A86,Sheet1!$B$2:$B$185,L$55,Sheet1!$F$2:$F$185,$A$16:$A$50)*$C$16:$C$50)</f>
        <v>16</v>
      </c>
      <c r="M86" s="20" cm="1">
        <f t="array" ref="M86">SUMPRODUCT(COUNTIFS(Sheet1!$C$2:$C$185,$A86,Sheet1!$B$2:$B$185,M$55,Sheet1!$F$2:$F$185,$A$16:$A$50)*$C$16:$C$50)</f>
        <v>16</v>
      </c>
      <c r="N86" s="20" cm="1">
        <f t="array" ref="N86">SUMPRODUCT(COUNTIFS(Sheet1!$C$2:$C$185,$A86,Sheet1!$B$2:$B$185,N$55,Sheet1!$F$2:$F$185,$A$16:$A$50)*$C$16:$C$50)</f>
        <v>16</v>
      </c>
      <c r="O86" s="20" cm="1">
        <f t="array" ref="O86">SUMPRODUCT(COUNTIFS(Sheet1!$C$2:$C$185,$A86,Sheet1!$B$2:$B$185,O$55,Sheet1!$F$2:$F$185,$A$16:$A$50)*$C$16:$C$50)</f>
        <v>11</v>
      </c>
      <c r="P86" s="20" cm="1">
        <f t="array" ref="P86">SUMPRODUCT(COUNTIFS(Sheet1!$C$2:$C$185,$A86,Sheet1!$B$2:$B$185,P$55,Sheet1!$F$2:$F$185,$A$16:$A$50)*$C$16:$C$50)</f>
        <v>14</v>
      </c>
      <c r="Q86" s="25">
        <f t="shared" si="2"/>
        <v>16</v>
      </c>
    </row>
    <row r="87" spans="1:17" ht="14.5">
      <c r="A87" s="20" t="s">
        <v>637</v>
      </c>
      <c r="B87" s="20" cm="1">
        <f t="array" ref="B87">SUMPRODUCT(COUNTIFS(Sheet1!$C$2:$C$185,$A87,Sheet1!$B$2:$B$185,B$55,Sheet1!$F$2:$F$185,$A$16:$A$50)*$B$16:$B$50)</f>
        <v>2</v>
      </c>
      <c r="C87" s="20" cm="1">
        <f t="array" ref="C87">SUMPRODUCT(COUNTIFS(Sheet1!$C$2:$C$185,$A87,Sheet1!$B$2:$B$185,C$55,Sheet1!$F$2:$F$185,$A$16:$A$50)*$B$16:$B$50)</f>
        <v>3</v>
      </c>
      <c r="D87" s="20" cm="1">
        <f t="array" ref="D87">SUMPRODUCT(COUNTIFS(Sheet1!$C$2:$C$185,$A87,Sheet1!$B$2:$B$185,D$55,Sheet1!$F$2:$F$185,$A$16:$A$50)*$B$16:$B$50)</f>
        <v>4</v>
      </c>
      <c r="E87" s="20" cm="1">
        <f t="array" ref="E87">SUMPRODUCT(COUNTIFS(Sheet1!$C$2:$C$185,$A87,Sheet1!$B$2:$B$185,E$55,Sheet1!$F$2:$F$185,$A$16:$A$50)*$B$16:$B$50)</f>
        <v>4</v>
      </c>
      <c r="F87" s="20" cm="1">
        <f t="array" ref="F87">SUMPRODUCT(COUNTIFS(Sheet1!$C$2:$C$185,$A87,Sheet1!$B$2:$B$185,F$55,Sheet1!$F$2:$F$185,$A$16:$A$50)*$B$16:$B$50)</f>
        <v>5</v>
      </c>
      <c r="G87" s="20" cm="1">
        <f t="array" ref="G87">SUMPRODUCT(COUNTIFS(Sheet1!$C$2:$C$185,$A87,Sheet1!$B$2:$B$185,G$55,Sheet1!$F$2:$F$185,$A$16:$A$50)*$B$16:$B$50)</f>
        <v>4</v>
      </c>
      <c r="H87" s="20" cm="1">
        <f t="array" ref="H87">SUMPRODUCT(COUNTIFS(Sheet1!$C$2:$C$185,$A87,Sheet1!$B$2:$B$185,H$55,Sheet1!$F$2:$F$185,$A$16:$A$50)*$B$16:$B$50)</f>
        <v>4</v>
      </c>
      <c r="I87" s="25">
        <f t="shared" si="1"/>
        <v>5</v>
      </c>
      <c r="J87" s="20" cm="1">
        <f t="array" ref="J87">SUMPRODUCT(COUNTIFS(Sheet1!$C$2:$C$185,$A87,Sheet1!$B$2:$B$185,J$55,Sheet1!$F$2:$F$185,$A$16:$A$50)*$C$16:$C$50)</f>
        <v>8</v>
      </c>
      <c r="K87" s="20" cm="1">
        <f t="array" ref="K87">SUMPRODUCT(COUNTIFS(Sheet1!$C$2:$C$185,$A87,Sheet1!$B$2:$B$185,K$55,Sheet1!$F$2:$F$185,$A$16:$A$50)*$C$16:$C$50)</f>
        <v>12</v>
      </c>
      <c r="L87" s="20" cm="1">
        <f t="array" ref="L87">SUMPRODUCT(COUNTIFS(Sheet1!$C$2:$C$185,$A87,Sheet1!$B$2:$B$185,L$55,Sheet1!$F$2:$F$185,$A$16:$A$50)*$C$16:$C$50)</f>
        <v>16</v>
      </c>
      <c r="M87" s="20" cm="1">
        <f t="array" ref="M87">SUMPRODUCT(COUNTIFS(Sheet1!$C$2:$C$185,$A87,Sheet1!$B$2:$B$185,M$55,Sheet1!$F$2:$F$185,$A$16:$A$50)*$C$16:$C$50)</f>
        <v>16</v>
      </c>
      <c r="N87" s="20" cm="1">
        <f t="array" ref="N87">SUMPRODUCT(COUNTIFS(Sheet1!$C$2:$C$185,$A87,Sheet1!$B$2:$B$185,N$55,Sheet1!$F$2:$F$185,$A$16:$A$50)*$C$16:$C$50)</f>
        <v>20</v>
      </c>
      <c r="O87" s="20" cm="1">
        <f t="array" ref="O87">SUMPRODUCT(COUNTIFS(Sheet1!$C$2:$C$185,$A87,Sheet1!$B$2:$B$185,O$55,Sheet1!$F$2:$F$185,$A$16:$A$50)*$C$16:$C$50)</f>
        <v>14</v>
      </c>
      <c r="P87" s="20" cm="1">
        <f t="array" ref="P87">SUMPRODUCT(COUNTIFS(Sheet1!$C$2:$C$185,$A87,Sheet1!$B$2:$B$185,P$55,Sheet1!$F$2:$F$185,$A$16:$A$50)*$C$16:$C$50)</f>
        <v>15</v>
      </c>
      <c r="Q87" s="25">
        <f t="shared" si="2"/>
        <v>20</v>
      </c>
    </row>
    <row r="88" spans="1:17" ht="14.5">
      <c r="A88" s="112" t="s">
        <v>652</v>
      </c>
      <c r="B88" s="113"/>
      <c r="C88" s="113"/>
      <c r="D88" s="113"/>
      <c r="E88" s="113"/>
      <c r="F88" s="113"/>
      <c r="G88" s="113"/>
      <c r="H88" s="114"/>
      <c r="I88" s="25">
        <f>SUM(I56:I87)</f>
        <v>58</v>
      </c>
      <c r="J88" s="25"/>
      <c r="K88" s="25"/>
      <c r="L88" s="25"/>
      <c r="M88" s="25"/>
      <c r="N88" s="25"/>
      <c r="O88" s="25"/>
      <c r="P88" s="25"/>
      <c r="Q88" s="25">
        <f>SUM(Q56:Q87)</f>
        <v>210</v>
      </c>
    </row>
  </sheetData>
  <mergeCells count="7">
    <mergeCell ref="A88:H88"/>
    <mergeCell ref="A1:Q1"/>
    <mergeCell ref="A12:H12"/>
    <mergeCell ref="A13:H13"/>
    <mergeCell ref="A14:K14"/>
    <mergeCell ref="M14:N14"/>
    <mergeCell ref="A54:Q5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A1B3-1CE4-4BE3-B0EE-FAC24A99118B}">
  <dimension ref="A1:M49"/>
  <sheetViews>
    <sheetView showGridLines="0" rightToLeft="1" workbookViewId="0">
      <pane xSplit="1" ySplit="5" topLeftCell="B6" activePane="bottomRight" state="frozen"/>
      <selection pane="topRight" activeCell="B1" sqref="B1"/>
      <selection pane="bottomLeft" activeCell="A6" sqref="A6"/>
      <selection pane="bottomRight" activeCell="D2" sqref="D2:M2"/>
    </sheetView>
  </sheetViews>
  <sheetFormatPr defaultRowHeight="14"/>
  <cols>
    <col min="1" max="1" width="25" customWidth="1"/>
    <col min="2" max="11" width="13.6640625" customWidth="1"/>
    <col min="12" max="13" width="55" customWidth="1"/>
  </cols>
  <sheetData>
    <row r="1" spans="1:13" ht="26" customHeight="1">
      <c r="A1" s="119" t="s">
        <v>660</v>
      </c>
      <c r="B1" s="119"/>
      <c r="C1" s="119"/>
      <c r="D1" s="119"/>
      <c r="E1" s="119"/>
      <c r="F1" s="119"/>
      <c r="G1" s="119"/>
      <c r="H1" s="119"/>
      <c r="I1" s="119"/>
      <c r="J1" s="119"/>
      <c r="K1" s="119"/>
      <c r="L1" s="119"/>
      <c r="M1" s="119"/>
    </row>
    <row r="2" spans="1:13" ht="34" customHeight="1">
      <c r="A2" s="57" t="s">
        <v>661</v>
      </c>
      <c r="B2" s="65">
        <v>4</v>
      </c>
      <c r="C2" s="66"/>
      <c r="D2" s="139" t="s">
        <v>662</v>
      </c>
      <c r="E2" s="139"/>
      <c r="F2" s="139"/>
      <c r="G2" s="139"/>
      <c r="H2" s="139"/>
      <c r="I2" s="139"/>
      <c r="J2" s="139"/>
      <c r="K2" s="139"/>
      <c r="L2" s="139"/>
      <c r="M2" s="139"/>
    </row>
    <row r="3" spans="1:13" ht="14.5">
      <c r="A3" s="56"/>
      <c r="B3" s="56"/>
      <c r="C3" s="56"/>
      <c r="D3" s="56"/>
      <c r="E3" s="56"/>
      <c r="F3" s="56"/>
      <c r="G3" s="56"/>
      <c r="H3" s="56"/>
      <c r="I3" s="56"/>
      <c r="J3" s="56"/>
      <c r="K3" s="56"/>
      <c r="L3" s="56"/>
      <c r="M3" s="56"/>
    </row>
    <row r="4" spans="1:13" ht="14.5">
      <c r="A4" s="144"/>
      <c r="B4" s="141" t="s">
        <v>564</v>
      </c>
      <c r="C4" s="141"/>
      <c r="D4" s="141"/>
      <c r="E4" s="141"/>
      <c r="F4" s="141" t="s">
        <v>565</v>
      </c>
      <c r="G4" s="141"/>
      <c r="H4" s="141"/>
      <c r="I4" s="141"/>
      <c r="J4" s="143" t="s">
        <v>663</v>
      </c>
      <c r="K4" s="143"/>
      <c r="L4" s="141" t="s">
        <v>664</v>
      </c>
      <c r="M4" s="141"/>
    </row>
    <row r="5" spans="1:13" ht="34" customHeight="1">
      <c r="A5" s="144"/>
      <c r="B5" s="54" t="s">
        <v>76</v>
      </c>
      <c r="C5" s="54" t="s">
        <v>665</v>
      </c>
      <c r="D5" s="54" t="s">
        <v>647</v>
      </c>
      <c r="E5" s="54" t="s">
        <v>641</v>
      </c>
      <c r="F5" s="54" t="s">
        <v>76</v>
      </c>
      <c r="G5" s="54" t="s">
        <v>665</v>
      </c>
      <c r="H5" s="54" t="s">
        <v>647</v>
      </c>
      <c r="I5" s="54" t="s">
        <v>641</v>
      </c>
      <c r="J5" s="58" t="s">
        <v>647</v>
      </c>
      <c r="K5" s="58" t="s">
        <v>641</v>
      </c>
      <c r="L5" s="54" t="s">
        <v>666</v>
      </c>
      <c r="M5" s="54" t="s">
        <v>667</v>
      </c>
    </row>
    <row r="6" spans="1:13" ht="52" customHeight="1">
      <c r="A6" s="25" t="s">
        <v>562</v>
      </c>
      <c r="B6" s="20">
        <f>SUMIFS(Sheet1!$F$2:$F$185,Sheet1!$C$2:$C$185,$A6,Sheet1!$B$2:$B$185,$B$4)</f>
        <v>5</v>
      </c>
      <c r="C6" s="59">
        <f t="shared" ref="C6:C33" si="0">B6*$B$2/2</f>
        <v>10</v>
      </c>
      <c r="D6" s="20" cm="1">
        <f t="array" ref="D6">SUMPRODUCT(COUNTIFS(Sheet1!$C$2:$C$185,$A6,Sheet1!$B$2:$B$185,$B$4,Sheet1!$F$2:$F$185,'حساب الملاعب'!$A$16:$A$50)*'حساب الملاعب'!$B$16:$B$50)</f>
        <v>1</v>
      </c>
      <c r="E6" s="20" cm="1">
        <f t="array" ref="E6">SUMPRODUCT(COUNTIFS(Sheet1!$C$2:$C$185,$A6,Sheet1!$B$2:$B$185,$B$4,Sheet1!$F$2:$F$185,'حساب الملاعب'!$A$16:$A$50)*'حساب الملاعب'!$C$16:$C$50)</f>
        <v>1</v>
      </c>
      <c r="F6" s="20">
        <f>SUMIFS(Sheet1!$F$2:$F$185,Sheet1!$C$2:$C$185,$A6,Sheet1!$B$2:$B$185,$F$4)</f>
        <v>6</v>
      </c>
      <c r="G6" s="59">
        <f t="shared" ref="G6:G33" si="1">F6*$B$2/2</f>
        <v>12</v>
      </c>
      <c r="H6" s="20" cm="1">
        <f t="array" ref="H6">SUMPRODUCT(COUNTIFS(Sheet1!$C$2:$C$185,$A6,Sheet1!$B$2:$B$185,$F$4,Sheet1!$F$2:$F$185,'حساب الملاعب'!$A$16:$A$50)*'حساب الملاعب'!$B$16:$B$50)</f>
        <v>1</v>
      </c>
      <c r="I6" s="20" cm="1">
        <f t="array" ref="I6">SUMPRODUCT(COUNTIFS(Sheet1!$C$2:$C$185,$A6,Sheet1!$B$2:$B$185,$F$4,Sheet1!$F$2:$F$185,'حساب الملاعب'!$A$16:$A$50)*'حساب الملاعب'!$C$16:$C$50)</f>
        <v>3</v>
      </c>
      <c r="J6" s="60">
        <f t="shared" ref="J6:J33" si="2">MAX(D6,H6)</f>
        <v>1</v>
      </c>
      <c r="K6" s="60">
        <f t="shared" ref="K6:K33" si="3">MAX(E6,I6)</f>
        <v>3</v>
      </c>
      <c r="L6" s="61" t="str">
        <f>IF(B6=0,"لا توجد بطولة لهذه المجموعة في هذه الفئة",IF(D6=1,INDEX($E$39:$E$47,MATCH(B6,$A$39:$A$47,0)),"بطولة من "&amp;B6&amp;" فريقاً تُقسَّم إلى "&amp;D6&amp;" مجموعات مستقلة ("&amp;INDEX('ملخص البطولات'!$C$4:$C$26,MATCH(B6,'ملخص البطولات'!$A$4:$A$26,0))&amp;")، كل مجموعة في ملعب قانوني خاص بها لأن الفريق لا ينتقل بين الملاعب القانونية؛ فتُجمع ملاعبها المصغّرة = "&amp;E6&amp;" (سبب عدد ملاعب كل مجموعة في الجدول المرجعي أدناه)."))</f>
        <v>عدد فردي: يجلس فريق في كل فترة. ولكي لا تزيد راحة أي فريق على 30 دقيقة تُلعب مباراة واحدة في كل فترة على ملعب مصغّر واحد، فيمتد اليوم إلى 10 فترات (4:00–6:30 م).</v>
      </c>
      <c r="M6" s="61" t="str">
        <f>IF(F6=0,"لا توجد بطولة لهذه المجموعة في هذه الفئة",IF(H6=1,INDEX($E$39:$E$47,MATCH(F6,$A$39:$A$47,0)),"بطولة من "&amp;F6&amp;" فريقاً تُقسَّم إلى "&amp;H6&amp;" مجموعات مستقلة ("&amp;INDEX('ملخص البطولات'!$C$4:$C$26,MATCH(F6,'ملخص البطولات'!$A$4:$A$26,0))&amp;")، كل مجموعة في ملعب قانوني خاص بها لأن الفريق لا ينتقل بين الملاعب القانونية؛ فتُجمع ملاعبها المصغّرة = "&amp;I6&amp;" (سبب عدد ملاعب كل مجموعة في الجدول المرجعي أدناه)."))</f>
        <v>الفرق الستة تلعب كلها معاً في الفترة الواحدة (6 ÷ 2 = 3 مباريات متزامنة) ثم تستريح فترة، فتلزم 3 ملاعب.</v>
      </c>
    </row>
    <row r="7" spans="1:13" ht="52" customHeight="1">
      <c r="A7" s="25" t="s">
        <v>566</v>
      </c>
      <c r="B7" s="20">
        <f>SUMIFS(Sheet1!$F$2:$F$185,Sheet1!$C$2:$C$185,$A7,Sheet1!$B$2:$B$185,$B$4)</f>
        <v>0</v>
      </c>
      <c r="C7" s="59">
        <f t="shared" si="0"/>
        <v>0</v>
      </c>
      <c r="D7" s="20" cm="1">
        <f t="array" ref="D7">SUMPRODUCT(COUNTIFS(Sheet1!$C$2:$C$185,$A7,Sheet1!$B$2:$B$185,$B$4,Sheet1!$F$2:$F$185,'حساب الملاعب'!$A$16:$A$50)*'حساب الملاعب'!$B$16:$B$50)</f>
        <v>0</v>
      </c>
      <c r="E7" s="20" cm="1">
        <f t="array" ref="E7">SUMPRODUCT(COUNTIFS(Sheet1!$C$2:$C$185,$A7,Sheet1!$B$2:$B$185,$B$4,Sheet1!$F$2:$F$185,'حساب الملاعب'!$A$16:$A$50)*'حساب الملاعب'!$C$16:$C$50)</f>
        <v>0</v>
      </c>
      <c r="F7" s="20">
        <f>SUMIFS(Sheet1!$F$2:$F$185,Sheet1!$C$2:$C$185,$A7,Sheet1!$B$2:$B$185,$F$4)</f>
        <v>5</v>
      </c>
      <c r="G7" s="59">
        <f t="shared" si="1"/>
        <v>10</v>
      </c>
      <c r="H7" s="20" cm="1">
        <f t="array" ref="H7">SUMPRODUCT(COUNTIFS(Sheet1!$C$2:$C$185,$A7,Sheet1!$B$2:$B$185,$F$4,Sheet1!$F$2:$F$185,'حساب الملاعب'!$A$16:$A$50)*'حساب الملاعب'!$B$16:$B$50)</f>
        <v>1</v>
      </c>
      <c r="I7" s="20" cm="1">
        <f t="array" ref="I7">SUMPRODUCT(COUNTIFS(Sheet1!$C$2:$C$185,$A7,Sheet1!$B$2:$B$185,$F$4,Sheet1!$F$2:$F$185,'حساب الملاعب'!$A$16:$A$50)*'حساب الملاعب'!$C$16:$C$50)</f>
        <v>1</v>
      </c>
      <c r="J7" s="60">
        <f t="shared" si="2"/>
        <v>1</v>
      </c>
      <c r="K7" s="60">
        <f t="shared" si="3"/>
        <v>1</v>
      </c>
      <c r="L7" s="61" t="str">
        <f>IF(B7=0,"لا توجد بطولة لهذه المجموعة في هذه الفئة",IF(D7=1,INDEX($E$39:$E$47,MATCH(B7,$A$39:$A$47,0)),"بطولة من "&amp;B7&amp;" فريقاً تُقسَّم إلى "&amp;D7&amp;" مجموعات مستقلة ("&amp;INDEX('ملخص البطولات'!$C$4:$C$26,MATCH(B7,'ملخص البطولات'!$A$4:$A$26,0))&amp;")، كل مجموعة في ملعب قانوني خاص بها لأن الفريق لا ينتقل بين الملاعب القانونية؛ فتُجمع ملاعبها المصغّرة = "&amp;E7&amp;" (سبب عدد ملاعب كل مجموعة في الجدول المرجعي أدناه)."))</f>
        <v>لا توجد بطولة لهذه المجموعة في هذه الفئة</v>
      </c>
      <c r="M7" s="61" t="str">
        <f>IF(F7=0,"لا توجد بطولة لهذه المجموعة في هذه الفئة",IF(H7=1,INDEX($E$39:$E$47,MATCH(F7,$A$39:$A$47,0)),"بطولة من "&amp;F7&amp;" فريقاً تُقسَّم إلى "&amp;H7&amp;" مجموعات مستقلة ("&amp;INDEX('ملخص البطولات'!$C$4:$C$26,MATCH(F7,'ملخص البطولات'!$A$4:$A$26,0))&amp;")، كل مجموعة في ملعب قانوني خاص بها لأن الفريق لا ينتقل بين الملاعب القانونية؛ فتُجمع ملاعبها المصغّرة = "&amp;I7&amp;" (سبب عدد ملاعب كل مجموعة في الجدول المرجعي أدناه)."))</f>
        <v>عدد فردي: يجلس فريق في كل فترة. ولكي لا تزيد راحة أي فريق على 30 دقيقة تُلعب مباراة واحدة في كل فترة على ملعب مصغّر واحد، فيمتد اليوم إلى 10 فترات (4:00–6:30 م).</v>
      </c>
    </row>
    <row r="8" spans="1:13" ht="52" customHeight="1">
      <c r="A8" s="25" t="s">
        <v>569</v>
      </c>
      <c r="B8" s="20">
        <f>SUMIFS(Sheet1!$F$2:$F$185,Sheet1!$C$2:$C$185,$A8,Sheet1!$B$2:$B$185,$B$4)</f>
        <v>5</v>
      </c>
      <c r="C8" s="59">
        <f t="shared" si="0"/>
        <v>10</v>
      </c>
      <c r="D8" s="20" cm="1">
        <f t="array" ref="D8">SUMPRODUCT(COUNTIFS(Sheet1!$C$2:$C$185,$A8,Sheet1!$B$2:$B$185,$B$4,Sheet1!$F$2:$F$185,'حساب الملاعب'!$A$16:$A$50)*'حساب الملاعب'!$B$16:$B$50)</f>
        <v>1</v>
      </c>
      <c r="E8" s="20" cm="1">
        <f t="array" ref="E8">SUMPRODUCT(COUNTIFS(Sheet1!$C$2:$C$185,$A8,Sheet1!$B$2:$B$185,$B$4,Sheet1!$F$2:$F$185,'حساب الملاعب'!$A$16:$A$50)*'حساب الملاعب'!$C$16:$C$50)</f>
        <v>1</v>
      </c>
      <c r="F8" s="20">
        <f>SUMIFS(Sheet1!$F$2:$F$185,Sheet1!$C$2:$C$185,$A8,Sheet1!$B$2:$B$185,$F$4)</f>
        <v>5</v>
      </c>
      <c r="G8" s="59">
        <f t="shared" si="1"/>
        <v>10</v>
      </c>
      <c r="H8" s="20" cm="1">
        <f t="array" ref="H8">SUMPRODUCT(COUNTIFS(Sheet1!$C$2:$C$185,$A8,Sheet1!$B$2:$B$185,$F$4,Sheet1!$F$2:$F$185,'حساب الملاعب'!$A$16:$A$50)*'حساب الملاعب'!$B$16:$B$50)</f>
        <v>1</v>
      </c>
      <c r="I8" s="20" cm="1">
        <f t="array" ref="I8">SUMPRODUCT(COUNTIFS(Sheet1!$C$2:$C$185,$A8,Sheet1!$B$2:$B$185,$F$4,Sheet1!$F$2:$F$185,'حساب الملاعب'!$A$16:$A$50)*'حساب الملاعب'!$C$16:$C$50)</f>
        <v>1</v>
      </c>
      <c r="J8" s="60">
        <f t="shared" si="2"/>
        <v>1</v>
      </c>
      <c r="K8" s="60">
        <f t="shared" si="3"/>
        <v>1</v>
      </c>
      <c r="L8" s="61" t="str">
        <f>IF(B8=0,"لا توجد بطولة لهذه المجموعة في هذه الفئة",IF(D8=1,INDEX($E$39:$E$47,MATCH(B8,$A$39:$A$47,0)),"بطولة من "&amp;B8&amp;" فريقاً تُقسَّم إلى "&amp;D8&amp;" مجموعات مستقلة ("&amp;INDEX('ملخص البطولات'!$C$4:$C$26,MATCH(B8,'ملخص البطولات'!$A$4:$A$26,0))&amp;")، كل مجموعة في ملعب قانوني خاص بها لأن الفريق لا ينتقل بين الملاعب القانونية؛ فتُجمع ملاعبها المصغّرة = "&amp;E8&amp;" (سبب عدد ملاعب كل مجموعة في الجدول المرجعي أدناه)."))</f>
        <v>عدد فردي: يجلس فريق في كل فترة. ولكي لا تزيد راحة أي فريق على 30 دقيقة تُلعب مباراة واحدة في كل فترة على ملعب مصغّر واحد، فيمتد اليوم إلى 10 فترات (4:00–6:30 م).</v>
      </c>
      <c r="M8" s="61" t="str">
        <f>IF(F8=0,"لا توجد بطولة لهذه المجموعة في هذه الفئة",IF(H8=1,INDEX($E$39:$E$47,MATCH(F8,$A$39:$A$47,0)),"بطولة من "&amp;F8&amp;" فريقاً تُقسَّم إلى "&amp;H8&amp;" مجموعات مستقلة ("&amp;INDEX('ملخص البطولات'!$C$4:$C$26,MATCH(F8,'ملخص البطولات'!$A$4:$A$26,0))&amp;")، كل مجموعة في ملعب قانوني خاص بها لأن الفريق لا ينتقل بين الملاعب القانونية؛ فتُجمع ملاعبها المصغّرة = "&amp;I8&amp;" (سبب عدد ملاعب كل مجموعة في الجدول المرجعي أدناه)."))</f>
        <v>عدد فردي: يجلس فريق في كل فترة. ولكي لا تزيد راحة أي فريق على 30 دقيقة تُلعب مباراة واحدة في كل فترة على ملعب مصغّر واحد، فيمتد اليوم إلى 10 فترات (4:00–6:30 م).</v>
      </c>
    </row>
    <row r="9" spans="1:13" ht="52" customHeight="1">
      <c r="A9" s="25" t="s">
        <v>571</v>
      </c>
      <c r="B9" s="20">
        <f>SUMIFS(Sheet1!$F$2:$F$185,Sheet1!$C$2:$C$185,$A9,Sheet1!$B$2:$B$185,$B$4)</f>
        <v>0</v>
      </c>
      <c r="C9" s="59">
        <f t="shared" si="0"/>
        <v>0</v>
      </c>
      <c r="D9" s="20" cm="1">
        <f t="array" ref="D9">SUMPRODUCT(COUNTIFS(Sheet1!$C$2:$C$185,$A9,Sheet1!$B$2:$B$185,$B$4,Sheet1!$F$2:$F$185,'حساب الملاعب'!$A$16:$A$50)*'حساب الملاعب'!$B$16:$B$50)</f>
        <v>0</v>
      </c>
      <c r="E9" s="20" cm="1">
        <f t="array" ref="E9">SUMPRODUCT(COUNTIFS(Sheet1!$C$2:$C$185,$A9,Sheet1!$B$2:$B$185,$B$4,Sheet1!$F$2:$F$185,'حساب الملاعب'!$A$16:$A$50)*'حساب الملاعب'!$C$16:$C$50)</f>
        <v>0</v>
      </c>
      <c r="F9" s="20">
        <f>SUMIFS(Sheet1!$F$2:$F$185,Sheet1!$C$2:$C$185,$A9,Sheet1!$B$2:$B$185,$F$4)</f>
        <v>5</v>
      </c>
      <c r="G9" s="59">
        <f t="shared" si="1"/>
        <v>10</v>
      </c>
      <c r="H9" s="20" cm="1">
        <f t="array" ref="H9">SUMPRODUCT(COUNTIFS(Sheet1!$C$2:$C$185,$A9,Sheet1!$B$2:$B$185,$F$4,Sheet1!$F$2:$F$185,'حساب الملاعب'!$A$16:$A$50)*'حساب الملاعب'!$B$16:$B$50)</f>
        <v>1</v>
      </c>
      <c r="I9" s="20" cm="1">
        <f t="array" ref="I9">SUMPRODUCT(COUNTIFS(Sheet1!$C$2:$C$185,$A9,Sheet1!$B$2:$B$185,$F$4,Sheet1!$F$2:$F$185,'حساب الملاعب'!$A$16:$A$50)*'حساب الملاعب'!$C$16:$C$50)</f>
        <v>1</v>
      </c>
      <c r="J9" s="60">
        <f t="shared" si="2"/>
        <v>1</v>
      </c>
      <c r="K9" s="60">
        <f t="shared" si="3"/>
        <v>1</v>
      </c>
      <c r="L9" s="61" t="str">
        <f>IF(B9=0,"لا توجد بطولة لهذه المجموعة في هذه الفئة",IF(D9=1,INDEX($E$39:$E$47,MATCH(B9,$A$39:$A$47,0)),"بطولة من "&amp;B9&amp;" فريقاً تُقسَّم إلى "&amp;D9&amp;" مجموعات مستقلة ("&amp;INDEX('ملخص البطولات'!$C$4:$C$26,MATCH(B9,'ملخص البطولات'!$A$4:$A$26,0))&amp;")، كل مجموعة في ملعب قانوني خاص بها لأن الفريق لا ينتقل بين الملاعب القانونية؛ فتُجمع ملاعبها المصغّرة = "&amp;E9&amp;" (سبب عدد ملاعب كل مجموعة في الجدول المرجعي أدناه)."))</f>
        <v>لا توجد بطولة لهذه المجموعة في هذه الفئة</v>
      </c>
      <c r="M9" s="61" t="str">
        <f>IF(F9=0,"لا توجد بطولة لهذه المجموعة في هذه الفئة",IF(H9=1,INDEX($E$39:$E$47,MATCH(F9,$A$39:$A$47,0)),"بطولة من "&amp;F9&amp;" فريقاً تُقسَّم إلى "&amp;H9&amp;" مجموعات مستقلة ("&amp;INDEX('ملخص البطولات'!$C$4:$C$26,MATCH(F9,'ملخص البطولات'!$A$4:$A$26,0))&amp;")، كل مجموعة في ملعب قانوني خاص بها لأن الفريق لا ينتقل بين الملاعب القانونية؛ فتُجمع ملاعبها المصغّرة = "&amp;I9&amp;" (سبب عدد ملاعب كل مجموعة في الجدول المرجعي أدناه)."))</f>
        <v>عدد فردي: يجلس فريق في كل فترة. ولكي لا تزيد راحة أي فريق على 30 دقيقة تُلعب مباراة واحدة في كل فترة على ملعب مصغّر واحد، فيمتد اليوم إلى 10 فترات (4:00–6:30 م).</v>
      </c>
    </row>
    <row r="10" spans="1:13" ht="52" customHeight="1">
      <c r="A10" s="25" t="s">
        <v>574</v>
      </c>
      <c r="B10" s="20">
        <f>SUMIFS(Sheet1!$F$2:$F$185,Sheet1!$C$2:$C$185,$A10,Sheet1!$B$2:$B$185,$B$4)</f>
        <v>7</v>
      </c>
      <c r="C10" s="59">
        <f t="shared" si="0"/>
        <v>14</v>
      </c>
      <c r="D10" s="20" cm="1">
        <f t="array" ref="D10">SUMPRODUCT(COUNTIFS(Sheet1!$C$2:$C$185,$A10,Sheet1!$B$2:$B$185,$B$4,Sheet1!$F$2:$F$185,'حساب الملاعب'!$A$16:$A$50)*'حساب الملاعب'!$B$16:$B$50)</f>
        <v>1</v>
      </c>
      <c r="E10" s="20" cm="1">
        <f t="array" ref="E10">SUMPRODUCT(COUNTIFS(Sheet1!$C$2:$C$185,$A10,Sheet1!$B$2:$B$185,$B$4,Sheet1!$F$2:$F$185,'حساب الملاعب'!$A$16:$A$50)*'حساب الملاعب'!$C$16:$C$50)</f>
        <v>2</v>
      </c>
      <c r="F10" s="20">
        <f>SUMIFS(Sheet1!$F$2:$F$185,Sheet1!$C$2:$C$185,$A10,Sheet1!$B$2:$B$185,$F$4)</f>
        <v>6</v>
      </c>
      <c r="G10" s="59">
        <f t="shared" si="1"/>
        <v>12</v>
      </c>
      <c r="H10" s="20" cm="1">
        <f t="array" ref="H10">SUMPRODUCT(COUNTIFS(Sheet1!$C$2:$C$185,$A10,Sheet1!$B$2:$B$185,$F$4,Sheet1!$F$2:$F$185,'حساب الملاعب'!$A$16:$A$50)*'حساب الملاعب'!$B$16:$B$50)</f>
        <v>1</v>
      </c>
      <c r="I10" s="20" cm="1">
        <f t="array" ref="I10">SUMPRODUCT(COUNTIFS(Sheet1!$C$2:$C$185,$A10,Sheet1!$B$2:$B$185,$F$4,Sheet1!$F$2:$F$185,'حساب الملاعب'!$A$16:$A$50)*'حساب الملاعب'!$C$16:$C$50)</f>
        <v>3</v>
      </c>
      <c r="J10" s="60">
        <f t="shared" si="2"/>
        <v>1</v>
      </c>
      <c r="K10" s="60">
        <f t="shared" si="3"/>
        <v>3</v>
      </c>
      <c r="L10" s="61" t="str">
        <f>IF(B10=0,"لا توجد بطولة لهذه المجموعة في هذه الفئة",IF(D10=1,INDEX($E$39:$E$47,MATCH(B10,$A$39:$A$47,0)),"بطولة من "&amp;B10&amp;" فريقاً تُقسَّم إلى "&amp;D10&amp;" مجموعات مستقلة ("&amp;INDEX('ملخص البطولات'!$C$4:$C$26,MATCH(B10,'ملخص البطولات'!$A$4:$A$26,0))&amp;")، كل مجموعة في ملعب قانوني خاص بها لأن الفريق لا ينتقل بين الملاعب القانونية؛ فتُجمع ملاعبها المصغّرة = "&amp;E10&amp;" (سبب عدد ملاعب كل مجموعة في الجدول المرجعي أدناه)."))</f>
        <v>عدد فردي: يجلس فريق في كل فترة، وتتناوب فترات فيها مباراتان مع فترات فيها مباراة واحدة على مدى 10 فترات (4:00–6:30 م) لتغطية 14 مباراة، فيكفي ملعبان.</v>
      </c>
      <c r="M10" s="61" t="str">
        <f>IF(F10=0,"لا توجد بطولة لهذه المجموعة في هذه الفئة",IF(H10=1,INDEX($E$39:$E$47,MATCH(F10,$A$39:$A$47,0)),"بطولة من "&amp;F10&amp;" فريقاً تُقسَّم إلى "&amp;H10&amp;" مجموعات مستقلة ("&amp;INDEX('ملخص البطولات'!$C$4:$C$26,MATCH(F10,'ملخص البطولات'!$A$4:$A$26,0))&amp;")، كل مجموعة في ملعب قانوني خاص بها لأن الفريق لا ينتقل بين الملاعب القانونية؛ فتُجمع ملاعبها المصغّرة = "&amp;I10&amp;" (سبب عدد ملاعب كل مجموعة في الجدول المرجعي أدناه)."))</f>
        <v>الفرق الستة تلعب كلها معاً في الفترة الواحدة (6 ÷ 2 = 3 مباريات متزامنة) ثم تستريح فترة، فتلزم 3 ملاعب.</v>
      </c>
    </row>
    <row r="11" spans="1:13" ht="52" customHeight="1">
      <c r="A11" s="25" t="s">
        <v>577</v>
      </c>
      <c r="B11" s="20">
        <f>SUMIFS(Sheet1!$F$2:$F$185,Sheet1!$C$2:$C$185,$A11,Sheet1!$B$2:$B$185,$B$4)</f>
        <v>6</v>
      </c>
      <c r="C11" s="59">
        <f t="shared" si="0"/>
        <v>12</v>
      </c>
      <c r="D11" s="20" cm="1">
        <f t="array" ref="D11">SUMPRODUCT(COUNTIFS(Sheet1!$C$2:$C$185,$A11,Sheet1!$B$2:$B$185,$B$4,Sheet1!$F$2:$F$185,'حساب الملاعب'!$A$16:$A$50)*'حساب الملاعب'!$B$16:$B$50)</f>
        <v>1</v>
      </c>
      <c r="E11" s="20" cm="1">
        <f t="array" ref="E11">SUMPRODUCT(COUNTIFS(Sheet1!$C$2:$C$185,$A11,Sheet1!$B$2:$B$185,$B$4,Sheet1!$F$2:$F$185,'حساب الملاعب'!$A$16:$A$50)*'حساب الملاعب'!$C$16:$C$50)</f>
        <v>3</v>
      </c>
      <c r="F11" s="20">
        <f>SUMIFS(Sheet1!$F$2:$F$185,Sheet1!$C$2:$C$185,$A11,Sheet1!$B$2:$B$185,$F$4)</f>
        <v>7</v>
      </c>
      <c r="G11" s="59">
        <f t="shared" si="1"/>
        <v>14</v>
      </c>
      <c r="H11" s="20" cm="1">
        <f t="array" ref="H11">SUMPRODUCT(COUNTIFS(Sheet1!$C$2:$C$185,$A11,Sheet1!$B$2:$B$185,$F$4,Sheet1!$F$2:$F$185,'حساب الملاعب'!$A$16:$A$50)*'حساب الملاعب'!$B$16:$B$50)</f>
        <v>1</v>
      </c>
      <c r="I11" s="20" cm="1">
        <f t="array" ref="I11">SUMPRODUCT(COUNTIFS(Sheet1!$C$2:$C$185,$A11,Sheet1!$B$2:$B$185,$F$4,Sheet1!$F$2:$F$185,'حساب الملاعب'!$A$16:$A$50)*'حساب الملاعب'!$C$16:$C$50)</f>
        <v>2</v>
      </c>
      <c r="J11" s="60">
        <f t="shared" si="2"/>
        <v>1</v>
      </c>
      <c r="K11" s="60">
        <f t="shared" si="3"/>
        <v>3</v>
      </c>
      <c r="L11" s="61" t="str">
        <f>IF(B11=0,"لا توجد بطولة لهذه المجموعة في هذه الفئة",IF(D11=1,INDEX($E$39:$E$47,MATCH(B11,$A$39:$A$47,0)),"بطولة من "&amp;B11&amp;" فريقاً تُقسَّم إلى "&amp;D11&amp;" مجموعات مستقلة ("&amp;INDEX('ملخص البطولات'!$C$4:$C$26,MATCH(B11,'ملخص البطولات'!$A$4:$A$26,0))&amp;")، كل مجموعة في ملعب قانوني خاص بها لأن الفريق لا ينتقل بين الملاعب القانونية؛ فتُجمع ملاعبها المصغّرة = "&amp;E11&amp;" (سبب عدد ملاعب كل مجموعة في الجدول المرجعي أدناه)."))</f>
        <v>الفرق الستة تلعب كلها معاً في الفترة الواحدة (6 ÷ 2 = 3 مباريات متزامنة) ثم تستريح فترة، فتلزم 3 ملاعب.</v>
      </c>
      <c r="M11" s="61" t="str">
        <f>IF(F11=0,"لا توجد بطولة لهذه المجموعة في هذه الفئة",IF(H11=1,INDEX($E$39:$E$47,MATCH(F11,$A$39:$A$47,0)),"بطولة من "&amp;F11&amp;" فريقاً تُقسَّم إلى "&amp;H11&amp;" مجموعات مستقلة ("&amp;INDEX('ملخص البطولات'!$C$4:$C$26,MATCH(F11,'ملخص البطولات'!$A$4:$A$26,0))&amp;")، كل مجموعة في ملعب قانوني خاص بها لأن الفريق لا ينتقل بين الملاعب القانونية؛ فتُجمع ملاعبها المصغّرة = "&amp;I11&amp;" (سبب عدد ملاعب كل مجموعة في الجدول المرجعي أدناه)."))</f>
        <v>عدد فردي: يجلس فريق في كل فترة، وتتناوب فترات فيها مباراتان مع فترات فيها مباراة واحدة على مدى 10 فترات (4:00–6:30 م) لتغطية 14 مباراة، فيكفي ملعبان.</v>
      </c>
    </row>
    <row r="12" spans="1:13" ht="52" customHeight="1">
      <c r="A12" s="25" t="s">
        <v>581</v>
      </c>
      <c r="B12" s="20">
        <f>SUMIFS(Sheet1!$F$2:$F$185,Sheet1!$C$2:$C$185,$A12,Sheet1!$B$2:$B$185,$B$4)</f>
        <v>7</v>
      </c>
      <c r="C12" s="59">
        <f t="shared" si="0"/>
        <v>14</v>
      </c>
      <c r="D12" s="20" cm="1">
        <f t="array" ref="D12">SUMPRODUCT(COUNTIFS(Sheet1!$C$2:$C$185,$A12,Sheet1!$B$2:$B$185,$B$4,Sheet1!$F$2:$F$185,'حساب الملاعب'!$A$16:$A$50)*'حساب الملاعب'!$B$16:$B$50)</f>
        <v>1</v>
      </c>
      <c r="E12" s="20" cm="1">
        <f t="array" ref="E12">SUMPRODUCT(COUNTIFS(Sheet1!$C$2:$C$185,$A12,Sheet1!$B$2:$B$185,$B$4,Sheet1!$F$2:$F$185,'حساب الملاعب'!$A$16:$A$50)*'حساب الملاعب'!$C$16:$C$50)</f>
        <v>2</v>
      </c>
      <c r="F12" s="20">
        <f>SUMIFS(Sheet1!$F$2:$F$185,Sheet1!$C$2:$C$185,$A12,Sheet1!$B$2:$B$185,$F$4)</f>
        <v>12</v>
      </c>
      <c r="G12" s="59">
        <f t="shared" si="1"/>
        <v>24</v>
      </c>
      <c r="H12" s="20" cm="1">
        <f t="array" ref="H12">SUMPRODUCT(COUNTIFS(Sheet1!$C$2:$C$185,$A12,Sheet1!$B$2:$B$185,$F$4,Sheet1!$F$2:$F$185,'حساب الملاعب'!$A$16:$A$50)*'حساب الملاعب'!$B$16:$B$50)</f>
        <v>1</v>
      </c>
      <c r="I12" s="20" cm="1">
        <f t="array" ref="I12">SUMPRODUCT(COUNTIFS(Sheet1!$C$2:$C$185,$A12,Sheet1!$B$2:$B$185,$F$4,Sheet1!$F$2:$F$185,'حساب الملاعب'!$A$16:$A$50)*'حساب الملاعب'!$C$16:$C$50)</f>
        <v>4</v>
      </c>
      <c r="J12" s="60">
        <f t="shared" si="2"/>
        <v>1</v>
      </c>
      <c r="K12" s="60">
        <f t="shared" si="3"/>
        <v>4</v>
      </c>
      <c r="L12" s="61" t="str">
        <f>IF(B12=0,"لا توجد بطولة لهذه المجموعة في هذه الفئة",IF(D12=1,INDEX($E$39:$E$47,MATCH(B12,$A$39:$A$47,0)),"بطولة من "&amp;B12&amp;" فريقاً تُقسَّم إلى "&amp;D12&amp;" مجموعات مستقلة ("&amp;INDEX('ملخص البطولات'!$C$4:$C$26,MATCH(B12,'ملخص البطولات'!$A$4:$A$26,0))&amp;")، كل مجموعة في ملعب قانوني خاص بها لأن الفريق لا ينتقل بين الملاعب القانونية؛ فتُجمع ملاعبها المصغّرة = "&amp;E12&amp;" (سبب عدد ملاعب كل مجموعة في الجدول المرجعي أدناه)."))</f>
        <v>عدد فردي: يجلس فريق في كل فترة، وتتناوب فترات فيها مباراتان مع فترات فيها مباراة واحدة على مدى 10 فترات (4:00–6:30 م) لتغطية 14 مباراة، فيكفي ملعبان.</v>
      </c>
      <c r="M12" s="61" t="str">
        <f>IF(F12=0,"لا توجد بطولة لهذه المجموعة في هذه الفئة",IF(H12=1,INDEX($E$39:$E$47,MATCH(F12,$A$39:$A$47,0)),"بطولة من "&amp;F12&amp;" فريقاً تُقسَّم إلى "&amp;H12&amp;" مجموعات مستقلة ("&amp;INDEX('ملخص البطولات'!$C$4:$C$26,MATCH(F12,'ملخص البطولات'!$A$4:$A$26,0))&amp;")، كل مجموعة في ملعب قانوني خاص بها لأن الفريق لا ينتقل بين الملاعب القانونية؛ فتُجمع ملاعبها المصغّرة = "&amp;I12&amp;" (سبب عدد ملاعب كل مجموعة في الجدول المرجعي أدناه)."))</f>
        <v>في اليوم 24 مباراة؛ تُلعب على 4 ملاعب (الحد الأقصى داخل الملعب القانوني) ليحصل كل فريق على راحة 15 أو 30 دقيقة فقط.</v>
      </c>
    </row>
    <row r="13" spans="1:13" ht="52" customHeight="1">
      <c r="A13" s="25" t="s">
        <v>584</v>
      </c>
      <c r="B13" s="20">
        <f>SUMIFS(Sheet1!$F$2:$F$185,Sheet1!$C$2:$C$185,$A13,Sheet1!$B$2:$B$185,$B$4)</f>
        <v>6</v>
      </c>
      <c r="C13" s="59">
        <f t="shared" si="0"/>
        <v>12</v>
      </c>
      <c r="D13" s="20" cm="1">
        <f t="array" ref="D13">SUMPRODUCT(COUNTIFS(Sheet1!$C$2:$C$185,$A13,Sheet1!$B$2:$B$185,$B$4,Sheet1!$F$2:$F$185,'حساب الملاعب'!$A$16:$A$50)*'حساب الملاعب'!$B$16:$B$50)</f>
        <v>1</v>
      </c>
      <c r="E13" s="20" cm="1">
        <f t="array" ref="E13">SUMPRODUCT(COUNTIFS(Sheet1!$C$2:$C$185,$A13,Sheet1!$B$2:$B$185,$B$4,Sheet1!$F$2:$F$185,'حساب الملاعب'!$A$16:$A$50)*'حساب الملاعب'!$C$16:$C$50)</f>
        <v>3</v>
      </c>
      <c r="F13" s="20">
        <f>SUMIFS(Sheet1!$F$2:$F$185,Sheet1!$C$2:$C$185,$A13,Sheet1!$B$2:$B$185,$F$4)</f>
        <v>11</v>
      </c>
      <c r="G13" s="59">
        <f t="shared" si="1"/>
        <v>22</v>
      </c>
      <c r="H13" s="20" cm="1">
        <f t="array" ref="H13">SUMPRODUCT(COUNTIFS(Sheet1!$C$2:$C$185,$A13,Sheet1!$B$2:$B$185,$F$4,Sheet1!$F$2:$F$185,'حساب الملاعب'!$A$16:$A$50)*'حساب الملاعب'!$B$16:$B$50)</f>
        <v>1</v>
      </c>
      <c r="I13" s="20" cm="1">
        <f t="array" ref="I13">SUMPRODUCT(COUNTIFS(Sheet1!$C$2:$C$185,$A13,Sheet1!$B$2:$B$185,$F$4,Sheet1!$F$2:$F$185,'حساب الملاعب'!$A$16:$A$50)*'حساب الملاعب'!$C$16:$C$50)</f>
        <v>4</v>
      </c>
      <c r="J13" s="60">
        <f t="shared" si="2"/>
        <v>1</v>
      </c>
      <c r="K13" s="60">
        <f t="shared" si="3"/>
        <v>4</v>
      </c>
      <c r="L13" s="61" t="str">
        <f>IF(B13=0,"لا توجد بطولة لهذه المجموعة في هذه الفئة",IF(D13=1,INDEX($E$39:$E$47,MATCH(B13,$A$39:$A$47,0)),"بطولة من "&amp;B13&amp;" فريقاً تُقسَّم إلى "&amp;D13&amp;" مجموعات مستقلة ("&amp;INDEX('ملخص البطولات'!$C$4:$C$26,MATCH(B13,'ملخص البطولات'!$A$4:$A$26,0))&amp;")، كل مجموعة في ملعب قانوني خاص بها لأن الفريق لا ينتقل بين الملاعب القانونية؛ فتُجمع ملاعبها المصغّرة = "&amp;E13&amp;" (سبب عدد ملاعب كل مجموعة في الجدول المرجعي أدناه)."))</f>
        <v>الفرق الستة تلعب كلها معاً في الفترة الواحدة (6 ÷ 2 = 3 مباريات متزامنة) ثم تستريح فترة، فتلزم 3 ملاعب.</v>
      </c>
      <c r="M13" s="61" t="str">
        <f>IF(F13=0,"لا توجد بطولة لهذه المجموعة في هذه الفئة",IF(H13=1,INDEX($E$39:$E$47,MATCH(F13,$A$39:$A$47,0)),"بطولة من "&amp;F13&amp;" فريقاً تُقسَّم إلى "&amp;H13&amp;" مجموعات مستقلة ("&amp;INDEX('ملخص البطولات'!$C$4:$C$26,MATCH(F13,'ملخص البطولات'!$A$4:$A$26,0))&amp;")، كل مجموعة في ملعب قانوني خاص بها لأن الفريق لا ينتقل بين الملاعب القانونية؛ فتُجمع ملاعبها المصغّرة = "&amp;I13&amp;" (سبب عدد ملاعب كل مجموعة في الجدول المرجعي أدناه)."))</f>
        <v>في اليوم 22 مباراة؛ تُلعب على 4 ملاعب (الحد الأقصى داخل الملعب القانوني) ليحصل كل فريق على راحة 15 أو 30 دقيقة فقط.</v>
      </c>
    </row>
    <row r="14" spans="1:13" ht="52" customHeight="1">
      <c r="A14" s="25" t="s">
        <v>586</v>
      </c>
      <c r="B14" s="20">
        <f>SUMIFS(Sheet1!$F$2:$F$185,Sheet1!$C$2:$C$185,$A14,Sheet1!$B$2:$B$185,$B$4)</f>
        <v>0</v>
      </c>
      <c r="C14" s="59">
        <f t="shared" si="0"/>
        <v>0</v>
      </c>
      <c r="D14" s="20" cm="1">
        <f t="array" ref="D14">SUMPRODUCT(COUNTIFS(Sheet1!$C$2:$C$185,$A14,Sheet1!$B$2:$B$185,$B$4,Sheet1!$F$2:$F$185,'حساب الملاعب'!$A$16:$A$50)*'حساب الملاعب'!$B$16:$B$50)</f>
        <v>0</v>
      </c>
      <c r="E14" s="20" cm="1">
        <f t="array" ref="E14">SUMPRODUCT(COUNTIFS(Sheet1!$C$2:$C$185,$A14,Sheet1!$B$2:$B$185,$B$4,Sheet1!$F$2:$F$185,'حساب الملاعب'!$A$16:$A$50)*'حساب الملاعب'!$C$16:$C$50)</f>
        <v>0</v>
      </c>
      <c r="F14" s="20">
        <f>SUMIFS(Sheet1!$F$2:$F$185,Sheet1!$C$2:$C$185,$A14,Sheet1!$B$2:$B$185,$F$4)</f>
        <v>8</v>
      </c>
      <c r="G14" s="59">
        <f t="shared" si="1"/>
        <v>16</v>
      </c>
      <c r="H14" s="20" cm="1">
        <f t="array" ref="H14">SUMPRODUCT(COUNTIFS(Sheet1!$C$2:$C$185,$A14,Sheet1!$B$2:$B$185,$F$4,Sheet1!$F$2:$F$185,'حساب الملاعب'!$A$16:$A$50)*'حساب الملاعب'!$B$16:$B$50)</f>
        <v>1</v>
      </c>
      <c r="I14" s="20" cm="1">
        <f t="array" ref="I14">SUMPRODUCT(COUNTIFS(Sheet1!$C$2:$C$185,$A14,Sheet1!$B$2:$B$185,$F$4,Sheet1!$F$2:$F$185,'حساب الملاعب'!$A$16:$A$50)*'حساب الملاعب'!$C$16:$C$50)</f>
        <v>4</v>
      </c>
      <c r="J14" s="60">
        <f t="shared" si="2"/>
        <v>1</v>
      </c>
      <c r="K14" s="60">
        <f t="shared" si="3"/>
        <v>4</v>
      </c>
      <c r="L14" s="61" t="str">
        <f>IF(B14=0,"لا توجد بطولة لهذه المجموعة في هذه الفئة",IF(D14=1,INDEX($E$39:$E$47,MATCH(B14,$A$39:$A$47,0)),"بطولة من "&amp;B14&amp;" فريقاً تُقسَّم إلى "&amp;D14&amp;" مجموعات مستقلة ("&amp;INDEX('ملخص البطولات'!$C$4:$C$26,MATCH(B14,'ملخص البطولات'!$A$4:$A$26,0))&amp;")، كل مجموعة في ملعب قانوني خاص بها لأن الفريق لا ينتقل بين الملاعب القانونية؛ فتُجمع ملاعبها المصغّرة = "&amp;E14&amp;" (سبب عدد ملاعب كل مجموعة في الجدول المرجعي أدناه)."))</f>
        <v>لا توجد بطولة لهذه المجموعة في هذه الفئة</v>
      </c>
      <c r="M14" s="61" t="str">
        <f>IF(F14=0,"لا توجد بطولة لهذه المجموعة في هذه الفئة",IF(H14=1,INDEX($E$39:$E$47,MATCH(F14,$A$39:$A$47,0)),"بطولة من "&amp;F14&amp;" فريقاً تُقسَّم إلى "&amp;H14&amp;" مجموعات مستقلة ("&amp;INDEX('ملخص البطولات'!$C$4:$C$26,MATCH(F14,'ملخص البطولات'!$A$4:$A$26,0))&amp;")، كل مجموعة في ملعب قانوني خاص بها لأن الفريق لا ينتقل بين الملاعب القانونية؛ فتُجمع ملاعبها المصغّرة = "&amp;I14&amp;" (سبب عدد ملاعب كل مجموعة في الجدول المرجعي أدناه)."))</f>
        <v>الفرق الثمانية تلعب كلها معاً (8 ÷ 2 = 4 مباريات متزامنة) ثم تستريح فترة، فتلزم 4 ملاعب وهو الحد الأقصى داخل الملعب القانوني.</v>
      </c>
    </row>
    <row r="15" spans="1:13" ht="52" customHeight="1">
      <c r="A15" s="25" t="s">
        <v>588</v>
      </c>
      <c r="B15" s="20">
        <f>SUMIFS(Sheet1!$F$2:$F$185,Sheet1!$C$2:$C$185,$A15,Sheet1!$B$2:$B$185,$B$4)</f>
        <v>8</v>
      </c>
      <c r="C15" s="59">
        <f t="shared" si="0"/>
        <v>16</v>
      </c>
      <c r="D15" s="20" cm="1">
        <f t="array" ref="D15">SUMPRODUCT(COUNTIFS(Sheet1!$C$2:$C$185,$A15,Sheet1!$B$2:$B$185,$B$4,Sheet1!$F$2:$F$185,'حساب الملاعب'!$A$16:$A$50)*'حساب الملاعب'!$B$16:$B$50)</f>
        <v>1</v>
      </c>
      <c r="E15" s="20" cm="1">
        <f t="array" ref="E15">SUMPRODUCT(COUNTIFS(Sheet1!$C$2:$C$185,$A15,Sheet1!$B$2:$B$185,$B$4,Sheet1!$F$2:$F$185,'حساب الملاعب'!$A$16:$A$50)*'حساب الملاعب'!$C$16:$C$50)</f>
        <v>4</v>
      </c>
      <c r="F15" s="20">
        <f>SUMIFS(Sheet1!$F$2:$F$185,Sheet1!$C$2:$C$185,$A15,Sheet1!$B$2:$B$185,$F$4)</f>
        <v>11</v>
      </c>
      <c r="G15" s="59">
        <f t="shared" si="1"/>
        <v>22</v>
      </c>
      <c r="H15" s="20" cm="1">
        <f t="array" ref="H15">SUMPRODUCT(COUNTIFS(Sheet1!$C$2:$C$185,$A15,Sheet1!$B$2:$B$185,$F$4,Sheet1!$F$2:$F$185,'حساب الملاعب'!$A$16:$A$50)*'حساب الملاعب'!$B$16:$B$50)</f>
        <v>1</v>
      </c>
      <c r="I15" s="20" cm="1">
        <f t="array" ref="I15">SUMPRODUCT(COUNTIFS(Sheet1!$C$2:$C$185,$A15,Sheet1!$B$2:$B$185,$F$4,Sheet1!$F$2:$F$185,'حساب الملاعب'!$A$16:$A$50)*'حساب الملاعب'!$C$16:$C$50)</f>
        <v>4</v>
      </c>
      <c r="J15" s="60">
        <f t="shared" si="2"/>
        <v>1</v>
      </c>
      <c r="K15" s="60">
        <f t="shared" si="3"/>
        <v>4</v>
      </c>
      <c r="L15" s="61" t="str">
        <f>IF(B15=0,"لا توجد بطولة لهذه المجموعة في هذه الفئة",IF(D15=1,INDEX($E$39:$E$47,MATCH(B15,$A$39:$A$47,0)),"بطولة من "&amp;B15&amp;" فريقاً تُقسَّم إلى "&amp;D15&amp;" مجموعات مستقلة ("&amp;INDEX('ملخص البطولات'!$C$4:$C$26,MATCH(B15,'ملخص البطولات'!$A$4:$A$26,0))&amp;")، كل مجموعة في ملعب قانوني خاص بها لأن الفريق لا ينتقل بين الملاعب القانونية؛ فتُجمع ملاعبها المصغّرة = "&amp;E15&amp;" (سبب عدد ملاعب كل مجموعة في الجدول المرجعي أدناه)."))</f>
        <v>الفرق الثمانية تلعب كلها معاً (8 ÷ 2 = 4 مباريات متزامنة) ثم تستريح فترة، فتلزم 4 ملاعب وهو الحد الأقصى داخل الملعب القانوني.</v>
      </c>
      <c r="M15" s="61" t="str">
        <f>IF(F15=0,"لا توجد بطولة لهذه المجموعة في هذه الفئة",IF(H15=1,INDEX($E$39:$E$47,MATCH(F15,$A$39:$A$47,0)),"بطولة من "&amp;F15&amp;" فريقاً تُقسَّم إلى "&amp;H15&amp;" مجموعات مستقلة ("&amp;INDEX('ملخص البطولات'!$C$4:$C$26,MATCH(F15,'ملخص البطولات'!$A$4:$A$26,0))&amp;")، كل مجموعة في ملعب قانوني خاص بها لأن الفريق لا ينتقل بين الملاعب القانونية؛ فتُجمع ملاعبها المصغّرة = "&amp;I15&amp;" (سبب عدد ملاعب كل مجموعة في الجدول المرجعي أدناه)."))</f>
        <v>في اليوم 22 مباراة؛ تُلعب على 4 ملاعب (الحد الأقصى داخل الملعب القانوني) ليحصل كل فريق على راحة 15 أو 30 دقيقة فقط.</v>
      </c>
    </row>
    <row r="16" spans="1:13" ht="52" customHeight="1">
      <c r="A16" s="25" t="s">
        <v>591</v>
      </c>
      <c r="B16" s="20">
        <f>SUMIFS(Sheet1!$F$2:$F$185,Sheet1!$C$2:$C$185,$A16,Sheet1!$B$2:$B$185,$B$4)</f>
        <v>7</v>
      </c>
      <c r="C16" s="59">
        <f t="shared" si="0"/>
        <v>14</v>
      </c>
      <c r="D16" s="20" cm="1">
        <f t="array" ref="D16">SUMPRODUCT(COUNTIFS(Sheet1!$C$2:$C$185,$A16,Sheet1!$B$2:$B$185,$B$4,Sheet1!$F$2:$F$185,'حساب الملاعب'!$A$16:$A$50)*'حساب الملاعب'!$B$16:$B$50)</f>
        <v>1</v>
      </c>
      <c r="E16" s="20" cm="1">
        <f t="array" ref="E16">SUMPRODUCT(COUNTIFS(Sheet1!$C$2:$C$185,$A16,Sheet1!$B$2:$B$185,$B$4,Sheet1!$F$2:$F$185,'حساب الملاعب'!$A$16:$A$50)*'حساب الملاعب'!$C$16:$C$50)</f>
        <v>2</v>
      </c>
      <c r="F16" s="20">
        <f>SUMIFS(Sheet1!$F$2:$F$185,Sheet1!$C$2:$C$185,$A16,Sheet1!$B$2:$B$185,$F$4)</f>
        <v>7</v>
      </c>
      <c r="G16" s="59">
        <f t="shared" si="1"/>
        <v>14</v>
      </c>
      <c r="H16" s="20" cm="1">
        <f t="array" ref="H16">SUMPRODUCT(COUNTIFS(Sheet1!$C$2:$C$185,$A16,Sheet1!$B$2:$B$185,$F$4,Sheet1!$F$2:$F$185,'حساب الملاعب'!$A$16:$A$50)*'حساب الملاعب'!$B$16:$B$50)</f>
        <v>1</v>
      </c>
      <c r="I16" s="20" cm="1">
        <f t="array" ref="I16">SUMPRODUCT(COUNTIFS(Sheet1!$C$2:$C$185,$A16,Sheet1!$B$2:$B$185,$F$4,Sheet1!$F$2:$F$185,'حساب الملاعب'!$A$16:$A$50)*'حساب الملاعب'!$C$16:$C$50)</f>
        <v>2</v>
      </c>
      <c r="J16" s="60">
        <f t="shared" si="2"/>
        <v>1</v>
      </c>
      <c r="K16" s="60">
        <f t="shared" si="3"/>
        <v>2</v>
      </c>
      <c r="L16" s="61" t="str">
        <f>IF(B16=0,"لا توجد بطولة لهذه المجموعة في هذه الفئة",IF(D16=1,INDEX($E$39:$E$47,MATCH(B16,$A$39:$A$47,0)),"بطولة من "&amp;B16&amp;" فريقاً تُقسَّم إلى "&amp;D16&amp;" مجموعات مستقلة ("&amp;INDEX('ملخص البطولات'!$C$4:$C$26,MATCH(B16,'ملخص البطولات'!$A$4:$A$26,0))&amp;")، كل مجموعة في ملعب قانوني خاص بها لأن الفريق لا ينتقل بين الملاعب القانونية؛ فتُجمع ملاعبها المصغّرة = "&amp;E16&amp;" (سبب عدد ملاعب كل مجموعة في الجدول المرجعي أدناه)."))</f>
        <v>عدد فردي: يجلس فريق في كل فترة، وتتناوب فترات فيها مباراتان مع فترات فيها مباراة واحدة على مدى 10 فترات (4:00–6:30 م) لتغطية 14 مباراة، فيكفي ملعبان.</v>
      </c>
      <c r="M16" s="61" t="str">
        <f>IF(F16=0,"لا توجد بطولة لهذه المجموعة في هذه الفئة",IF(H16=1,INDEX($E$39:$E$47,MATCH(F16,$A$39:$A$47,0)),"بطولة من "&amp;F16&amp;" فريقاً تُقسَّم إلى "&amp;H16&amp;" مجموعات مستقلة ("&amp;INDEX('ملخص البطولات'!$C$4:$C$26,MATCH(F16,'ملخص البطولات'!$A$4:$A$26,0))&amp;")، كل مجموعة في ملعب قانوني خاص بها لأن الفريق لا ينتقل بين الملاعب القانونية؛ فتُجمع ملاعبها المصغّرة = "&amp;I16&amp;" (سبب عدد ملاعب كل مجموعة في الجدول المرجعي أدناه)."))</f>
        <v>عدد فردي: يجلس فريق في كل فترة، وتتناوب فترات فيها مباراتان مع فترات فيها مباراة واحدة على مدى 10 فترات (4:00–6:30 م) لتغطية 14 مباراة، فيكفي ملعبان.</v>
      </c>
    </row>
    <row r="17" spans="1:13" ht="52" customHeight="1">
      <c r="A17" s="25" t="s">
        <v>593</v>
      </c>
      <c r="B17" s="20">
        <f>SUMIFS(Sheet1!$F$2:$F$185,Sheet1!$C$2:$C$185,$A17,Sheet1!$B$2:$B$185,$B$4)</f>
        <v>10</v>
      </c>
      <c r="C17" s="59">
        <f t="shared" si="0"/>
        <v>20</v>
      </c>
      <c r="D17" s="20" cm="1">
        <f t="array" ref="D17">SUMPRODUCT(COUNTIFS(Sheet1!$C$2:$C$185,$A17,Sheet1!$B$2:$B$185,$B$4,Sheet1!$F$2:$F$185,'حساب الملاعب'!$A$16:$A$50)*'حساب الملاعب'!$B$16:$B$50)</f>
        <v>1</v>
      </c>
      <c r="E17" s="20" cm="1">
        <f t="array" ref="E17">SUMPRODUCT(COUNTIFS(Sheet1!$C$2:$C$185,$A17,Sheet1!$B$2:$B$185,$B$4,Sheet1!$F$2:$F$185,'حساب الملاعب'!$A$16:$A$50)*'حساب الملاعب'!$C$16:$C$50)</f>
        <v>4</v>
      </c>
      <c r="F17" s="20">
        <f>SUMIFS(Sheet1!$F$2:$F$185,Sheet1!$C$2:$C$185,$A17,Sheet1!$B$2:$B$185,$F$4)</f>
        <v>15</v>
      </c>
      <c r="G17" s="59">
        <f t="shared" si="1"/>
        <v>30</v>
      </c>
      <c r="H17" s="20" cm="1">
        <f t="array" ref="H17">SUMPRODUCT(COUNTIFS(Sheet1!$C$2:$C$185,$A17,Sheet1!$B$2:$B$185,$F$4,Sheet1!$F$2:$F$185,'حساب الملاعب'!$A$16:$A$50)*'حساب الملاعب'!$B$16:$B$50)</f>
        <v>2</v>
      </c>
      <c r="I17" s="20" cm="1">
        <f t="array" ref="I17">SUMPRODUCT(COUNTIFS(Sheet1!$C$2:$C$185,$A17,Sheet1!$B$2:$B$185,$F$4,Sheet1!$F$2:$F$185,'حساب الملاعب'!$A$16:$A$50)*'حساب الملاعب'!$C$16:$C$50)</f>
        <v>6</v>
      </c>
      <c r="J17" s="60">
        <f t="shared" si="2"/>
        <v>2</v>
      </c>
      <c r="K17" s="60">
        <f t="shared" si="3"/>
        <v>6</v>
      </c>
      <c r="L17" s="61" t="str">
        <f>IF(B17=0,"لا توجد بطولة لهذه المجموعة في هذه الفئة",IF(D17=1,INDEX($E$39:$E$47,MATCH(B17,$A$39:$A$47,0)),"بطولة من "&amp;B17&amp;" فريقاً تُقسَّم إلى "&amp;D17&amp;" مجموعات مستقلة ("&amp;INDEX('ملخص البطولات'!$C$4:$C$26,MATCH(B17,'ملخص البطولات'!$A$4:$A$26,0))&amp;")، كل مجموعة في ملعب قانوني خاص بها لأن الفريق لا ينتقل بين الملاعب القانونية؛ فتُجمع ملاعبها المصغّرة = "&amp;E17&amp;" (سبب عدد ملاعب كل مجموعة في الجدول المرجعي أدناه)."))</f>
        <v>في اليوم 20 مباراة في يوم قصير (4:00–6:15 م)؛ تُلعب على 4 ملاعب (الحد الأقصى داخل الملعب القانوني) ليحصل كل فريق على راحة 15 أو 30 دقيقة فقط.</v>
      </c>
      <c r="M17" s="61" t="str">
        <f>IF(F17=0,"لا توجد بطولة لهذه المجموعة في هذه الفئة",IF(H17=1,INDEX($E$39:$E$47,MATCH(F17,$A$39:$A$47,0)),"بطولة من "&amp;F17&amp;" فريقاً تُقسَّم إلى "&amp;H17&amp;" مجموعات مستقلة ("&amp;INDEX('ملخص البطولات'!$C$4:$C$26,MATCH(F17,'ملخص البطولات'!$A$4:$A$26,0))&amp;")، كل مجموعة في ملعب قانوني خاص بها لأن الفريق لا ينتقل بين الملاعب القانونية؛ فتُجمع ملاعبها المصغّرة = "&amp;I17&amp;" (سبب عدد ملاعب كل مجموعة في الجدول المرجعي أدناه)."))</f>
        <v>بطولة من 15 فريقاً تُقسَّم إلى 2 مجموعات مستقلة (أ: 7 | ب: 8)، كل مجموعة في ملعب قانوني خاص بها لأن الفريق لا ينتقل بين الملاعب القانونية؛ فتُجمع ملاعبها المصغّرة = 6 (سبب عدد ملاعب كل مجموعة في الجدول المرجعي أدناه).</v>
      </c>
    </row>
    <row r="18" spans="1:13" ht="52" customHeight="1">
      <c r="A18" s="25" t="s">
        <v>595</v>
      </c>
      <c r="B18" s="20">
        <f>SUMIFS(Sheet1!$F$2:$F$185,Sheet1!$C$2:$C$185,$A18,Sheet1!$B$2:$B$185,$B$4)</f>
        <v>8</v>
      </c>
      <c r="C18" s="59">
        <f t="shared" si="0"/>
        <v>16</v>
      </c>
      <c r="D18" s="20" cm="1">
        <f t="array" ref="D18">SUMPRODUCT(COUNTIFS(Sheet1!$C$2:$C$185,$A18,Sheet1!$B$2:$B$185,$B$4,Sheet1!$F$2:$F$185,'حساب الملاعب'!$A$16:$A$50)*'حساب الملاعب'!$B$16:$B$50)</f>
        <v>1</v>
      </c>
      <c r="E18" s="20" cm="1">
        <f t="array" ref="E18">SUMPRODUCT(COUNTIFS(Sheet1!$C$2:$C$185,$A18,Sheet1!$B$2:$B$185,$B$4,Sheet1!$F$2:$F$185,'حساب الملاعب'!$A$16:$A$50)*'حساب الملاعب'!$C$16:$C$50)</f>
        <v>4</v>
      </c>
      <c r="F18" s="20">
        <f>SUMIFS(Sheet1!$F$2:$F$185,Sheet1!$C$2:$C$185,$A18,Sheet1!$B$2:$B$185,$F$4)</f>
        <v>8</v>
      </c>
      <c r="G18" s="59">
        <f t="shared" si="1"/>
        <v>16</v>
      </c>
      <c r="H18" s="20" cm="1">
        <f t="array" ref="H18">SUMPRODUCT(COUNTIFS(Sheet1!$C$2:$C$185,$A18,Sheet1!$B$2:$B$185,$F$4,Sheet1!$F$2:$F$185,'حساب الملاعب'!$A$16:$A$50)*'حساب الملاعب'!$B$16:$B$50)</f>
        <v>1</v>
      </c>
      <c r="I18" s="20" cm="1">
        <f t="array" ref="I18">SUMPRODUCT(COUNTIFS(Sheet1!$C$2:$C$185,$A18,Sheet1!$B$2:$B$185,$F$4,Sheet1!$F$2:$F$185,'حساب الملاعب'!$A$16:$A$50)*'حساب الملاعب'!$C$16:$C$50)</f>
        <v>4</v>
      </c>
      <c r="J18" s="60">
        <f t="shared" si="2"/>
        <v>1</v>
      </c>
      <c r="K18" s="60">
        <f t="shared" si="3"/>
        <v>4</v>
      </c>
      <c r="L18" s="61" t="str">
        <f>IF(B18=0,"لا توجد بطولة لهذه المجموعة في هذه الفئة",IF(D18=1,INDEX($E$39:$E$47,MATCH(B18,$A$39:$A$47,0)),"بطولة من "&amp;B18&amp;" فريقاً تُقسَّم إلى "&amp;D18&amp;" مجموعات مستقلة ("&amp;INDEX('ملخص البطولات'!$C$4:$C$26,MATCH(B18,'ملخص البطولات'!$A$4:$A$26,0))&amp;")، كل مجموعة في ملعب قانوني خاص بها لأن الفريق لا ينتقل بين الملاعب القانونية؛ فتُجمع ملاعبها المصغّرة = "&amp;E18&amp;" (سبب عدد ملاعب كل مجموعة في الجدول المرجعي أدناه)."))</f>
        <v>الفرق الثمانية تلعب كلها معاً (8 ÷ 2 = 4 مباريات متزامنة) ثم تستريح فترة، فتلزم 4 ملاعب وهو الحد الأقصى داخل الملعب القانوني.</v>
      </c>
      <c r="M18" s="61" t="str">
        <f>IF(F18=0,"لا توجد بطولة لهذه المجموعة في هذه الفئة",IF(H18=1,INDEX($E$39:$E$47,MATCH(F18,$A$39:$A$47,0)),"بطولة من "&amp;F18&amp;" فريقاً تُقسَّم إلى "&amp;H18&amp;" مجموعات مستقلة ("&amp;INDEX('ملخص البطولات'!$C$4:$C$26,MATCH(F18,'ملخص البطولات'!$A$4:$A$26,0))&amp;")، كل مجموعة في ملعب قانوني خاص بها لأن الفريق لا ينتقل بين الملاعب القانونية؛ فتُجمع ملاعبها المصغّرة = "&amp;I18&amp;" (سبب عدد ملاعب كل مجموعة في الجدول المرجعي أدناه)."))</f>
        <v>الفرق الثمانية تلعب كلها معاً (8 ÷ 2 = 4 مباريات متزامنة) ثم تستريح فترة، فتلزم 4 ملاعب وهو الحد الأقصى داخل الملعب القانوني.</v>
      </c>
    </row>
    <row r="19" spans="1:13" ht="52" customHeight="1">
      <c r="A19" s="25" t="s">
        <v>601</v>
      </c>
      <c r="B19" s="20">
        <f>SUMIFS(Sheet1!$F$2:$F$185,Sheet1!$C$2:$C$185,$A19,Sheet1!$B$2:$B$185,$B$4)</f>
        <v>12</v>
      </c>
      <c r="C19" s="59">
        <f t="shared" si="0"/>
        <v>24</v>
      </c>
      <c r="D19" s="20" cm="1">
        <f t="array" ref="D19">SUMPRODUCT(COUNTIFS(Sheet1!$C$2:$C$185,$A19,Sheet1!$B$2:$B$185,$B$4,Sheet1!$F$2:$F$185,'حساب الملاعب'!$A$16:$A$50)*'حساب الملاعب'!$B$16:$B$50)</f>
        <v>1</v>
      </c>
      <c r="E19" s="20" cm="1">
        <f t="array" ref="E19">SUMPRODUCT(COUNTIFS(Sheet1!$C$2:$C$185,$A19,Sheet1!$B$2:$B$185,$B$4,Sheet1!$F$2:$F$185,'حساب الملاعب'!$A$16:$A$50)*'حساب الملاعب'!$C$16:$C$50)</f>
        <v>4</v>
      </c>
      <c r="F19" s="20">
        <f>SUMIFS(Sheet1!$F$2:$F$185,Sheet1!$C$2:$C$185,$A19,Sheet1!$B$2:$B$185,$F$4)</f>
        <v>15</v>
      </c>
      <c r="G19" s="59">
        <f t="shared" si="1"/>
        <v>30</v>
      </c>
      <c r="H19" s="20" cm="1">
        <f t="array" ref="H19">SUMPRODUCT(COUNTIFS(Sheet1!$C$2:$C$185,$A19,Sheet1!$B$2:$B$185,$F$4,Sheet1!$F$2:$F$185,'حساب الملاعب'!$A$16:$A$50)*'حساب الملاعب'!$B$16:$B$50)</f>
        <v>2</v>
      </c>
      <c r="I19" s="20" cm="1">
        <f t="array" ref="I19">SUMPRODUCT(COUNTIFS(Sheet1!$C$2:$C$185,$A19,Sheet1!$B$2:$B$185,$F$4,Sheet1!$F$2:$F$185,'حساب الملاعب'!$A$16:$A$50)*'حساب الملاعب'!$C$16:$C$50)</f>
        <v>6</v>
      </c>
      <c r="J19" s="60">
        <f t="shared" si="2"/>
        <v>2</v>
      </c>
      <c r="K19" s="60">
        <f t="shared" si="3"/>
        <v>6</v>
      </c>
      <c r="L19" s="61" t="str">
        <f>IF(B19=0,"لا توجد بطولة لهذه المجموعة في هذه الفئة",IF(D19=1,INDEX($E$39:$E$47,MATCH(B19,$A$39:$A$47,0)),"بطولة من "&amp;B19&amp;" فريقاً تُقسَّم إلى "&amp;D19&amp;" مجموعات مستقلة ("&amp;INDEX('ملخص البطولات'!$C$4:$C$26,MATCH(B19,'ملخص البطولات'!$A$4:$A$26,0))&amp;")، كل مجموعة في ملعب قانوني خاص بها لأن الفريق لا ينتقل بين الملاعب القانونية؛ فتُجمع ملاعبها المصغّرة = "&amp;E19&amp;" (سبب عدد ملاعب كل مجموعة في الجدول المرجعي أدناه)."))</f>
        <v>في اليوم 24 مباراة؛ تُلعب على 4 ملاعب (الحد الأقصى داخل الملعب القانوني) ليحصل كل فريق على راحة 15 أو 30 دقيقة فقط.</v>
      </c>
      <c r="M19" s="61" t="str">
        <f>IF(F19=0,"لا توجد بطولة لهذه المجموعة في هذه الفئة",IF(H19=1,INDEX($E$39:$E$47,MATCH(F19,$A$39:$A$47,0)),"بطولة من "&amp;F19&amp;" فريقاً تُقسَّم إلى "&amp;H19&amp;" مجموعات مستقلة ("&amp;INDEX('ملخص البطولات'!$C$4:$C$26,MATCH(F19,'ملخص البطولات'!$A$4:$A$26,0))&amp;")، كل مجموعة في ملعب قانوني خاص بها لأن الفريق لا ينتقل بين الملاعب القانونية؛ فتُجمع ملاعبها المصغّرة = "&amp;I19&amp;" (سبب عدد ملاعب كل مجموعة في الجدول المرجعي أدناه)."))</f>
        <v>بطولة من 15 فريقاً تُقسَّم إلى 2 مجموعات مستقلة (أ: 7 | ب: 8)، كل مجموعة في ملعب قانوني خاص بها لأن الفريق لا ينتقل بين الملاعب القانونية؛ فتُجمع ملاعبها المصغّرة = 6 (سبب عدد ملاعب كل مجموعة في الجدول المرجعي أدناه).</v>
      </c>
    </row>
    <row r="20" spans="1:13" ht="52" customHeight="1">
      <c r="A20" s="25" t="s">
        <v>604</v>
      </c>
      <c r="B20" s="20">
        <f>SUMIFS(Sheet1!$F$2:$F$185,Sheet1!$C$2:$C$185,$A20,Sheet1!$B$2:$B$185,$B$4)</f>
        <v>16</v>
      </c>
      <c r="C20" s="59">
        <f t="shared" si="0"/>
        <v>32</v>
      </c>
      <c r="D20" s="20" cm="1">
        <f t="array" ref="D20">SUMPRODUCT(COUNTIFS(Sheet1!$C$2:$C$185,$A20,Sheet1!$B$2:$B$185,$B$4,Sheet1!$F$2:$F$185,'حساب الملاعب'!$A$16:$A$50)*'حساب الملاعب'!$B$16:$B$50)</f>
        <v>2</v>
      </c>
      <c r="E20" s="20" cm="1">
        <f t="array" ref="E20">SUMPRODUCT(COUNTIFS(Sheet1!$C$2:$C$185,$A20,Sheet1!$B$2:$B$185,$B$4,Sheet1!$F$2:$F$185,'حساب الملاعب'!$A$16:$A$50)*'حساب الملاعب'!$C$16:$C$50)</f>
        <v>8</v>
      </c>
      <c r="F20" s="20">
        <f>SUMIFS(Sheet1!$F$2:$F$185,Sheet1!$C$2:$C$185,$A20,Sheet1!$B$2:$B$185,$F$4)</f>
        <v>31</v>
      </c>
      <c r="G20" s="59">
        <f t="shared" si="1"/>
        <v>62</v>
      </c>
      <c r="H20" s="20" cm="1">
        <f t="array" ref="H20">SUMPRODUCT(COUNTIFS(Sheet1!$C$2:$C$185,$A20,Sheet1!$B$2:$B$185,$F$4,Sheet1!$F$2:$F$185,'حساب الملاعب'!$A$16:$A$50)*'حساب الملاعب'!$B$16:$B$50)</f>
        <v>3</v>
      </c>
      <c r="I20" s="20" cm="1">
        <f t="array" ref="I20">SUMPRODUCT(COUNTIFS(Sheet1!$C$2:$C$185,$A20,Sheet1!$B$2:$B$185,$F$4,Sheet1!$F$2:$F$185,'حساب الملاعب'!$A$16:$A$50)*'حساب الملاعب'!$C$16:$C$50)</f>
        <v>12</v>
      </c>
      <c r="J20" s="60">
        <f t="shared" si="2"/>
        <v>3</v>
      </c>
      <c r="K20" s="60">
        <f t="shared" si="3"/>
        <v>12</v>
      </c>
      <c r="L20" s="61" t="str">
        <f>IF(B20=0,"لا توجد بطولة لهذه المجموعة في هذه الفئة",IF(D20=1,INDEX($E$39:$E$47,MATCH(B20,$A$39:$A$47,0)),"بطولة من "&amp;B20&amp;" فريقاً تُقسَّم إلى "&amp;D20&amp;" مجموعات مستقلة ("&amp;INDEX('ملخص البطولات'!$C$4:$C$26,MATCH(B20,'ملخص البطولات'!$A$4:$A$26,0))&amp;")، كل مجموعة في ملعب قانوني خاص بها لأن الفريق لا ينتقل بين الملاعب القانونية؛ فتُجمع ملاعبها المصغّرة = "&amp;E20&amp;" (سبب عدد ملاعب كل مجموعة في الجدول المرجعي أدناه)."))</f>
        <v>بطولة من 16 فريقاً تُقسَّم إلى 2 مجموعات مستقلة (أ: 8 | ب: 8)، كل مجموعة في ملعب قانوني خاص بها لأن الفريق لا ينتقل بين الملاعب القانونية؛ فتُجمع ملاعبها المصغّرة = 8 (سبب عدد ملاعب كل مجموعة في الجدول المرجعي أدناه).</v>
      </c>
      <c r="M20" s="61" t="str">
        <f>IF(F20=0,"لا توجد بطولة لهذه المجموعة في هذه الفئة",IF(H20=1,INDEX($E$39:$E$47,MATCH(F20,$A$39:$A$47,0)),"بطولة من "&amp;F20&amp;" فريقاً تُقسَّم إلى "&amp;H20&amp;" مجموعات مستقلة ("&amp;INDEX('ملخص البطولات'!$C$4:$C$26,MATCH(F20,'ملخص البطولات'!$A$4:$A$26,0))&amp;")، كل مجموعة في ملعب قانوني خاص بها لأن الفريق لا ينتقل بين الملاعب القانونية؛ فتُجمع ملاعبها المصغّرة = "&amp;I20&amp;" (سبب عدد ملاعب كل مجموعة في الجدول المرجعي أدناه)."))</f>
        <v>بطولة من 31 فريقاً تُقسَّم إلى 3 مجموعات مستقلة (أ: 10 | ب: 10 | ج: 11)، كل مجموعة في ملعب قانوني خاص بها لأن الفريق لا ينتقل بين الملاعب القانونية؛ فتُجمع ملاعبها المصغّرة = 12 (سبب عدد ملاعب كل مجموعة في الجدول المرجعي أدناه).</v>
      </c>
    </row>
    <row r="21" spans="1:13" ht="52" customHeight="1">
      <c r="A21" s="25" t="s">
        <v>606</v>
      </c>
      <c r="B21" s="20">
        <f>SUMIFS(Sheet1!$F$2:$F$185,Sheet1!$C$2:$C$185,$A21,Sheet1!$B$2:$B$185,$B$4)</f>
        <v>9</v>
      </c>
      <c r="C21" s="59">
        <f t="shared" si="0"/>
        <v>18</v>
      </c>
      <c r="D21" s="20" cm="1">
        <f t="array" ref="D21">SUMPRODUCT(COUNTIFS(Sheet1!$C$2:$C$185,$A21,Sheet1!$B$2:$B$185,$B$4,Sheet1!$F$2:$F$185,'حساب الملاعب'!$A$16:$A$50)*'حساب الملاعب'!$B$16:$B$50)</f>
        <v>1</v>
      </c>
      <c r="E21" s="20" cm="1">
        <f t="array" ref="E21">SUMPRODUCT(COUNTIFS(Sheet1!$C$2:$C$185,$A21,Sheet1!$B$2:$B$185,$B$4,Sheet1!$F$2:$F$185,'حساب الملاعب'!$A$16:$A$50)*'حساب الملاعب'!$C$16:$C$50)</f>
        <v>3</v>
      </c>
      <c r="F21" s="20">
        <f>SUMIFS(Sheet1!$F$2:$F$185,Sheet1!$C$2:$C$185,$A21,Sheet1!$B$2:$B$185,$F$4)</f>
        <v>9</v>
      </c>
      <c r="G21" s="59">
        <f t="shared" si="1"/>
        <v>18</v>
      </c>
      <c r="H21" s="20" cm="1">
        <f t="array" ref="H21">SUMPRODUCT(COUNTIFS(Sheet1!$C$2:$C$185,$A21,Sheet1!$B$2:$B$185,$F$4,Sheet1!$F$2:$F$185,'حساب الملاعب'!$A$16:$A$50)*'حساب الملاعب'!$B$16:$B$50)</f>
        <v>1</v>
      </c>
      <c r="I21" s="20" cm="1">
        <f t="array" ref="I21">SUMPRODUCT(COUNTIFS(Sheet1!$C$2:$C$185,$A21,Sheet1!$B$2:$B$185,$F$4,Sheet1!$F$2:$F$185,'حساب الملاعب'!$A$16:$A$50)*'حساب الملاعب'!$C$16:$C$50)</f>
        <v>3</v>
      </c>
      <c r="J21" s="60">
        <f t="shared" si="2"/>
        <v>1</v>
      </c>
      <c r="K21" s="60">
        <f t="shared" si="3"/>
        <v>3</v>
      </c>
      <c r="L21" s="61" t="str">
        <f>IF(B21=0,"لا توجد بطولة لهذه المجموعة في هذه الفئة",IF(D21=1,INDEX($E$39:$E$47,MATCH(B21,$A$39:$A$47,0)),"بطولة من "&amp;B21&amp;" فريقاً تُقسَّم إلى "&amp;D21&amp;" مجموعات مستقلة ("&amp;INDEX('ملخص البطولات'!$C$4:$C$26,MATCH(B21,'ملخص البطولات'!$A$4:$A$26,0))&amp;")، كل مجموعة في ملعب قانوني خاص بها لأن الفريق لا ينتقل بين الملاعب القانونية؛ فتُجمع ملاعبها المصغّرة = "&amp;E21&amp;" (سبب عدد ملاعب كل مجموعة في الجدول المرجعي أدناه)."))</f>
        <v>في اليوم 18 مباراة؛ لا يلعب الفريق فترتين متتاليتين ولا تزيد راحته على 30 دقيقة، فتُوزَّع بين مباراتين وثلاث في الفترة (الذروة 3 مباريات متزامنة)، فتلزم 3 ملاعب.</v>
      </c>
      <c r="M21" s="61" t="str">
        <f>IF(F21=0,"لا توجد بطولة لهذه المجموعة في هذه الفئة",IF(H21=1,INDEX($E$39:$E$47,MATCH(F21,$A$39:$A$47,0)),"بطولة من "&amp;F21&amp;" فريقاً تُقسَّم إلى "&amp;H21&amp;" مجموعات مستقلة ("&amp;INDEX('ملخص البطولات'!$C$4:$C$26,MATCH(F21,'ملخص البطولات'!$A$4:$A$26,0))&amp;")، كل مجموعة في ملعب قانوني خاص بها لأن الفريق لا ينتقل بين الملاعب القانونية؛ فتُجمع ملاعبها المصغّرة = "&amp;I21&amp;" (سبب عدد ملاعب كل مجموعة في الجدول المرجعي أدناه)."))</f>
        <v>في اليوم 18 مباراة؛ لا يلعب الفريق فترتين متتاليتين ولا تزيد راحته على 30 دقيقة، فتُوزَّع بين مباراتين وثلاث في الفترة (الذروة 3 مباريات متزامنة)، فتلزم 3 ملاعب.</v>
      </c>
    </row>
    <row r="22" spans="1:13" ht="52" customHeight="1">
      <c r="A22" s="25" t="s">
        <v>608</v>
      </c>
      <c r="B22" s="20">
        <f>SUMIFS(Sheet1!$F$2:$F$185,Sheet1!$C$2:$C$185,$A22,Sheet1!$B$2:$B$185,$B$4)</f>
        <v>0</v>
      </c>
      <c r="C22" s="59">
        <f t="shared" si="0"/>
        <v>0</v>
      </c>
      <c r="D22" s="20" cm="1">
        <f t="array" ref="D22">SUMPRODUCT(COUNTIFS(Sheet1!$C$2:$C$185,$A22,Sheet1!$B$2:$B$185,$B$4,Sheet1!$F$2:$F$185,'حساب الملاعب'!$A$16:$A$50)*'حساب الملاعب'!$B$16:$B$50)</f>
        <v>0</v>
      </c>
      <c r="E22" s="20" cm="1">
        <f t="array" ref="E22">SUMPRODUCT(COUNTIFS(Sheet1!$C$2:$C$185,$A22,Sheet1!$B$2:$B$185,$B$4,Sheet1!$F$2:$F$185,'حساب الملاعب'!$A$16:$A$50)*'حساب الملاعب'!$C$16:$C$50)</f>
        <v>0</v>
      </c>
      <c r="F22" s="20">
        <f>SUMIFS(Sheet1!$F$2:$F$185,Sheet1!$C$2:$C$185,$A22,Sheet1!$B$2:$B$185,$F$4)</f>
        <v>8</v>
      </c>
      <c r="G22" s="59">
        <f t="shared" si="1"/>
        <v>16</v>
      </c>
      <c r="H22" s="20" cm="1">
        <f t="array" ref="H22">SUMPRODUCT(COUNTIFS(Sheet1!$C$2:$C$185,$A22,Sheet1!$B$2:$B$185,$F$4,Sheet1!$F$2:$F$185,'حساب الملاعب'!$A$16:$A$50)*'حساب الملاعب'!$B$16:$B$50)</f>
        <v>1</v>
      </c>
      <c r="I22" s="20" cm="1">
        <f t="array" ref="I22">SUMPRODUCT(COUNTIFS(Sheet1!$C$2:$C$185,$A22,Sheet1!$B$2:$B$185,$F$4,Sheet1!$F$2:$F$185,'حساب الملاعب'!$A$16:$A$50)*'حساب الملاعب'!$C$16:$C$50)</f>
        <v>4</v>
      </c>
      <c r="J22" s="60">
        <f t="shared" si="2"/>
        <v>1</v>
      </c>
      <c r="K22" s="60">
        <f t="shared" si="3"/>
        <v>4</v>
      </c>
      <c r="L22" s="61" t="str">
        <f>IF(B22=0,"لا توجد بطولة لهذه المجموعة في هذه الفئة",IF(D22=1,INDEX($E$39:$E$47,MATCH(B22,$A$39:$A$47,0)),"بطولة من "&amp;B22&amp;" فريقاً تُقسَّم إلى "&amp;D22&amp;" مجموعات مستقلة ("&amp;INDEX('ملخص البطولات'!$C$4:$C$26,MATCH(B22,'ملخص البطولات'!$A$4:$A$26,0))&amp;")، كل مجموعة في ملعب قانوني خاص بها لأن الفريق لا ينتقل بين الملاعب القانونية؛ فتُجمع ملاعبها المصغّرة = "&amp;E22&amp;" (سبب عدد ملاعب كل مجموعة في الجدول المرجعي أدناه)."))</f>
        <v>لا توجد بطولة لهذه المجموعة في هذه الفئة</v>
      </c>
      <c r="M22" s="61" t="str">
        <f>IF(F22=0,"لا توجد بطولة لهذه المجموعة في هذه الفئة",IF(H22=1,INDEX($E$39:$E$47,MATCH(F22,$A$39:$A$47,0)),"بطولة من "&amp;F22&amp;" فريقاً تُقسَّم إلى "&amp;H22&amp;" مجموعات مستقلة ("&amp;INDEX('ملخص البطولات'!$C$4:$C$26,MATCH(F22,'ملخص البطولات'!$A$4:$A$26,0))&amp;")، كل مجموعة في ملعب قانوني خاص بها لأن الفريق لا ينتقل بين الملاعب القانونية؛ فتُجمع ملاعبها المصغّرة = "&amp;I22&amp;" (سبب عدد ملاعب كل مجموعة في الجدول المرجعي أدناه)."))</f>
        <v>الفرق الثمانية تلعب كلها معاً (8 ÷ 2 = 4 مباريات متزامنة) ثم تستريح فترة، فتلزم 4 ملاعب وهو الحد الأقصى داخل الملعب القانوني.</v>
      </c>
    </row>
    <row r="23" spans="1:13" ht="52" customHeight="1">
      <c r="A23" s="25" t="s">
        <v>610</v>
      </c>
      <c r="B23" s="20">
        <f>SUMIFS(Sheet1!$F$2:$F$185,Sheet1!$C$2:$C$185,$A23,Sheet1!$B$2:$B$185,$B$4)</f>
        <v>16</v>
      </c>
      <c r="C23" s="59">
        <f t="shared" si="0"/>
        <v>32</v>
      </c>
      <c r="D23" s="20" cm="1">
        <f t="array" ref="D23">SUMPRODUCT(COUNTIFS(Sheet1!$C$2:$C$185,$A23,Sheet1!$B$2:$B$185,$B$4,Sheet1!$F$2:$F$185,'حساب الملاعب'!$A$16:$A$50)*'حساب الملاعب'!$B$16:$B$50)</f>
        <v>2</v>
      </c>
      <c r="E23" s="20" cm="1">
        <f t="array" ref="E23">SUMPRODUCT(COUNTIFS(Sheet1!$C$2:$C$185,$A23,Sheet1!$B$2:$B$185,$B$4,Sheet1!$F$2:$F$185,'حساب الملاعب'!$A$16:$A$50)*'حساب الملاعب'!$C$16:$C$50)</f>
        <v>8</v>
      </c>
      <c r="F23" s="20">
        <f>SUMIFS(Sheet1!$F$2:$F$185,Sheet1!$C$2:$C$185,$A23,Sheet1!$B$2:$B$185,$F$4)</f>
        <v>25</v>
      </c>
      <c r="G23" s="59">
        <f t="shared" si="1"/>
        <v>50</v>
      </c>
      <c r="H23" s="20" cm="1">
        <f t="array" ref="H23">SUMPRODUCT(COUNTIFS(Sheet1!$C$2:$C$185,$A23,Sheet1!$B$2:$B$185,$F$4,Sheet1!$F$2:$F$185,'حساب الملاعب'!$A$16:$A$50)*'حساب الملاعب'!$B$16:$B$50)</f>
        <v>3</v>
      </c>
      <c r="I23" s="20" cm="1">
        <f t="array" ref="I23">SUMPRODUCT(COUNTIFS(Sheet1!$C$2:$C$185,$A23,Sheet1!$B$2:$B$185,$F$4,Sheet1!$F$2:$F$185,'حساب الملاعب'!$A$16:$A$50)*'حساب الملاعب'!$C$16:$C$50)</f>
        <v>11</v>
      </c>
      <c r="J23" s="60">
        <f t="shared" si="2"/>
        <v>3</v>
      </c>
      <c r="K23" s="60">
        <f t="shared" si="3"/>
        <v>11</v>
      </c>
      <c r="L23" s="61" t="str">
        <f>IF(B23=0,"لا توجد بطولة لهذه المجموعة في هذه الفئة",IF(D23=1,INDEX($E$39:$E$47,MATCH(B23,$A$39:$A$47,0)),"بطولة من "&amp;B23&amp;" فريقاً تُقسَّم إلى "&amp;D23&amp;" مجموعات مستقلة ("&amp;INDEX('ملخص البطولات'!$C$4:$C$26,MATCH(B23,'ملخص البطولات'!$A$4:$A$26,0))&amp;")، كل مجموعة في ملعب قانوني خاص بها لأن الفريق لا ينتقل بين الملاعب القانونية؛ فتُجمع ملاعبها المصغّرة = "&amp;E23&amp;" (سبب عدد ملاعب كل مجموعة في الجدول المرجعي أدناه)."))</f>
        <v>بطولة من 16 فريقاً تُقسَّم إلى 2 مجموعات مستقلة (أ: 8 | ب: 8)، كل مجموعة في ملعب قانوني خاص بها لأن الفريق لا ينتقل بين الملاعب القانونية؛ فتُجمع ملاعبها المصغّرة = 8 (سبب عدد ملاعب كل مجموعة في الجدول المرجعي أدناه).</v>
      </c>
      <c r="M23" s="61" t="str">
        <f>IF(F23=0,"لا توجد بطولة لهذه المجموعة في هذه الفئة",IF(H23=1,INDEX($E$39:$E$47,MATCH(F23,$A$39:$A$47,0)),"بطولة من "&amp;F23&amp;" فريقاً تُقسَّم إلى "&amp;H23&amp;" مجموعات مستقلة ("&amp;INDEX('ملخص البطولات'!$C$4:$C$26,MATCH(F23,'ملخص البطولات'!$A$4:$A$26,0))&amp;")، كل مجموعة في ملعب قانوني خاص بها لأن الفريق لا ينتقل بين الملاعب القانونية؛ فتُجمع ملاعبها المصغّرة = "&amp;I23&amp;" (سبب عدد ملاعب كل مجموعة في الجدول المرجعي أدناه)."))</f>
        <v>بطولة من 25 فريقاً تُقسَّم إلى 3 مجموعات مستقلة (أ: 8 | ب: 8 | ج: 9)، كل مجموعة في ملعب قانوني خاص بها لأن الفريق لا ينتقل بين الملاعب القانونية؛ فتُجمع ملاعبها المصغّرة = 11 (سبب عدد ملاعب كل مجموعة في الجدول المرجعي أدناه).</v>
      </c>
    </row>
    <row r="24" spans="1:13" ht="52" customHeight="1">
      <c r="A24" s="25" t="s">
        <v>612</v>
      </c>
      <c r="B24" s="20">
        <f>SUMIFS(Sheet1!$F$2:$F$185,Sheet1!$C$2:$C$185,$A24,Sheet1!$B$2:$B$185,$B$4)</f>
        <v>10</v>
      </c>
      <c r="C24" s="59">
        <f t="shared" si="0"/>
        <v>20</v>
      </c>
      <c r="D24" s="20" cm="1">
        <f t="array" ref="D24">SUMPRODUCT(COUNTIFS(Sheet1!$C$2:$C$185,$A24,Sheet1!$B$2:$B$185,$B$4,Sheet1!$F$2:$F$185,'حساب الملاعب'!$A$16:$A$50)*'حساب الملاعب'!$B$16:$B$50)</f>
        <v>1</v>
      </c>
      <c r="E24" s="20" cm="1">
        <f t="array" ref="E24">SUMPRODUCT(COUNTIFS(Sheet1!$C$2:$C$185,$A24,Sheet1!$B$2:$B$185,$B$4,Sheet1!$F$2:$F$185,'حساب الملاعب'!$A$16:$A$50)*'حساب الملاعب'!$C$16:$C$50)</f>
        <v>4</v>
      </c>
      <c r="F24" s="20">
        <f>SUMIFS(Sheet1!$F$2:$F$185,Sheet1!$C$2:$C$185,$A24,Sheet1!$B$2:$B$185,$F$4)</f>
        <v>10</v>
      </c>
      <c r="G24" s="59">
        <f t="shared" si="1"/>
        <v>20</v>
      </c>
      <c r="H24" s="20" cm="1">
        <f t="array" ref="H24">SUMPRODUCT(COUNTIFS(Sheet1!$C$2:$C$185,$A24,Sheet1!$B$2:$B$185,$F$4,Sheet1!$F$2:$F$185,'حساب الملاعب'!$A$16:$A$50)*'حساب الملاعب'!$B$16:$B$50)</f>
        <v>1</v>
      </c>
      <c r="I24" s="20" cm="1">
        <f t="array" ref="I24">SUMPRODUCT(COUNTIFS(Sheet1!$C$2:$C$185,$A24,Sheet1!$B$2:$B$185,$F$4,Sheet1!$F$2:$F$185,'حساب الملاعب'!$A$16:$A$50)*'حساب الملاعب'!$C$16:$C$50)</f>
        <v>4</v>
      </c>
      <c r="J24" s="60">
        <f t="shared" si="2"/>
        <v>1</v>
      </c>
      <c r="K24" s="60">
        <f t="shared" si="3"/>
        <v>4</v>
      </c>
      <c r="L24" s="61" t="str">
        <f>IF(B24=0,"لا توجد بطولة لهذه المجموعة في هذه الفئة",IF(D24=1,INDEX($E$39:$E$47,MATCH(B24,$A$39:$A$47,0)),"بطولة من "&amp;B24&amp;" فريقاً تُقسَّم إلى "&amp;D24&amp;" مجموعات مستقلة ("&amp;INDEX('ملخص البطولات'!$C$4:$C$26,MATCH(B24,'ملخص البطولات'!$A$4:$A$26,0))&amp;")، كل مجموعة في ملعب قانوني خاص بها لأن الفريق لا ينتقل بين الملاعب القانونية؛ فتُجمع ملاعبها المصغّرة = "&amp;E24&amp;" (سبب عدد ملاعب كل مجموعة في الجدول المرجعي أدناه)."))</f>
        <v>في اليوم 20 مباراة في يوم قصير (4:00–6:15 م)؛ تُلعب على 4 ملاعب (الحد الأقصى داخل الملعب القانوني) ليحصل كل فريق على راحة 15 أو 30 دقيقة فقط.</v>
      </c>
      <c r="M24" s="61" t="str">
        <f>IF(F24=0,"لا توجد بطولة لهذه المجموعة في هذه الفئة",IF(H24=1,INDEX($E$39:$E$47,MATCH(F24,$A$39:$A$47,0)),"بطولة من "&amp;F24&amp;" فريقاً تُقسَّم إلى "&amp;H24&amp;" مجموعات مستقلة ("&amp;INDEX('ملخص البطولات'!$C$4:$C$26,MATCH(F24,'ملخص البطولات'!$A$4:$A$26,0))&amp;")، كل مجموعة في ملعب قانوني خاص بها لأن الفريق لا ينتقل بين الملاعب القانونية؛ فتُجمع ملاعبها المصغّرة = "&amp;I24&amp;" (سبب عدد ملاعب كل مجموعة في الجدول المرجعي أدناه)."))</f>
        <v>في اليوم 20 مباراة في يوم قصير (4:00–6:15 م)؛ تُلعب على 4 ملاعب (الحد الأقصى داخل الملعب القانوني) ليحصل كل فريق على راحة 15 أو 30 دقيقة فقط.</v>
      </c>
    </row>
    <row r="25" spans="1:13" ht="52" customHeight="1">
      <c r="A25" s="25" t="s">
        <v>614</v>
      </c>
      <c r="B25" s="20">
        <f>SUMIFS(Sheet1!$F$2:$F$185,Sheet1!$C$2:$C$185,$A25,Sheet1!$B$2:$B$185,$B$4)</f>
        <v>9</v>
      </c>
      <c r="C25" s="59">
        <f t="shared" si="0"/>
        <v>18</v>
      </c>
      <c r="D25" s="20" cm="1">
        <f t="array" ref="D25">SUMPRODUCT(COUNTIFS(Sheet1!$C$2:$C$185,$A25,Sheet1!$B$2:$B$185,$B$4,Sheet1!$F$2:$F$185,'حساب الملاعب'!$A$16:$A$50)*'حساب الملاعب'!$B$16:$B$50)</f>
        <v>1</v>
      </c>
      <c r="E25" s="20" cm="1">
        <f t="array" ref="E25">SUMPRODUCT(COUNTIFS(Sheet1!$C$2:$C$185,$A25,Sheet1!$B$2:$B$185,$B$4,Sheet1!$F$2:$F$185,'حساب الملاعب'!$A$16:$A$50)*'حساب الملاعب'!$C$16:$C$50)</f>
        <v>3</v>
      </c>
      <c r="F25" s="20">
        <f>SUMIFS(Sheet1!$F$2:$F$185,Sheet1!$C$2:$C$185,$A25,Sheet1!$B$2:$B$185,$F$4)</f>
        <v>14</v>
      </c>
      <c r="G25" s="59">
        <f t="shared" si="1"/>
        <v>28</v>
      </c>
      <c r="H25" s="20" cm="1">
        <f t="array" ref="H25">SUMPRODUCT(COUNTIFS(Sheet1!$C$2:$C$185,$A25,Sheet1!$B$2:$B$185,$F$4,Sheet1!$F$2:$F$185,'حساب الملاعب'!$A$16:$A$50)*'حساب الملاعب'!$B$16:$B$50)</f>
        <v>2</v>
      </c>
      <c r="I25" s="20" cm="1">
        <f t="array" ref="I25">SUMPRODUCT(COUNTIFS(Sheet1!$C$2:$C$185,$A25,Sheet1!$B$2:$B$185,$F$4,Sheet1!$F$2:$F$185,'حساب الملاعب'!$A$16:$A$50)*'حساب الملاعب'!$C$16:$C$50)</f>
        <v>4</v>
      </c>
      <c r="J25" s="60">
        <f t="shared" si="2"/>
        <v>2</v>
      </c>
      <c r="K25" s="60">
        <f t="shared" si="3"/>
        <v>4</v>
      </c>
      <c r="L25" s="61" t="str">
        <f>IF(B25=0,"لا توجد بطولة لهذه المجموعة في هذه الفئة",IF(D25=1,INDEX($E$39:$E$47,MATCH(B25,$A$39:$A$47,0)),"بطولة من "&amp;B25&amp;" فريقاً تُقسَّم إلى "&amp;D25&amp;" مجموعات مستقلة ("&amp;INDEX('ملخص البطولات'!$C$4:$C$26,MATCH(B25,'ملخص البطولات'!$A$4:$A$26,0))&amp;")، كل مجموعة في ملعب قانوني خاص بها لأن الفريق لا ينتقل بين الملاعب القانونية؛ فتُجمع ملاعبها المصغّرة = "&amp;E25&amp;" (سبب عدد ملاعب كل مجموعة في الجدول المرجعي أدناه)."))</f>
        <v>في اليوم 18 مباراة؛ لا يلعب الفريق فترتين متتاليتين ولا تزيد راحته على 30 دقيقة، فتُوزَّع بين مباراتين وثلاث في الفترة (الذروة 3 مباريات متزامنة)، فتلزم 3 ملاعب.</v>
      </c>
      <c r="M25" s="61" t="str">
        <f>IF(F25=0,"لا توجد بطولة لهذه المجموعة في هذه الفئة",IF(H25=1,INDEX($E$39:$E$47,MATCH(F25,$A$39:$A$47,0)),"بطولة من "&amp;F25&amp;" فريقاً تُقسَّم إلى "&amp;H25&amp;" مجموعات مستقلة ("&amp;INDEX('ملخص البطولات'!$C$4:$C$26,MATCH(F25,'ملخص البطولات'!$A$4:$A$26,0))&amp;")، كل مجموعة في ملعب قانوني خاص بها لأن الفريق لا ينتقل بين الملاعب القانونية؛ فتُجمع ملاعبها المصغّرة = "&amp;I25&amp;" (سبب عدد ملاعب كل مجموعة في الجدول المرجعي أدناه)."))</f>
        <v>بطولة من 14 فريقاً تُقسَّم إلى 2 مجموعات مستقلة (أ: 7 | ب: 7)، كل مجموعة في ملعب قانوني خاص بها لأن الفريق لا ينتقل بين الملاعب القانونية؛ فتُجمع ملاعبها المصغّرة = 4 (سبب عدد ملاعب كل مجموعة في الجدول المرجعي أدناه).</v>
      </c>
    </row>
    <row r="26" spans="1:13" ht="52" customHeight="1">
      <c r="A26" s="25" t="s">
        <v>619</v>
      </c>
      <c r="B26" s="20">
        <f>SUMIFS(Sheet1!$F$2:$F$185,Sheet1!$C$2:$C$185,$A26,Sheet1!$B$2:$B$185,$B$4)</f>
        <v>13</v>
      </c>
      <c r="C26" s="59">
        <f t="shared" si="0"/>
        <v>26</v>
      </c>
      <c r="D26" s="20" cm="1">
        <f t="array" ref="D26">SUMPRODUCT(COUNTIFS(Sheet1!$C$2:$C$185,$A26,Sheet1!$B$2:$B$185,$B$4,Sheet1!$F$2:$F$185,'حساب الملاعب'!$A$16:$A$50)*'حساب الملاعب'!$B$16:$B$50)</f>
        <v>1</v>
      </c>
      <c r="E26" s="20" cm="1">
        <f t="array" ref="E26">SUMPRODUCT(COUNTIFS(Sheet1!$C$2:$C$185,$A26,Sheet1!$B$2:$B$185,$B$4,Sheet1!$F$2:$F$185,'حساب الملاعب'!$A$16:$A$50)*'حساب الملاعب'!$C$16:$C$50)</f>
        <v>4</v>
      </c>
      <c r="F26" s="20">
        <f>SUMIFS(Sheet1!$F$2:$F$185,Sheet1!$C$2:$C$185,$A26,Sheet1!$B$2:$B$185,$F$4)</f>
        <v>15</v>
      </c>
      <c r="G26" s="59">
        <f t="shared" si="1"/>
        <v>30</v>
      </c>
      <c r="H26" s="20" cm="1">
        <f t="array" ref="H26">SUMPRODUCT(COUNTIFS(Sheet1!$C$2:$C$185,$A26,Sheet1!$B$2:$B$185,$F$4,Sheet1!$F$2:$F$185,'حساب الملاعب'!$A$16:$A$50)*'حساب الملاعب'!$B$16:$B$50)</f>
        <v>2</v>
      </c>
      <c r="I26" s="20" cm="1">
        <f t="array" ref="I26">SUMPRODUCT(COUNTIFS(Sheet1!$C$2:$C$185,$A26,Sheet1!$B$2:$B$185,$F$4,Sheet1!$F$2:$F$185,'حساب الملاعب'!$A$16:$A$50)*'حساب الملاعب'!$C$16:$C$50)</f>
        <v>6</v>
      </c>
      <c r="J26" s="60">
        <f t="shared" si="2"/>
        <v>2</v>
      </c>
      <c r="K26" s="60">
        <f t="shared" si="3"/>
        <v>6</v>
      </c>
      <c r="L26" s="61" t="str">
        <f>IF(B26=0,"لا توجد بطولة لهذه المجموعة في هذه الفئة",IF(D26=1,INDEX($E$39:$E$47,MATCH(B26,$A$39:$A$47,0)),"بطولة من "&amp;B26&amp;" فريقاً تُقسَّم إلى "&amp;D26&amp;" مجموعات مستقلة ("&amp;INDEX('ملخص البطولات'!$C$4:$C$26,MATCH(B26,'ملخص البطولات'!$A$4:$A$26,0))&amp;")، كل مجموعة في ملعب قانوني خاص بها لأن الفريق لا ينتقل بين الملاعب القانونية؛ فتُجمع ملاعبها المصغّرة = "&amp;E26&amp;" (سبب عدد ملاعب كل مجموعة في الجدول المرجعي أدناه)."))</f>
        <v>في اليوم 26 مباراة؛ تُلعب على 4 ملاعب (الحد الأقصى داخل الملعب القانوني) ليحصل كل فريق على راحة 15 أو 30 دقيقة فقط.</v>
      </c>
      <c r="M26" s="61" t="str">
        <f>IF(F26=0,"لا توجد بطولة لهذه المجموعة في هذه الفئة",IF(H26=1,INDEX($E$39:$E$47,MATCH(F26,$A$39:$A$47,0)),"بطولة من "&amp;F26&amp;" فريقاً تُقسَّم إلى "&amp;H26&amp;" مجموعات مستقلة ("&amp;INDEX('ملخص البطولات'!$C$4:$C$26,MATCH(F26,'ملخص البطولات'!$A$4:$A$26,0))&amp;")، كل مجموعة في ملعب قانوني خاص بها لأن الفريق لا ينتقل بين الملاعب القانونية؛ فتُجمع ملاعبها المصغّرة = "&amp;I26&amp;" (سبب عدد ملاعب كل مجموعة في الجدول المرجعي أدناه)."))</f>
        <v>بطولة من 15 فريقاً تُقسَّم إلى 2 مجموعات مستقلة (أ: 7 | ب: 8)، كل مجموعة في ملعب قانوني خاص بها لأن الفريق لا ينتقل بين الملاعب القانونية؛ فتُجمع ملاعبها المصغّرة = 6 (سبب عدد ملاعب كل مجموعة في الجدول المرجعي أدناه).</v>
      </c>
    </row>
    <row r="27" spans="1:13" ht="52" customHeight="1">
      <c r="A27" s="25" t="s">
        <v>624</v>
      </c>
      <c r="B27" s="20">
        <f>SUMIFS(Sheet1!$F$2:$F$185,Sheet1!$C$2:$C$185,$A27,Sheet1!$B$2:$B$185,$B$4)</f>
        <v>13</v>
      </c>
      <c r="C27" s="59">
        <f t="shared" si="0"/>
        <v>26</v>
      </c>
      <c r="D27" s="20" cm="1">
        <f t="array" ref="D27">SUMPRODUCT(COUNTIFS(Sheet1!$C$2:$C$185,$A27,Sheet1!$B$2:$B$185,$B$4,Sheet1!$F$2:$F$185,'حساب الملاعب'!$A$16:$A$50)*'حساب الملاعب'!$B$16:$B$50)</f>
        <v>1</v>
      </c>
      <c r="E27" s="20" cm="1">
        <f t="array" ref="E27">SUMPRODUCT(COUNTIFS(Sheet1!$C$2:$C$185,$A27,Sheet1!$B$2:$B$185,$B$4,Sheet1!$F$2:$F$185,'حساب الملاعب'!$A$16:$A$50)*'حساب الملاعب'!$C$16:$C$50)</f>
        <v>4</v>
      </c>
      <c r="F27" s="20">
        <f>SUMIFS(Sheet1!$F$2:$F$185,Sheet1!$C$2:$C$185,$A27,Sheet1!$B$2:$B$185,$F$4)</f>
        <v>14</v>
      </c>
      <c r="G27" s="59">
        <f t="shared" si="1"/>
        <v>28</v>
      </c>
      <c r="H27" s="20" cm="1">
        <f t="array" ref="H27">SUMPRODUCT(COUNTIFS(Sheet1!$C$2:$C$185,$A27,Sheet1!$B$2:$B$185,$F$4,Sheet1!$F$2:$F$185,'حساب الملاعب'!$A$16:$A$50)*'حساب الملاعب'!$B$16:$B$50)</f>
        <v>2</v>
      </c>
      <c r="I27" s="20" cm="1">
        <f t="array" ref="I27">SUMPRODUCT(COUNTIFS(Sheet1!$C$2:$C$185,$A27,Sheet1!$B$2:$B$185,$F$4,Sheet1!$F$2:$F$185,'حساب الملاعب'!$A$16:$A$50)*'حساب الملاعب'!$C$16:$C$50)</f>
        <v>4</v>
      </c>
      <c r="J27" s="60">
        <f t="shared" si="2"/>
        <v>2</v>
      </c>
      <c r="K27" s="60">
        <f t="shared" si="3"/>
        <v>4</v>
      </c>
      <c r="L27" s="61" t="str">
        <f>IF(B27=0,"لا توجد بطولة لهذه المجموعة في هذه الفئة",IF(D27=1,INDEX($E$39:$E$47,MATCH(B27,$A$39:$A$47,0)),"بطولة من "&amp;B27&amp;" فريقاً تُقسَّم إلى "&amp;D27&amp;" مجموعات مستقلة ("&amp;INDEX('ملخص البطولات'!$C$4:$C$26,MATCH(B27,'ملخص البطولات'!$A$4:$A$26,0))&amp;")، كل مجموعة في ملعب قانوني خاص بها لأن الفريق لا ينتقل بين الملاعب القانونية؛ فتُجمع ملاعبها المصغّرة = "&amp;E27&amp;" (سبب عدد ملاعب كل مجموعة في الجدول المرجعي أدناه)."))</f>
        <v>في اليوم 26 مباراة؛ تُلعب على 4 ملاعب (الحد الأقصى داخل الملعب القانوني) ليحصل كل فريق على راحة 15 أو 30 دقيقة فقط.</v>
      </c>
      <c r="M27" s="61" t="str">
        <f>IF(F27=0,"لا توجد بطولة لهذه المجموعة في هذه الفئة",IF(H27=1,INDEX($E$39:$E$47,MATCH(F27,$A$39:$A$47,0)),"بطولة من "&amp;F27&amp;" فريقاً تُقسَّم إلى "&amp;H27&amp;" مجموعات مستقلة ("&amp;INDEX('ملخص البطولات'!$C$4:$C$26,MATCH(F27,'ملخص البطولات'!$A$4:$A$26,0))&amp;")، كل مجموعة في ملعب قانوني خاص بها لأن الفريق لا ينتقل بين الملاعب القانونية؛ فتُجمع ملاعبها المصغّرة = "&amp;I27&amp;" (سبب عدد ملاعب كل مجموعة في الجدول المرجعي أدناه)."))</f>
        <v>بطولة من 14 فريقاً تُقسَّم إلى 2 مجموعات مستقلة (أ: 7 | ب: 7)، كل مجموعة في ملعب قانوني خاص بها لأن الفريق لا ينتقل بين الملاعب القانونية؛ فتُجمع ملاعبها المصغّرة = 4 (سبب عدد ملاعب كل مجموعة في الجدول المرجعي أدناه).</v>
      </c>
    </row>
    <row r="28" spans="1:13" ht="52" customHeight="1">
      <c r="A28" s="25" t="s">
        <v>626</v>
      </c>
      <c r="B28" s="20">
        <f>SUMIFS(Sheet1!$F$2:$F$185,Sheet1!$C$2:$C$185,$A28,Sheet1!$B$2:$B$185,$B$4)</f>
        <v>18</v>
      </c>
      <c r="C28" s="59">
        <f t="shared" si="0"/>
        <v>36</v>
      </c>
      <c r="D28" s="20" cm="1">
        <f t="array" ref="D28">SUMPRODUCT(COUNTIFS(Sheet1!$C$2:$C$185,$A28,Sheet1!$B$2:$B$185,$B$4,Sheet1!$F$2:$F$185,'حساب الملاعب'!$A$16:$A$50)*'حساب الملاعب'!$B$16:$B$50)</f>
        <v>2</v>
      </c>
      <c r="E28" s="20" cm="1">
        <f t="array" ref="E28">SUMPRODUCT(COUNTIFS(Sheet1!$C$2:$C$185,$A28,Sheet1!$B$2:$B$185,$B$4,Sheet1!$F$2:$F$185,'حساب الملاعب'!$A$16:$A$50)*'حساب الملاعب'!$C$16:$C$50)</f>
        <v>8</v>
      </c>
      <c r="F28" s="20">
        <f>SUMIFS(Sheet1!$F$2:$F$185,Sheet1!$C$2:$C$185,$A28,Sheet1!$B$2:$B$185,$F$4)</f>
        <v>28</v>
      </c>
      <c r="G28" s="59">
        <f t="shared" si="1"/>
        <v>56</v>
      </c>
      <c r="H28" s="20" cm="1">
        <f t="array" ref="H28">SUMPRODUCT(COUNTIFS(Sheet1!$C$2:$C$185,$A28,Sheet1!$B$2:$B$185,$F$4,Sheet1!$F$2:$F$185,'حساب الملاعب'!$A$16:$A$50)*'حساب الملاعب'!$B$16:$B$50)</f>
        <v>3</v>
      </c>
      <c r="I28" s="20" cm="1">
        <f t="array" ref="I28">SUMPRODUCT(COUNTIFS(Sheet1!$C$2:$C$185,$A28,Sheet1!$B$2:$B$185,$F$4,Sheet1!$F$2:$F$185,'حساب الملاعب'!$A$16:$A$50)*'حساب الملاعب'!$C$16:$C$50)</f>
        <v>10</v>
      </c>
      <c r="J28" s="60">
        <f t="shared" si="2"/>
        <v>3</v>
      </c>
      <c r="K28" s="60">
        <f t="shared" si="3"/>
        <v>10</v>
      </c>
      <c r="L28" s="61" t="str">
        <f>IF(B28=0,"لا توجد بطولة لهذه المجموعة في هذه الفئة",IF(D28=1,INDEX($E$39:$E$47,MATCH(B28,$A$39:$A$47,0)),"بطولة من "&amp;B28&amp;" فريقاً تُقسَّم إلى "&amp;D28&amp;" مجموعات مستقلة ("&amp;INDEX('ملخص البطولات'!$C$4:$C$26,MATCH(B28,'ملخص البطولات'!$A$4:$A$26,0))&amp;")، كل مجموعة في ملعب قانوني خاص بها لأن الفريق لا ينتقل بين الملاعب القانونية؛ فتُجمع ملاعبها المصغّرة = "&amp;E28&amp;" (سبب عدد ملاعب كل مجموعة في الجدول المرجعي أدناه)."))</f>
        <v>بطولة من 18 فريقاً تُقسَّم إلى 2 مجموعات مستقلة (أ: 8 | ب: 10)، كل مجموعة في ملعب قانوني خاص بها لأن الفريق لا ينتقل بين الملاعب القانونية؛ فتُجمع ملاعبها المصغّرة = 8 (سبب عدد ملاعب كل مجموعة في الجدول المرجعي أدناه).</v>
      </c>
      <c r="M28" s="61" t="str">
        <f>IF(F28=0,"لا توجد بطولة لهذه المجموعة في هذه الفئة",IF(H28=1,INDEX($E$39:$E$47,MATCH(F28,$A$39:$A$47,0)),"بطولة من "&amp;F28&amp;" فريقاً تُقسَّم إلى "&amp;H28&amp;" مجموعات مستقلة ("&amp;INDEX('ملخص البطولات'!$C$4:$C$26,MATCH(F28,'ملخص البطولات'!$A$4:$A$26,0))&amp;")، كل مجموعة في ملعب قانوني خاص بها لأن الفريق لا ينتقل بين الملاعب القانونية؛ فتُجمع ملاعبها المصغّرة = "&amp;I28&amp;" (سبب عدد ملاعب كل مجموعة في الجدول المرجعي أدناه)."))</f>
        <v>بطولة من 28 فريقاً تُقسَّم إلى 3 مجموعات مستقلة (أ: 9 | ب: 9 | ج: 10)، كل مجموعة في ملعب قانوني خاص بها لأن الفريق لا ينتقل بين الملاعب القانونية؛ فتُجمع ملاعبها المصغّرة = 10 (سبب عدد ملاعب كل مجموعة في الجدول المرجعي أدناه).</v>
      </c>
    </row>
    <row r="29" spans="1:13" ht="52" customHeight="1">
      <c r="A29" s="25" t="s">
        <v>628</v>
      </c>
      <c r="B29" s="20">
        <f>SUMIFS(Sheet1!$F$2:$F$185,Sheet1!$C$2:$C$185,$A29,Sheet1!$B$2:$B$185,$B$4)</f>
        <v>15</v>
      </c>
      <c r="C29" s="59">
        <f t="shared" si="0"/>
        <v>30</v>
      </c>
      <c r="D29" s="20" cm="1">
        <f t="array" ref="D29">SUMPRODUCT(COUNTIFS(Sheet1!$C$2:$C$185,$A29,Sheet1!$B$2:$B$185,$B$4,Sheet1!$F$2:$F$185,'حساب الملاعب'!$A$16:$A$50)*'حساب الملاعب'!$B$16:$B$50)</f>
        <v>2</v>
      </c>
      <c r="E29" s="20" cm="1">
        <f t="array" ref="E29">SUMPRODUCT(COUNTIFS(Sheet1!$C$2:$C$185,$A29,Sheet1!$B$2:$B$185,$B$4,Sheet1!$F$2:$F$185,'حساب الملاعب'!$A$16:$A$50)*'حساب الملاعب'!$C$16:$C$50)</f>
        <v>6</v>
      </c>
      <c r="F29" s="20">
        <f>SUMIFS(Sheet1!$F$2:$F$185,Sheet1!$C$2:$C$185,$A29,Sheet1!$B$2:$B$185,$F$4)</f>
        <v>16</v>
      </c>
      <c r="G29" s="59">
        <f t="shared" si="1"/>
        <v>32</v>
      </c>
      <c r="H29" s="20" cm="1">
        <f t="array" ref="H29">SUMPRODUCT(COUNTIFS(Sheet1!$C$2:$C$185,$A29,Sheet1!$B$2:$B$185,$F$4,Sheet1!$F$2:$F$185,'حساب الملاعب'!$A$16:$A$50)*'حساب الملاعب'!$B$16:$B$50)</f>
        <v>2</v>
      </c>
      <c r="I29" s="20" cm="1">
        <f t="array" ref="I29">SUMPRODUCT(COUNTIFS(Sheet1!$C$2:$C$185,$A29,Sheet1!$B$2:$B$185,$F$4,Sheet1!$F$2:$F$185,'حساب الملاعب'!$A$16:$A$50)*'حساب الملاعب'!$C$16:$C$50)</f>
        <v>8</v>
      </c>
      <c r="J29" s="60">
        <f t="shared" si="2"/>
        <v>2</v>
      </c>
      <c r="K29" s="60">
        <f t="shared" si="3"/>
        <v>8</v>
      </c>
      <c r="L29" s="61" t="str">
        <f>IF(B29=0,"لا توجد بطولة لهذه المجموعة في هذه الفئة",IF(D29=1,INDEX($E$39:$E$47,MATCH(B29,$A$39:$A$47,0)),"بطولة من "&amp;B29&amp;" فريقاً تُقسَّم إلى "&amp;D29&amp;" مجموعات مستقلة ("&amp;INDEX('ملخص البطولات'!$C$4:$C$26,MATCH(B29,'ملخص البطولات'!$A$4:$A$26,0))&amp;")، كل مجموعة في ملعب قانوني خاص بها لأن الفريق لا ينتقل بين الملاعب القانونية؛ فتُجمع ملاعبها المصغّرة = "&amp;E29&amp;" (سبب عدد ملاعب كل مجموعة في الجدول المرجعي أدناه)."))</f>
        <v>بطولة من 15 فريقاً تُقسَّم إلى 2 مجموعات مستقلة (أ: 7 | ب: 8)، كل مجموعة في ملعب قانوني خاص بها لأن الفريق لا ينتقل بين الملاعب القانونية؛ فتُجمع ملاعبها المصغّرة = 6 (سبب عدد ملاعب كل مجموعة في الجدول المرجعي أدناه).</v>
      </c>
      <c r="M29" s="61" t="str">
        <f>IF(F29=0,"لا توجد بطولة لهذه المجموعة في هذه الفئة",IF(H29=1,INDEX($E$39:$E$47,MATCH(F29,$A$39:$A$47,0)),"بطولة من "&amp;F29&amp;" فريقاً تُقسَّم إلى "&amp;H29&amp;" مجموعات مستقلة ("&amp;INDEX('ملخص البطولات'!$C$4:$C$26,MATCH(F29,'ملخص البطولات'!$A$4:$A$26,0))&amp;")، كل مجموعة في ملعب قانوني خاص بها لأن الفريق لا ينتقل بين الملاعب القانونية؛ فتُجمع ملاعبها المصغّرة = "&amp;I29&amp;" (سبب عدد ملاعب كل مجموعة في الجدول المرجعي أدناه)."))</f>
        <v>بطولة من 16 فريقاً تُقسَّم إلى 2 مجموعات مستقلة (أ: 8 | ب: 8)، كل مجموعة في ملعب قانوني خاص بها لأن الفريق لا ينتقل بين الملاعب القانونية؛ فتُجمع ملاعبها المصغّرة = 8 (سبب عدد ملاعب كل مجموعة في الجدول المرجعي أدناه).</v>
      </c>
    </row>
    <row r="30" spans="1:13" ht="52" customHeight="1">
      <c r="A30" s="25" t="s">
        <v>631</v>
      </c>
      <c r="B30" s="20">
        <f>SUMIFS(Sheet1!$F$2:$F$185,Sheet1!$C$2:$C$185,$A30,Sheet1!$B$2:$B$185,$B$4)</f>
        <v>21</v>
      </c>
      <c r="C30" s="59">
        <f t="shared" si="0"/>
        <v>42</v>
      </c>
      <c r="D30" s="20" cm="1">
        <f t="array" ref="D30">SUMPRODUCT(COUNTIFS(Sheet1!$C$2:$C$185,$A30,Sheet1!$B$2:$B$185,$B$4,Sheet1!$F$2:$F$185,'حساب الملاعب'!$A$16:$A$50)*'حساب الملاعب'!$B$16:$B$50)</f>
        <v>2</v>
      </c>
      <c r="E30" s="20" cm="1">
        <f t="array" ref="E30">SUMPRODUCT(COUNTIFS(Sheet1!$C$2:$C$185,$A30,Sheet1!$B$2:$B$185,$B$4,Sheet1!$F$2:$F$185,'حساب الملاعب'!$A$16:$A$50)*'حساب الملاعب'!$C$16:$C$50)</f>
        <v>8</v>
      </c>
      <c r="F30" s="20">
        <f>SUMIFS(Sheet1!$F$2:$F$185,Sheet1!$C$2:$C$185,$A30,Sheet1!$B$2:$B$185,$F$4)</f>
        <v>29</v>
      </c>
      <c r="G30" s="59">
        <f t="shared" si="1"/>
        <v>58</v>
      </c>
      <c r="H30" s="20" cm="1">
        <f t="array" ref="H30">SUMPRODUCT(COUNTIFS(Sheet1!$C$2:$C$185,$A30,Sheet1!$B$2:$B$185,$F$4,Sheet1!$F$2:$F$185,'حساب الملاعب'!$A$16:$A$50)*'حساب الملاعب'!$B$16:$B$50)</f>
        <v>3</v>
      </c>
      <c r="I30" s="20" cm="1">
        <f t="array" ref="I30">SUMPRODUCT(COUNTIFS(Sheet1!$C$2:$C$185,$A30,Sheet1!$B$2:$B$185,$F$4,Sheet1!$F$2:$F$185,'حساب الملاعب'!$A$16:$A$50)*'حساب الملاعب'!$C$16:$C$50)</f>
        <v>11</v>
      </c>
      <c r="J30" s="60">
        <f t="shared" si="2"/>
        <v>3</v>
      </c>
      <c r="K30" s="60">
        <f t="shared" si="3"/>
        <v>11</v>
      </c>
      <c r="L30" s="61" t="str">
        <f>IF(B30=0,"لا توجد بطولة لهذه المجموعة في هذه الفئة",IF(D30=1,INDEX($E$39:$E$47,MATCH(B30,$A$39:$A$47,0)),"بطولة من "&amp;B30&amp;" فريقاً تُقسَّم إلى "&amp;D30&amp;" مجموعات مستقلة ("&amp;INDEX('ملخص البطولات'!$C$4:$C$26,MATCH(B30,'ملخص البطولات'!$A$4:$A$26,0))&amp;")، كل مجموعة في ملعب قانوني خاص بها لأن الفريق لا ينتقل بين الملاعب القانونية؛ فتُجمع ملاعبها المصغّرة = "&amp;E30&amp;" (سبب عدد ملاعب كل مجموعة في الجدول المرجعي أدناه)."))</f>
        <v>بطولة من 21 فريقاً تُقسَّم إلى 2 مجموعات مستقلة (أ: 10 | ب: 11)، كل مجموعة في ملعب قانوني خاص بها لأن الفريق لا ينتقل بين الملاعب القانونية؛ فتُجمع ملاعبها المصغّرة = 8 (سبب عدد ملاعب كل مجموعة في الجدول المرجعي أدناه).</v>
      </c>
      <c r="M30" s="61" t="str">
        <f>IF(F30=0,"لا توجد بطولة لهذه المجموعة في هذه الفئة",IF(H30=1,INDEX($E$39:$E$47,MATCH(F30,$A$39:$A$47,0)),"بطولة من "&amp;F30&amp;" فريقاً تُقسَّم إلى "&amp;H30&amp;" مجموعات مستقلة ("&amp;INDEX('ملخص البطولات'!$C$4:$C$26,MATCH(F30,'ملخص البطولات'!$A$4:$A$26,0))&amp;")، كل مجموعة في ملعب قانوني خاص بها لأن الفريق لا ينتقل بين الملاعب القانونية؛ فتُجمع ملاعبها المصغّرة = "&amp;I30&amp;" (سبب عدد ملاعب كل مجموعة في الجدول المرجعي أدناه)."))</f>
        <v>بطولة من 29 فريقاً تُقسَّم إلى 3 مجموعات مستقلة (أ: 9 | ب: 10 | ج: 10)، كل مجموعة في ملعب قانوني خاص بها لأن الفريق لا ينتقل بين الملاعب القانونية؛ فتُجمع ملاعبها المصغّرة = 11 (سبب عدد ملاعب كل مجموعة في الجدول المرجعي أدناه).</v>
      </c>
    </row>
    <row r="31" spans="1:13" ht="52" customHeight="1">
      <c r="A31" s="25" t="s">
        <v>633</v>
      </c>
      <c r="B31" s="20">
        <f>SUMIFS(Sheet1!$F$2:$F$185,Sheet1!$C$2:$C$185,$A31,Sheet1!$B$2:$B$185,$B$4)</f>
        <v>17</v>
      </c>
      <c r="C31" s="59">
        <f t="shared" si="0"/>
        <v>34</v>
      </c>
      <c r="D31" s="20" cm="1">
        <f t="array" ref="D31">SUMPRODUCT(COUNTIFS(Sheet1!$C$2:$C$185,$A31,Sheet1!$B$2:$B$185,$B$4,Sheet1!$F$2:$F$185,'حساب الملاعب'!$A$16:$A$50)*'حساب الملاعب'!$B$16:$B$50)</f>
        <v>2</v>
      </c>
      <c r="E31" s="20" cm="1">
        <f t="array" ref="E31">SUMPRODUCT(COUNTIFS(Sheet1!$C$2:$C$185,$A31,Sheet1!$B$2:$B$185,$B$4,Sheet1!$F$2:$F$185,'حساب الملاعب'!$A$16:$A$50)*'حساب الملاعب'!$C$16:$C$50)</f>
        <v>7</v>
      </c>
      <c r="F31" s="20">
        <f>SUMIFS(Sheet1!$F$2:$F$185,Sheet1!$C$2:$C$185,$A31,Sheet1!$B$2:$B$185,$F$4)</f>
        <v>19</v>
      </c>
      <c r="G31" s="59">
        <f t="shared" si="1"/>
        <v>38</v>
      </c>
      <c r="H31" s="20" cm="1">
        <f t="array" ref="H31">SUMPRODUCT(COUNTIFS(Sheet1!$C$2:$C$185,$A31,Sheet1!$B$2:$B$185,$F$4,Sheet1!$F$2:$F$185,'حساب الملاعب'!$A$16:$A$50)*'حساب الملاعب'!$B$16:$B$50)</f>
        <v>2</v>
      </c>
      <c r="I31" s="20" cm="1">
        <f t="array" ref="I31">SUMPRODUCT(COUNTIFS(Sheet1!$C$2:$C$185,$A31,Sheet1!$B$2:$B$185,$F$4,Sheet1!$F$2:$F$185,'حساب الملاعب'!$A$16:$A$50)*'حساب الملاعب'!$C$16:$C$50)</f>
        <v>7</v>
      </c>
      <c r="J31" s="60">
        <f t="shared" si="2"/>
        <v>2</v>
      </c>
      <c r="K31" s="60">
        <f t="shared" si="3"/>
        <v>7</v>
      </c>
      <c r="L31" s="61" t="str">
        <f>IF(B31=0,"لا توجد بطولة لهذه المجموعة في هذه الفئة",IF(D31=1,INDEX($E$39:$E$47,MATCH(B31,$A$39:$A$47,0)),"بطولة من "&amp;B31&amp;" فريقاً تُقسَّم إلى "&amp;D31&amp;" مجموعات مستقلة ("&amp;INDEX('ملخص البطولات'!$C$4:$C$26,MATCH(B31,'ملخص البطولات'!$A$4:$A$26,0))&amp;")، كل مجموعة في ملعب قانوني خاص بها لأن الفريق لا ينتقل بين الملاعب القانونية؛ فتُجمع ملاعبها المصغّرة = "&amp;E31&amp;" (سبب عدد ملاعب كل مجموعة في الجدول المرجعي أدناه)."))</f>
        <v>بطولة من 17 فريقاً تُقسَّم إلى 2 مجموعات مستقلة (أ: 8 | ب: 9)، كل مجموعة في ملعب قانوني خاص بها لأن الفريق لا ينتقل بين الملاعب القانونية؛ فتُجمع ملاعبها المصغّرة = 7 (سبب عدد ملاعب كل مجموعة في الجدول المرجعي أدناه).</v>
      </c>
      <c r="M31" s="61" t="str">
        <f>IF(F31=0,"لا توجد بطولة لهذه المجموعة في هذه الفئة",IF(H31=1,INDEX($E$39:$E$47,MATCH(F31,$A$39:$A$47,0)),"بطولة من "&amp;F31&amp;" فريقاً تُقسَّم إلى "&amp;H31&amp;" مجموعات مستقلة ("&amp;INDEX('ملخص البطولات'!$C$4:$C$26,MATCH(F31,'ملخص البطولات'!$A$4:$A$26,0))&amp;")، كل مجموعة في ملعب قانوني خاص بها لأن الفريق لا ينتقل بين الملاعب القانونية؛ فتُجمع ملاعبها المصغّرة = "&amp;I31&amp;" (سبب عدد ملاعب كل مجموعة في الجدول المرجعي أدناه)."))</f>
        <v>بطولة من 19 فريقاً تُقسَّم إلى 2 مجموعات مستقلة (أ: 9 | ب: 10)، كل مجموعة في ملعب قانوني خاص بها لأن الفريق لا ينتقل بين الملاعب القانونية؛ فتُجمع ملاعبها المصغّرة = 7 (سبب عدد ملاعب كل مجموعة في الجدول المرجعي أدناه).</v>
      </c>
    </row>
    <row r="32" spans="1:13" ht="52" customHeight="1">
      <c r="A32" s="25" t="s">
        <v>635</v>
      </c>
      <c r="B32" s="20">
        <f>SUMIFS(Sheet1!$F$2:$F$185,Sheet1!$C$2:$C$185,$A32,Sheet1!$B$2:$B$185,$B$4)</f>
        <v>30</v>
      </c>
      <c r="C32" s="59">
        <f t="shared" si="0"/>
        <v>60</v>
      </c>
      <c r="D32" s="20" cm="1">
        <f t="array" ref="D32">SUMPRODUCT(COUNTIFS(Sheet1!$C$2:$C$185,$A32,Sheet1!$B$2:$B$185,$B$4,Sheet1!$F$2:$F$185,'حساب الملاعب'!$A$16:$A$50)*'حساب الملاعب'!$B$16:$B$50)</f>
        <v>3</v>
      </c>
      <c r="E32" s="20" cm="1">
        <f t="array" ref="E32">SUMPRODUCT(COUNTIFS(Sheet1!$C$2:$C$185,$A32,Sheet1!$B$2:$B$185,$B$4,Sheet1!$F$2:$F$185,'حساب الملاعب'!$A$16:$A$50)*'حساب الملاعب'!$C$16:$C$50)</f>
        <v>12</v>
      </c>
      <c r="F32" s="20">
        <f>SUMIFS(Sheet1!$F$2:$F$185,Sheet1!$C$2:$C$185,$A32,Sheet1!$B$2:$B$185,$F$4)</f>
        <v>40</v>
      </c>
      <c r="G32" s="59">
        <f t="shared" si="1"/>
        <v>80</v>
      </c>
      <c r="H32" s="20" cm="1">
        <f t="array" ref="H32">SUMPRODUCT(COUNTIFS(Sheet1!$C$2:$C$185,$A32,Sheet1!$B$2:$B$185,$F$4,Sheet1!$F$2:$F$185,'حساب الملاعب'!$A$16:$A$50)*'حساب الملاعب'!$B$16:$B$50)</f>
        <v>4</v>
      </c>
      <c r="I32" s="20" cm="1">
        <f t="array" ref="I32">SUMPRODUCT(COUNTIFS(Sheet1!$C$2:$C$185,$A32,Sheet1!$B$2:$B$185,$F$4,Sheet1!$F$2:$F$185,'حساب الملاعب'!$A$16:$A$50)*'حساب الملاعب'!$C$16:$C$50)</f>
        <v>16</v>
      </c>
      <c r="J32" s="60">
        <f t="shared" si="2"/>
        <v>4</v>
      </c>
      <c r="K32" s="60">
        <f t="shared" si="3"/>
        <v>16</v>
      </c>
      <c r="L32" s="61" t="str">
        <f>IF(B32=0,"لا توجد بطولة لهذه المجموعة في هذه الفئة",IF(D32=1,INDEX($E$39:$E$47,MATCH(B32,$A$39:$A$47,0)),"بطولة من "&amp;B32&amp;" فريقاً تُقسَّم إلى "&amp;D32&amp;" مجموعات مستقلة ("&amp;INDEX('ملخص البطولات'!$C$4:$C$26,MATCH(B32,'ملخص البطولات'!$A$4:$A$26,0))&amp;")، كل مجموعة في ملعب قانوني خاص بها لأن الفريق لا ينتقل بين الملاعب القانونية؛ فتُجمع ملاعبها المصغّرة = "&amp;E32&amp;" (سبب عدد ملاعب كل مجموعة في الجدول المرجعي أدناه)."))</f>
        <v>بطولة من 30 فريقاً تُقسَّم إلى 3 مجموعات مستقلة (أ: 10 | ب: 10 | ج: 10)، كل مجموعة في ملعب قانوني خاص بها لأن الفريق لا ينتقل بين الملاعب القانونية؛ فتُجمع ملاعبها المصغّرة = 12 (سبب عدد ملاعب كل مجموعة في الجدول المرجعي أدناه).</v>
      </c>
      <c r="M32" s="61" t="str">
        <f>IF(F32=0,"لا توجد بطولة لهذه المجموعة في هذه الفئة",IF(H32=1,INDEX($E$39:$E$47,MATCH(F32,$A$39:$A$47,0)),"بطولة من "&amp;F32&amp;" فريقاً تُقسَّم إلى "&amp;H32&amp;" مجموعات مستقلة ("&amp;INDEX('ملخص البطولات'!$C$4:$C$26,MATCH(F32,'ملخص البطولات'!$A$4:$A$26,0))&amp;")، كل مجموعة في ملعب قانوني خاص بها لأن الفريق لا ينتقل بين الملاعب القانونية؛ فتُجمع ملاعبها المصغّرة = "&amp;I32&amp;" (سبب عدد ملاعب كل مجموعة في الجدول المرجعي أدناه)."))</f>
        <v>بطولة من 40 فريقاً تُقسَّم إلى 4 مجموعات مستقلة (أ: 10 | ب: 10 | ج: 10 | د: 10)، كل مجموعة في ملعب قانوني خاص بها لأن الفريق لا ينتقل بين الملاعب القانونية؛ فتُجمع ملاعبها المصغّرة = 16 (سبب عدد ملاعب كل مجموعة في الجدول المرجعي أدناه).</v>
      </c>
    </row>
    <row r="33" spans="1:13" ht="52" customHeight="1">
      <c r="A33" s="25" t="s">
        <v>637</v>
      </c>
      <c r="B33" s="20">
        <f>SUMIFS(Sheet1!$F$2:$F$185,Sheet1!$C$2:$C$185,$A33,Sheet1!$B$2:$B$185,$B$4)</f>
        <v>31</v>
      </c>
      <c r="C33" s="59">
        <f t="shared" si="0"/>
        <v>62</v>
      </c>
      <c r="D33" s="20" cm="1">
        <f t="array" ref="D33">SUMPRODUCT(COUNTIFS(Sheet1!$C$2:$C$185,$A33,Sheet1!$B$2:$B$185,$B$4,Sheet1!$F$2:$F$185,'حساب الملاعب'!$A$16:$A$50)*'حساب الملاعب'!$B$16:$B$50)</f>
        <v>3</v>
      </c>
      <c r="E33" s="20" cm="1">
        <f t="array" ref="E33">SUMPRODUCT(COUNTIFS(Sheet1!$C$2:$C$185,$A33,Sheet1!$B$2:$B$185,$B$4,Sheet1!$F$2:$F$185,'حساب الملاعب'!$A$16:$A$50)*'حساب الملاعب'!$C$16:$C$50)</f>
        <v>12</v>
      </c>
      <c r="F33" s="20">
        <f>SUMIFS(Sheet1!$F$2:$F$185,Sheet1!$C$2:$C$185,$A33,Sheet1!$B$2:$B$185,$F$4)</f>
        <v>49</v>
      </c>
      <c r="G33" s="59">
        <f t="shared" si="1"/>
        <v>98</v>
      </c>
      <c r="H33" s="20" cm="1">
        <f t="array" ref="H33">SUMPRODUCT(COUNTIFS(Sheet1!$C$2:$C$185,$A33,Sheet1!$B$2:$B$185,$F$4,Sheet1!$F$2:$F$185,'حساب الملاعب'!$A$16:$A$50)*'حساب الملاعب'!$B$16:$B$50)</f>
        <v>4</v>
      </c>
      <c r="I33" s="20" cm="1">
        <f t="array" ref="I33">SUMPRODUCT(COUNTIFS(Sheet1!$C$2:$C$185,$A33,Sheet1!$B$2:$B$185,$F$4,Sheet1!$F$2:$F$185,'حساب الملاعب'!$A$16:$A$50)*'حساب الملاعب'!$C$16:$C$50)</f>
        <v>16</v>
      </c>
      <c r="J33" s="60">
        <f t="shared" si="2"/>
        <v>4</v>
      </c>
      <c r="K33" s="60">
        <f t="shared" si="3"/>
        <v>16</v>
      </c>
      <c r="L33" s="61" t="str">
        <f>IF(B33=0,"لا توجد بطولة لهذه المجموعة في هذه الفئة",IF(D33=1,INDEX($E$39:$E$47,MATCH(B33,$A$39:$A$47,0)),"بطولة من "&amp;B33&amp;" فريقاً تُقسَّم إلى "&amp;D33&amp;" مجموعات مستقلة ("&amp;INDEX('ملخص البطولات'!$C$4:$C$26,MATCH(B33,'ملخص البطولات'!$A$4:$A$26,0))&amp;")، كل مجموعة في ملعب قانوني خاص بها لأن الفريق لا ينتقل بين الملاعب القانونية؛ فتُجمع ملاعبها المصغّرة = "&amp;E33&amp;" (سبب عدد ملاعب كل مجموعة في الجدول المرجعي أدناه)."))</f>
        <v>بطولة من 31 فريقاً تُقسَّم إلى 3 مجموعات مستقلة (أ: 10 | ب: 10 | ج: 11)، كل مجموعة في ملعب قانوني خاص بها لأن الفريق لا ينتقل بين الملاعب القانونية؛ فتُجمع ملاعبها المصغّرة = 12 (سبب عدد ملاعب كل مجموعة في الجدول المرجعي أدناه).</v>
      </c>
      <c r="M33" s="61" t="str">
        <f>IF(F33=0,"لا توجد بطولة لهذه المجموعة في هذه الفئة",IF(H33=1,INDEX($E$39:$E$47,MATCH(F33,$A$39:$A$47,0)),"بطولة من "&amp;F33&amp;" فريقاً تُقسَّم إلى "&amp;H33&amp;" مجموعات مستقلة ("&amp;INDEX('ملخص البطولات'!$C$4:$C$26,MATCH(F33,'ملخص البطولات'!$A$4:$A$26,0))&amp;")، كل مجموعة في ملعب قانوني خاص بها لأن الفريق لا ينتقل بين الملاعب القانونية؛ فتُجمع ملاعبها المصغّرة = "&amp;I33&amp;" (سبب عدد ملاعب كل مجموعة في الجدول المرجعي أدناه)."))</f>
        <v>بطولة من 49 فريقاً تُقسَّم إلى 4 مجموعات مستقلة (أ: 12 | ب: 12 | ج: 12 | د: 13)، كل مجموعة في ملعب قانوني خاص بها لأن الفريق لا ينتقل بين الملاعب القانونية؛ فتُجمع ملاعبها المصغّرة = 16 (سبب عدد ملاعب كل مجموعة في الجدول المرجعي أدناه).</v>
      </c>
    </row>
    <row r="34" spans="1:13" ht="14.5">
      <c r="A34" s="19" t="s">
        <v>644</v>
      </c>
      <c r="B34" s="19">
        <f t="shared" ref="B34:K34" si="4">SUM(B6:B33)</f>
        <v>299</v>
      </c>
      <c r="C34" s="62">
        <f t="shared" si="4"/>
        <v>598</v>
      </c>
      <c r="D34" s="19">
        <f t="shared" si="4"/>
        <v>34</v>
      </c>
      <c r="E34" s="19">
        <f t="shared" si="4"/>
        <v>117</v>
      </c>
      <c r="F34" s="19">
        <f t="shared" si="4"/>
        <v>428</v>
      </c>
      <c r="G34" s="62">
        <f t="shared" si="4"/>
        <v>856</v>
      </c>
      <c r="H34" s="19">
        <f t="shared" si="4"/>
        <v>49</v>
      </c>
      <c r="I34" s="19">
        <f t="shared" si="4"/>
        <v>161</v>
      </c>
      <c r="J34" s="19">
        <f t="shared" si="4"/>
        <v>49</v>
      </c>
      <c r="K34" s="19">
        <f t="shared" si="4"/>
        <v>162</v>
      </c>
      <c r="L34" s="19"/>
      <c r="M34" s="19"/>
    </row>
    <row r="35" spans="1:13" ht="14.5">
      <c r="A35" s="56"/>
      <c r="B35" s="56"/>
      <c r="C35" s="56"/>
      <c r="D35" s="56"/>
      <c r="E35" s="56"/>
      <c r="F35" s="56"/>
      <c r="G35" s="56"/>
      <c r="H35" s="56"/>
      <c r="I35" s="56"/>
      <c r="J35" s="56"/>
      <c r="K35" s="56"/>
      <c r="L35" s="56"/>
      <c r="M35" s="56"/>
    </row>
    <row r="36" spans="1:13" ht="14.5">
      <c r="A36" s="56"/>
      <c r="B36" s="56"/>
      <c r="C36" s="56"/>
      <c r="D36" s="56"/>
      <c r="E36" s="56"/>
      <c r="F36" s="56"/>
      <c r="G36" s="56"/>
      <c r="H36" s="56"/>
      <c r="I36" s="56"/>
      <c r="J36" s="56"/>
      <c r="K36" s="56"/>
      <c r="L36" s="56"/>
      <c r="M36" s="56"/>
    </row>
    <row r="37" spans="1:13" ht="32" customHeight="1">
      <c r="A37" s="140" t="s">
        <v>668</v>
      </c>
      <c r="B37" s="140"/>
      <c r="C37" s="140"/>
      <c r="D37" s="140"/>
      <c r="E37" s="140"/>
      <c r="F37" s="140"/>
      <c r="G37" s="140"/>
      <c r="H37" s="140"/>
      <c r="I37" s="140"/>
      <c r="J37" s="140"/>
      <c r="K37" s="140"/>
      <c r="L37" s="140"/>
      <c r="M37" s="140"/>
    </row>
    <row r="38" spans="1:13" ht="14.5">
      <c r="A38" s="54" t="s">
        <v>643</v>
      </c>
      <c r="B38" s="54" t="s">
        <v>665</v>
      </c>
      <c r="C38" s="54" t="s">
        <v>669</v>
      </c>
      <c r="D38" s="54" t="s">
        <v>670</v>
      </c>
      <c r="E38" s="141" t="s">
        <v>671</v>
      </c>
      <c r="F38" s="141"/>
      <c r="G38" s="141"/>
      <c r="H38" s="141"/>
      <c r="I38" s="141"/>
      <c r="J38" s="141"/>
      <c r="K38" s="141"/>
      <c r="L38" s="56"/>
      <c r="M38" s="56"/>
    </row>
    <row r="39" spans="1:13" ht="36" customHeight="1">
      <c r="A39" s="63">
        <v>5</v>
      </c>
      <c r="B39" s="61">
        <f t="shared" ref="B39:B47" si="5">A39*$B$2/2</f>
        <v>10</v>
      </c>
      <c r="C39" s="61">
        <f>INDEX('ملخص البطولات'!$K$4:$K$26,MATCH(A39,'ملخص البطولات'!$A$4:$A$26,0))</f>
        <v>1</v>
      </c>
      <c r="D39" s="64">
        <f t="shared" ref="D39:D47" si="6">B39/C39</f>
        <v>10</v>
      </c>
      <c r="E39" s="142" t="str">
        <f>"عدد فردي: يجلس فريق في كل فترة. ولكي لا تزيد راحة أي فريق على 30 دقيقة تُلعب مباراة واحدة في كل فترة على ملعب مصغّر واحد، فيمتد اليوم إلى "&amp;B39&amp;" فترات (4:00–6:30 م)."</f>
        <v>عدد فردي: يجلس فريق في كل فترة. ولكي لا تزيد راحة أي فريق على 30 دقيقة تُلعب مباراة واحدة في كل فترة على ملعب مصغّر واحد، فيمتد اليوم إلى 10 فترات (4:00–6:30 م).</v>
      </c>
      <c r="F39" s="142"/>
      <c r="G39" s="142"/>
      <c r="H39" s="142"/>
      <c r="I39" s="142"/>
      <c r="J39" s="142"/>
      <c r="K39" s="142"/>
      <c r="L39" s="56"/>
      <c r="M39" s="56"/>
    </row>
    <row r="40" spans="1:13" ht="36" customHeight="1">
      <c r="A40" s="63">
        <v>6</v>
      </c>
      <c r="B40" s="61">
        <f t="shared" si="5"/>
        <v>12</v>
      </c>
      <c r="C40" s="61">
        <f>INDEX('ملخص البطولات'!$K$4:$K$26,MATCH(A40,'ملخص البطولات'!$A$4:$A$26,0))</f>
        <v>3</v>
      </c>
      <c r="D40" s="64">
        <f t="shared" si="6"/>
        <v>4</v>
      </c>
      <c r="E40" s="142" t="str">
        <f>"الفرق الستة تلعب كلها معاً في الفترة الواحدة (6 ÷ 2 = 3 مباريات متزامنة) ثم تستريح فترة، فتلزم 3 ملاعب."</f>
        <v>الفرق الستة تلعب كلها معاً في الفترة الواحدة (6 ÷ 2 = 3 مباريات متزامنة) ثم تستريح فترة، فتلزم 3 ملاعب.</v>
      </c>
      <c r="F40" s="142"/>
      <c r="G40" s="142"/>
      <c r="H40" s="142"/>
      <c r="I40" s="142"/>
      <c r="J40" s="142"/>
      <c r="K40" s="142"/>
      <c r="L40" s="56"/>
      <c r="M40" s="56"/>
    </row>
    <row r="41" spans="1:13" ht="36" customHeight="1">
      <c r="A41" s="63">
        <v>7</v>
      </c>
      <c r="B41" s="61">
        <f t="shared" si="5"/>
        <v>14</v>
      </c>
      <c r="C41" s="61">
        <f>INDEX('ملخص البطولات'!$K$4:$K$26,MATCH(A41,'ملخص البطولات'!$A$4:$A$26,0))</f>
        <v>2</v>
      </c>
      <c r="D41" s="64">
        <f t="shared" si="6"/>
        <v>7</v>
      </c>
      <c r="E41" s="142" t="str">
        <f>"عدد فردي: يجلس فريق في كل فترة، وتتناوب فترات فيها مباراتان مع فترات فيها مباراة واحدة على مدى 10 فترات (4:00–6:30 م) لتغطية "&amp;B41&amp;" مباراة، فيكفي ملعبان."</f>
        <v>عدد فردي: يجلس فريق في كل فترة، وتتناوب فترات فيها مباراتان مع فترات فيها مباراة واحدة على مدى 10 فترات (4:00–6:30 م) لتغطية 14 مباراة، فيكفي ملعبان.</v>
      </c>
      <c r="F41" s="142"/>
      <c r="G41" s="142"/>
      <c r="H41" s="142"/>
      <c r="I41" s="142"/>
      <c r="J41" s="142"/>
      <c r="K41" s="142"/>
      <c r="L41" s="56"/>
      <c r="M41" s="56"/>
    </row>
    <row r="42" spans="1:13" ht="36" customHeight="1">
      <c r="A42" s="63">
        <v>8</v>
      </c>
      <c r="B42" s="61">
        <f t="shared" si="5"/>
        <v>16</v>
      </c>
      <c r="C42" s="61">
        <f>INDEX('ملخص البطولات'!$K$4:$K$26,MATCH(A42,'ملخص البطولات'!$A$4:$A$26,0))</f>
        <v>4</v>
      </c>
      <c r="D42" s="64">
        <f t="shared" si="6"/>
        <v>4</v>
      </c>
      <c r="E42" s="142" t="str">
        <f>"الفرق الثمانية تلعب كلها معاً (8 ÷ 2 = 4 مباريات متزامنة) ثم تستريح فترة، فتلزم 4 ملاعب وهو الحد الأقصى داخل الملعب القانوني."</f>
        <v>الفرق الثمانية تلعب كلها معاً (8 ÷ 2 = 4 مباريات متزامنة) ثم تستريح فترة، فتلزم 4 ملاعب وهو الحد الأقصى داخل الملعب القانوني.</v>
      </c>
      <c r="F42" s="142"/>
      <c r="G42" s="142"/>
      <c r="H42" s="142"/>
      <c r="I42" s="142"/>
      <c r="J42" s="142"/>
      <c r="K42" s="142"/>
      <c r="L42" s="56"/>
      <c r="M42" s="56"/>
    </row>
    <row r="43" spans="1:13" ht="36" customHeight="1">
      <c r="A43" s="63">
        <v>9</v>
      </c>
      <c r="B43" s="61">
        <f t="shared" si="5"/>
        <v>18</v>
      </c>
      <c r="C43" s="61">
        <f>INDEX('ملخص البطولات'!$K$4:$K$26,MATCH(A43,'ملخص البطولات'!$A$4:$A$26,0))</f>
        <v>3</v>
      </c>
      <c r="D43" s="64">
        <f t="shared" si="6"/>
        <v>6</v>
      </c>
      <c r="E43" s="142" t="str">
        <f>"في اليوم "&amp;B43&amp;" مباراة؛ لا يلعب الفريق فترتين متتاليتين ولا تزيد راحته على 30 دقيقة، فتُوزَّع بين مباراتين وثلاث في الفترة (الذروة 3 مباريات متزامنة)، فتلزم 3 ملاعب."</f>
        <v>في اليوم 18 مباراة؛ لا يلعب الفريق فترتين متتاليتين ولا تزيد راحته على 30 دقيقة، فتُوزَّع بين مباراتين وثلاث في الفترة (الذروة 3 مباريات متزامنة)، فتلزم 3 ملاعب.</v>
      </c>
      <c r="F43" s="142"/>
      <c r="G43" s="142"/>
      <c r="H43" s="142"/>
      <c r="I43" s="142"/>
      <c r="J43" s="142"/>
      <c r="K43" s="142"/>
      <c r="L43" s="56"/>
      <c r="M43" s="56"/>
    </row>
    <row r="44" spans="1:13" ht="36" customHeight="1">
      <c r="A44" s="63">
        <v>10</v>
      </c>
      <c r="B44" s="61">
        <f t="shared" si="5"/>
        <v>20</v>
      </c>
      <c r="C44" s="61">
        <f>INDEX('ملخص البطولات'!$K$4:$K$26,MATCH(A44,'ملخص البطولات'!$A$4:$A$26,0))</f>
        <v>4</v>
      </c>
      <c r="D44" s="64">
        <f t="shared" si="6"/>
        <v>5</v>
      </c>
      <c r="E44" s="142" t="str">
        <f>"في اليوم "&amp;B44&amp;" مباراة في يوم قصير (4:00–6:15 م)؛ تُلعب على 4 ملاعب (الحد الأقصى داخل الملعب القانوني) ليحصل كل فريق على راحة 15 أو 30 دقيقة فقط."</f>
        <v>في اليوم 20 مباراة في يوم قصير (4:00–6:15 م)؛ تُلعب على 4 ملاعب (الحد الأقصى داخل الملعب القانوني) ليحصل كل فريق على راحة 15 أو 30 دقيقة فقط.</v>
      </c>
      <c r="F44" s="142"/>
      <c r="G44" s="142"/>
      <c r="H44" s="142"/>
      <c r="I44" s="142"/>
      <c r="J44" s="142"/>
      <c r="K44" s="142"/>
      <c r="L44" s="56"/>
      <c r="M44" s="56"/>
    </row>
    <row r="45" spans="1:13" ht="36" customHeight="1">
      <c r="A45" s="63">
        <v>11</v>
      </c>
      <c r="B45" s="61">
        <f t="shared" si="5"/>
        <v>22</v>
      </c>
      <c r="C45" s="61">
        <f>INDEX('ملخص البطولات'!$K$4:$K$26,MATCH(A45,'ملخص البطولات'!$A$4:$A$26,0))</f>
        <v>4</v>
      </c>
      <c r="D45" s="64">
        <f t="shared" si="6"/>
        <v>5.5</v>
      </c>
      <c r="E45" s="142" t="str">
        <f>"في اليوم "&amp;B45&amp;" مباراة؛ تُلعب على 4 ملاعب (الحد الأقصى داخل الملعب القانوني) ليحصل كل فريق على راحة 15 أو 30 دقيقة فقط."</f>
        <v>في اليوم 22 مباراة؛ تُلعب على 4 ملاعب (الحد الأقصى داخل الملعب القانوني) ليحصل كل فريق على راحة 15 أو 30 دقيقة فقط.</v>
      </c>
      <c r="F45" s="142"/>
      <c r="G45" s="142"/>
      <c r="H45" s="142"/>
      <c r="I45" s="142"/>
      <c r="J45" s="142"/>
      <c r="K45" s="142"/>
      <c r="L45" s="56"/>
      <c r="M45" s="56"/>
    </row>
    <row r="46" spans="1:13" ht="36" customHeight="1">
      <c r="A46" s="63">
        <v>12</v>
      </c>
      <c r="B46" s="61">
        <f t="shared" si="5"/>
        <v>24</v>
      </c>
      <c r="C46" s="61">
        <f>INDEX('ملخص البطولات'!$K$4:$K$26,MATCH(A46,'ملخص البطولات'!$A$4:$A$26,0))</f>
        <v>4</v>
      </c>
      <c r="D46" s="64">
        <f t="shared" si="6"/>
        <v>6</v>
      </c>
      <c r="E46" s="142" t="str">
        <f>"في اليوم "&amp;B46&amp;" مباراة؛ تُلعب على 4 ملاعب (الحد الأقصى داخل الملعب القانوني) ليحصل كل فريق على راحة 15 أو 30 دقيقة فقط."</f>
        <v>في اليوم 24 مباراة؛ تُلعب على 4 ملاعب (الحد الأقصى داخل الملعب القانوني) ليحصل كل فريق على راحة 15 أو 30 دقيقة فقط.</v>
      </c>
      <c r="F46" s="142"/>
      <c r="G46" s="142"/>
      <c r="H46" s="142"/>
      <c r="I46" s="142"/>
      <c r="J46" s="142"/>
      <c r="K46" s="142"/>
      <c r="L46" s="56"/>
      <c r="M46" s="56"/>
    </row>
    <row r="47" spans="1:13" ht="36" customHeight="1">
      <c r="A47" s="63">
        <v>13</v>
      </c>
      <c r="B47" s="61">
        <f t="shared" si="5"/>
        <v>26</v>
      </c>
      <c r="C47" s="61">
        <f>INDEX('ملخص البطولات'!$K$4:$K$26,MATCH(A47,'ملخص البطولات'!$A$4:$A$26,0))</f>
        <v>4</v>
      </c>
      <c r="D47" s="64">
        <f t="shared" si="6"/>
        <v>6.5</v>
      </c>
      <c r="E47" s="142" t="str">
        <f>"في اليوم "&amp;B47&amp;" مباراة؛ تُلعب على 4 ملاعب (الحد الأقصى داخل الملعب القانوني) ليحصل كل فريق على راحة 15 أو 30 دقيقة فقط."</f>
        <v>في اليوم 26 مباراة؛ تُلعب على 4 ملاعب (الحد الأقصى داخل الملعب القانوني) ليحصل كل فريق على راحة 15 أو 30 دقيقة فقط.</v>
      </c>
      <c r="F47" s="142"/>
      <c r="G47" s="142"/>
      <c r="H47" s="142"/>
      <c r="I47" s="142"/>
      <c r="J47" s="142"/>
      <c r="K47" s="142"/>
      <c r="L47" s="56"/>
      <c r="M47" s="56"/>
    </row>
    <row r="48" spans="1:13" ht="14.5">
      <c r="A48" s="56"/>
      <c r="B48" s="56"/>
      <c r="C48" s="56"/>
      <c r="D48" s="56"/>
      <c r="E48" s="56"/>
      <c r="F48" s="56"/>
      <c r="G48" s="56"/>
      <c r="H48" s="56"/>
      <c r="I48" s="56"/>
      <c r="J48" s="56"/>
      <c r="K48" s="56"/>
      <c r="L48" s="56"/>
      <c r="M48" s="56"/>
    </row>
    <row r="49" spans="1:13" ht="34" customHeight="1">
      <c r="A49" s="139" t="s">
        <v>672</v>
      </c>
      <c r="B49" s="139"/>
      <c r="C49" s="139"/>
      <c r="D49" s="139"/>
      <c r="E49" s="139"/>
      <c r="F49" s="139"/>
      <c r="G49" s="139"/>
      <c r="H49" s="139"/>
      <c r="I49" s="139"/>
      <c r="J49" s="139"/>
      <c r="K49" s="139"/>
      <c r="L49" s="139"/>
      <c r="M49" s="139"/>
    </row>
  </sheetData>
  <mergeCells count="19">
    <mergeCell ref="A1:M1"/>
    <mergeCell ref="D2:M2"/>
    <mergeCell ref="B4:E4"/>
    <mergeCell ref="F4:I4"/>
    <mergeCell ref="J4:K4"/>
    <mergeCell ref="L4:M4"/>
    <mergeCell ref="A4:A5"/>
    <mergeCell ref="A49:M49"/>
    <mergeCell ref="A37:M37"/>
    <mergeCell ref="E38:K38"/>
    <mergeCell ref="E39:K39"/>
    <mergeCell ref="E40:K40"/>
    <mergeCell ref="E41:K41"/>
    <mergeCell ref="E42:K42"/>
    <mergeCell ref="E43:K43"/>
    <mergeCell ref="E44:K44"/>
    <mergeCell ref="E45:K45"/>
    <mergeCell ref="E46:K46"/>
    <mergeCell ref="E47:K4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3283A-135E-4CEC-A982-3F9A55E18814}">
  <dimension ref="A1:S35"/>
  <sheetViews>
    <sheetView showGridLines="0" rightToLeft="1" topLeftCell="E1" workbookViewId="0">
      <pane ySplit="3" topLeftCell="A4" activePane="bottomLeft" state="frozen"/>
      <selection pane="bottomLeft" activeCell="A3" sqref="A3:J27"/>
    </sheetView>
  </sheetViews>
  <sheetFormatPr defaultRowHeight="14"/>
  <cols>
    <col min="1" max="12" width="18.33203125" customWidth="1"/>
    <col min="13" max="19" width="11.6640625" customWidth="1"/>
  </cols>
  <sheetData>
    <row r="1" spans="1:19" ht="18.5">
      <c r="A1" s="145" t="s">
        <v>703</v>
      </c>
      <c r="B1" s="146"/>
      <c r="C1" s="146"/>
      <c r="D1" s="146"/>
      <c r="E1" s="146"/>
      <c r="F1" s="146"/>
      <c r="G1" s="146"/>
      <c r="H1" s="146"/>
      <c r="I1" s="146"/>
      <c r="J1" s="146"/>
      <c r="K1" s="146"/>
      <c r="L1" s="146"/>
      <c r="M1" s="76"/>
      <c r="N1" s="76"/>
      <c r="O1" s="76"/>
      <c r="P1" s="76"/>
      <c r="Q1" s="76"/>
      <c r="R1" s="76"/>
      <c r="S1" s="76"/>
    </row>
    <row r="2" spans="1:19" ht="14.5">
      <c r="A2" s="76"/>
      <c r="B2" s="76"/>
      <c r="C2" s="76"/>
      <c r="D2" s="76"/>
      <c r="E2" s="76"/>
      <c r="F2" s="76"/>
      <c r="G2" s="76"/>
      <c r="H2" s="76"/>
      <c r="I2" s="76"/>
      <c r="J2" s="76"/>
      <c r="K2" s="147" t="s">
        <v>705</v>
      </c>
      <c r="L2" s="148"/>
      <c r="M2" s="149" t="s">
        <v>690</v>
      </c>
      <c r="N2" s="149"/>
      <c r="O2" s="149"/>
      <c r="P2" s="149"/>
      <c r="Q2" s="149"/>
      <c r="R2" s="149"/>
      <c r="S2" s="149"/>
    </row>
    <row r="3" spans="1:19" ht="48" customHeight="1">
      <c r="A3" s="81" t="s">
        <v>691</v>
      </c>
      <c r="B3" s="81" t="s">
        <v>704</v>
      </c>
      <c r="C3" s="81" t="s">
        <v>692</v>
      </c>
      <c r="D3" s="81" t="s">
        <v>693</v>
      </c>
      <c r="E3" s="81" t="s">
        <v>694</v>
      </c>
      <c r="F3" s="81" t="s">
        <v>695</v>
      </c>
      <c r="G3" s="81" t="s">
        <v>696</v>
      </c>
      <c r="H3" s="81" t="s">
        <v>697</v>
      </c>
      <c r="I3" s="81" t="s">
        <v>698</v>
      </c>
      <c r="J3" s="81" t="s">
        <v>699</v>
      </c>
      <c r="K3" s="81" t="s">
        <v>564</v>
      </c>
      <c r="L3" s="80" t="s">
        <v>565</v>
      </c>
      <c r="M3" s="89">
        <v>1</v>
      </c>
      <c r="N3" s="89">
        <v>2</v>
      </c>
      <c r="O3" s="89">
        <v>3</v>
      </c>
      <c r="P3" s="89">
        <v>4</v>
      </c>
      <c r="Q3" s="89">
        <v>5</v>
      </c>
      <c r="R3" s="89">
        <v>6</v>
      </c>
      <c r="S3" s="89">
        <v>7</v>
      </c>
    </row>
    <row r="4" spans="1:19" ht="14.5">
      <c r="A4" s="82">
        <f>'ملخص البطولات'!A4</f>
        <v>5</v>
      </c>
      <c r="B4" s="83">
        <f t="shared" ref="B4:B26" si="0">K4+L4</f>
        <v>5</v>
      </c>
      <c r="C4" s="83">
        <f>'ملخص البطولات'!K4*المدخلات!$B$10</f>
        <v>1</v>
      </c>
      <c r="D4" s="84">
        <f>I4*المدخلات!$B$5/60</f>
        <v>2.5</v>
      </c>
      <c r="E4" s="84">
        <f t="shared" ref="E4:E26" si="1">C4*D4</f>
        <v>2.5</v>
      </c>
      <c r="F4" s="83">
        <f t="shared" ref="F4:F26" si="2">B4*C4</f>
        <v>5</v>
      </c>
      <c r="G4" s="84">
        <f t="shared" ref="G4:G26" si="3">B4*E4</f>
        <v>12.5</v>
      </c>
      <c r="H4" s="83">
        <f>'ملخص البطولات'!F4</f>
        <v>7</v>
      </c>
      <c r="I4" s="83">
        <f t="shared" ref="I4:I26" si="4">MAX(M4:S4)</f>
        <v>10</v>
      </c>
      <c r="J4" s="84">
        <f t="shared" ref="J4:J26" si="5">G4*H4</f>
        <v>87.5</v>
      </c>
      <c r="K4" s="83">
        <f>COUNTIFS(Sheet1!$F$2:$F$185,$A4,Sheet1!$B$2:$B$185,K$3)</f>
        <v>2</v>
      </c>
      <c r="L4" s="88">
        <f>COUNTIFS(Sheet1!$F$2:$F$185,$A4,Sheet1!$B$2:$B$185,L$3)</f>
        <v>3</v>
      </c>
      <c r="M4" s="83">
        <f>IFERROR(IFERROR(MATCH("المهرجان "&amp;(M$3+1),'5 فرق'!$A$1:$A$200,0),MATCH("توزيع الفرق*",'5 فرق'!$A$1:$A$200,0)-1)-MATCH("المهرجان "&amp;M$3,'5 فرق'!$A$1:$A$200,0),0)</f>
        <v>10</v>
      </c>
      <c r="N4" s="83">
        <f>IFERROR(IFERROR(MATCH("المهرجان "&amp;(N$3+1),'5 فرق'!$A$1:$A$200,0),MATCH("توزيع الفرق*",'5 فرق'!$A$1:$A$200,0)-1)-MATCH("المهرجان "&amp;N$3,'5 فرق'!$A$1:$A$200,0),0)</f>
        <v>10</v>
      </c>
      <c r="O4" s="83">
        <f>IFERROR(IFERROR(MATCH("المهرجان "&amp;(O$3+1),'5 فرق'!$A$1:$A$200,0),MATCH("توزيع الفرق*",'5 فرق'!$A$1:$A$200,0)-1)-MATCH("المهرجان "&amp;O$3,'5 فرق'!$A$1:$A$200,0),0)</f>
        <v>10</v>
      </c>
      <c r="P4" s="83">
        <f>IFERROR(IFERROR(MATCH("المهرجان "&amp;(P$3+1),'5 فرق'!$A$1:$A$200,0),MATCH("توزيع الفرق*",'5 فرق'!$A$1:$A$200,0)-1)-MATCH("المهرجان "&amp;P$3,'5 فرق'!$A$1:$A$200,0),0)</f>
        <v>10</v>
      </c>
      <c r="Q4" s="83">
        <f>IFERROR(IFERROR(MATCH("المهرجان "&amp;(Q$3+1),'5 فرق'!$A$1:$A$200,0),MATCH("توزيع الفرق*",'5 فرق'!$A$1:$A$200,0)-1)-MATCH("المهرجان "&amp;Q$3,'5 فرق'!$A$1:$A$200,0),0)</f>
        <v>10</v>
      </c>
      <c r="R4" s="83">
        <f>IFERROR(IFERROR(MATCH("المهرجان "&amp;(R$3+1),'5 فرق'!$A$1:$A$200,0),MATCH("توزيع الفرق*",'5 فرق'!$A$1:$A$200,0)-1)-MATCH("المهرجان "&amp;R$3,'5 فرق'!$A$1:$A$200,0),0)</f>
        <v>10</v>
      </c>
      <c r="S4" s="83">
        <f>IFERROR(IFERROR(MATCH("المهرجان "&amp;(S$3+1),'5 فرق'!$A$1:$A$200,0),MATCH("توزيع الفرق*",'5 فرق'!$A$1:$A$200,0)-1)-MATCH("المهرجان "&amp;S$3,'5 فرق'!$A$1:$A$200,0),0)</f>
        <v>10</v>
      </c>
    </row>
    <row r="5" spans="1:19" ht="14.5">
      <c r="A5" s="82">
        <f>'ملخص البطولات'!A5</f>
        <v>6</v>
      </c>
      <c r="B5" s="83">
        <f t="shared" si="0"/>
        <v>4</v>
      </c>
      <c r="C5" s="83">
        <f>'ملخص البطولات'!K5*المدخلات!$B$10</f>
        <v>3</v>
      </c>
      <c r="D5" s="84">
        <f>I5*المدخلات!$B$5/60</f>
        <v>2.25</v>
      </c>
      <c r="E5" s="84">
        <f t="shared" si="1"/>
        <v>6.75</v>
      </c>
      <c r="F5" s="83">
        <f t="shared" si="2"/>
        <v>12</v>
      </c>
      <c r="G5" s="84">
        <f t="shared" si="3"/>
        <v>27</v>
      </c>
      <c r="H5" s="83">
        <f>'ملخص البطولات'!F5</f>
        <v>6</v>
      </c>
      <c r="I5" s="83">
        <f t="shared" si="4"/>
        <v>9</v>
      </c>
      <c r="J5" s="84">
        <f t="shared" si="5"/>
        <v>162</v>
      </c>
      <c r="K5" s="83">
        <f>COUNTIFS(Sheet1!$F$2:$F$185,$A5,Sheet1!$B$2:$B$185,K$3)</f>
        <v>2</v>
      </c>
      <c r="L5" s="88">
        <f>COUNTIFS(Sheet1!$F$2:$F$185,$A5,Sheet1!$B$2:$B$185,L$3)</f>
        <v>2</v>
      </c>
      <c r="M5" s="83">
        <f>IFERROR(IFERROR(MATCH("المهرجان "&amp;(M$3+1),'6 فرق'!$A$1:$A$200,0),MATCH("توزيع الفرق*",'6 فرق'!$A$1:$A$200,0)-1)-MATCH("المهرجان "&amp;M$3,'6 فرق'!$A$1:$A$200,0),0)</f>
        <v>7</v>
      </c>
      <c r="N5" s="83">
        <f>IFERROR(IFERROR(MATCH("المهرجان "&amp;(N$3+1),'6 فرق'!$A$1:$A$200,0),MATCH("توزيع الفرق*",'6 فرق'!$A$1:$A$200,0)-1)-MATCH("المهرجان "&amp;N$3,'6 فرق'!$A$1:$A$200,0),0)</f>
        <v>7</v>
      </c>
      <c r="O5" s="83">
        <f>IFERROR(IFERROR(MATCH("المهرجان "&amp;(O$3+1),'6 فرق'!$A$1:$A$200,0),MATCH("توزيع الفرق*",'6 فرق'!$A$1:$A$200,0)-1)-MATCH("المهرجان "&amp;O$3,'6 فرق'!$A$1:$A$200,0),0)</f>
        <v>7</v>
      </c>
      <c r="P5" s="83">
        <f>IFERROR(IFERROR(MATCH("المهرجان "&amp;(P$3+1),'6 فرق'!$A$1:$A$200,0),MATCH("توزيع الفرق*",'6 فرق'!$A$1:$A$200,0)-1)-MATCH("المهرجان "&amp;P$3,'6 فرق'!$A$1:$A$200,0),0)</f>
        <v>7</v>
      </c>
      <c r="Q5" s="83">
        <f>IFERROR(IFERROR(MATCH("المهرجان "&amp;(Q$3+1),'6 فرق'!$A$1:$A$200,0),MATCH("توزيع الفرق*",'6 فرق'!$A$1:$A$200,0)-1)-MATCH("المهرجان "&amp;Q$3,'6 فرق'!$A$1:$A$200,0),0)</f>
        <v>7</v>
      </c>
      <c r="R5" s="83">
        <f>IFERROR(IFERROR(MATCH("المهرجان "&amp;(R$3+1),'6 فرق'!$A$1:$A$200,0),MATCH("توزيع الفرق*",'6 فرق'!$A$1:$A$200,0)-1)-MATCH("المهرجان "&amp;R$3,'6 فرق'!$A$1:$A$200,0),0)</f>
        <v>9</v>
      </c>
      <c r="S5" s="83">
        <f>IFERROR(IFERROR(MATCH("المهرجان "&amp;(S$3+1),'6 فرق'!$A$1:$A$200,0),MATCH("توزيع الفرق*",'6 فرق'!$A$1:$A$200,0)-1)-MATCH("المهرجان "&amp;S$3,'6 فرق'!$A$1:$A$200,0),0)</f>
        <v>0</v>
      </c>
    </row>
    <row r="6" spans="1:19" ht="14.5">
      <c r="A6" s="82">
        <f>'ملخص البطولات'!A6</f>
        <v>7</v>
      </c>
      <c r="B6" s="83">
        <f t="shared" si="0"/>
        <v>5</v>
      </c>
      <c r="C6" s="83">
        <f>'ملخص البطولات'!K6*المدخلات!$B$10</f>
        <v>2</v>
      </c>
      <c r="D6" s="84">
        <f>I6*المدخلات!$B$5/60</f>
        <v>2.5</v>
      </c>
      <c r="E6" s="84">
        <f t="shared" si="1"/>
        <v>5</v>
      </c>
      <c r="F6" s="83">
        <f t="shared" si="2"/>
        <v>10</v>
      </c>
      <c r="G6" s="84">
        <f t="shared" si="3"/>
        <v>25</v>
      </c>
      <c r="H6" s="83">
        <f>'ملخص البطولات'!F6</f>
        <v>6</v>
      </c>
      <c r="I6" s="83">
        <f t="shared" si="4"/>
        <v>10</v>
      </c>
      <c r="J6" s="84">
        <f t="shared" si="5"/>
        <v>150</v>
      </c>
      <c r="K6" s="83">
        <f>COUNTIFS(Sheet1!$F$2:$F$185,$A6,Sheet1!$B$2:$B$185,K$3)</f>
        <v>3</v>
      </c>
      <c r="L6" s="88">
        <f>COUNTIFS(Sheet1!$F$2:$F$185,$A6,Sheet1!$B$2:$B$185,L$3)</f>
        <v>2</v>
      </c>
      <c r="M6" s="83">
        <f>IFERROR(IFERROR(MATCH("المهرجان "&amp;(M$3+1),'7 فرق'!$A$1:$A$200,0),MATCH("توزيع الفرق*",'7 فرق'!$A$1:$A$200,0)-1)-MATCH("المهرجان "&amp;M$3,'7 فرق'!$A$1:$A$200,0),0)</f>
        <v>9</v>
      </c>
      <c r="N6" s="83">
        <f>IFERROR(IFERROR(MATCH("المهرجان "&amp;(N$3+1),'7 فرق'!$A$1:$A$200,0),MATCH("توزيع الفرق*",'7 فرق'!$A$1:$A$200,0)-1)-MATCH("المهرجان "&amp;N$3,'7 فرق'!$A$1:$A$200,0),0)</f>
        <v>9</v>
      </c>
      <c r="O6" s="83">
        <f>IFERROR(IFERROR(MATCH("المهرجان "&amp;(O$3+1),'7 فرق'!$A$1:$A$200,0),MATCH("توزيع الفرق*",'7 فرق'!$A$1:$A$200,0)-1)-MATCH("المهرجان "&amp;O$3,'7 فرق'!$A$1:$A$200,0),0)</f>
        <v>10</v>
      </c>
      <c r="P6" s="83">
        <f>IFERROR(IFERROR(MATCH("المهرجان "&amp;(P$3+1),'7 فرق'!$A$1:$A$200,0),MATCH("توزيع الفرق*",'7 فرق'!$A$1:$A$200,0)-1)-MATCH("المهرجان "&amp;P$3,'7 فرق'!$A$1:$A$200,0),0)</f>
        <v>10</v>
      </c>
      <c r="Q6" s="83">
        <f>IFERROR(IFERROR(MATCH("المهرجان "&amp;(Q$3+1),'7 فرق'!$A$1:$A$200,0),MATCH("توزيع الفرق*",'7 فرق'!$A$1:$A$200,0)-1)-MATCH("المهرجان "&amp;Q$3,'7 فرق'!$A$1:$A$200,0),0)</f>
        <v>10</v>
      </c>
      <c r="R6" s="83">
        <f>IFERROR(IFERROR(MATCH("المهرجان "&amp;(R$3+1),'7 فرق'!$A$1:$A$200,0),MATCH("توزيع الفرق*",'7 فرق'!$A$1:$A$200,0)-1)-MATCH("المهرجان "&amp;R$3,'7 فرق'!$A$1:$A$200,0),0)</f>
        <v>10</v>
      </c>
      <c r="S6" s="83">
        <f>IFERROR(IFERROR(MATCH("المهرجان "&amp;(S$3+1),'7 فرق'!$A$1:$A$200,0),MATCH("توزيع الفرق*",'7 فرق'!$A$1:$A$200,0)-1)-MATCH("المهرجان "&amp;S$3,'7 فرق'!$A$1:$A$200,0),0)</f>
        <v>0</v>
      </c>
    </row>
    <row r="7" spans="1:19" ht="14.5">
      <c r="A7" s="82">
        <f>'ملخص البطولات'!A7</f>
        <v>8</v>
      </c>
      <c r="B7" s="83">
        <f t="shared" si="0"/>
        <v>5</v>
      </c>
      <c r="C7" s="83">
        <f>'ملخص البطولات'!K7*المدخلات!$B$10</f>
        <v>4</v>
      </c>
      <c r="D7" s="84">
        <f>I7*المدخلات!$B$5/60</f>
        <v>1.75</v>
      </c>
      <c r="E7" s="84">
        <f t="shared" si="1"/>
        <v>7</v>
      </c>
      <c r="F7" s="83">
        <f t="shared" si="2"/>
        <v>20</v>
      </c>
      <c r="G7" s="84">
        <f t="shared" si="3"/>
        <v>35</v>
      </c>
      <c r="H7" s="83">
        <f>'ملخص البطولات'!F7</f>
        <v>7</v>
      </c>
      <c r="I7" s="83">
        <f t="shared" si="4"/>
        <v>7</v>
      </c>
      <c r="J7" s="84">
        <f t="shared" si="5"/>
        <v>245</v>
      </c>
      <c r="K7" s="83">
        <f>COUNTIFS(Sheet1!$F$2:$F$185,$A7,Sheet1!$B$2:$B$185,K$3)</f>
        <v>2</v>
      </c>
      <c r="L7" s="88">
        <f>COUNTIFS(Sheet1!$F$2:$F$185,$A7,Sheet1!$B$2:$B$185,L$3)</f>
        <v>3</v>
      </c>
      <c r="M7" s="83">
        <f>IFERROR(IFERROR(MATCH("المهرجان "&amp;(M$3+1),'8 فرق'!$A$1:$A$200,0),MATCH("توزيع الفرق*",'8 فرق'!$A$1:$A$200,0)-1)-MATCH("المهرجان "&amp;M$3,'8 فرق'!$A$1:$A$200,0),0)</f>
        <v>7</v>
      </c>
      <c r="N7" s="83">
        <f>IFERROR(IFERROR(MATCH("المهرجان "&amp;(N$3+1),'8 فرق'!$A$1:$A$200,0),MATCH("توزيع الفرق*",'8 فرق'!$A$1:$A$200,0)-1)-MATCH("المهرجان "&amp;N$3,'8 فرق'!$A$1:$A$200,0),0)</f>
        <v>7</v>
      </c>
      <c r="O7" s="83">
        <f>IFERROR(IFERROR(MATCH("المهرجان "&amp;(O$3+1),'8 فرق'!$A$1:$A$200,0),MATCH("توزيع الفرق*",'8 فرق'!$A$1:$A$200,0)-1)-MATCH("المهرجان "&amp;O$3,'8 فرق'!$A$1:$A$200,0),0)</f>
        <v>7</v>
      </c>
      <c r="P7" s="83">
        <f>IFERROR(IFERROR(MATCH("المهرجان "&amp;(P$3+1),'8 فرق'!$A$1:$A$200,0),MATCH("توزيع الفرق*",'8 فرق'!$A$1:$A$200,0)-1)-MATCH("المهرجان "&amp;P$3,'8 فرق'!$A$1:$A$200,0),0)</f>
        <v>7</v>
      </c>
      <c r="Q7" s="83">
        <f>IFERROR(IFERROR(MATCH("المهرجان "&amp;(Q$3+1),'8 فرق'!$A$1:$A$200,0),MATCH("توزيع الفرق*",'8 فرق'!$A$1:$A$200,0)-1)-MATCH("المهرجان "&amp;Q$3,'8 فرق'!$A$1:$A$200,0),0)</f>
        <v>7</v>
      </c>
      <c r="R7" s="83">
        <f>IFERROR(IFERROR(MATCH("المهرجان "&amp;(R$3+1),'8 فرق'!$A$1:$A$200,0),MATCH("توزيع الفرق*",'8 فرق'!$A$1:$A$200,0)-1)-MATCH("المهرجان "&amp;R$3,'8 فرق'!$A$1:$A$200,0),0)</f>
        <v>7</v>
      </c>
      <c r="S7" s="83">
        <f>IFERROR(IFERROR(MATCH("المهرجان "&amp;(S$3+1),'8 فرق'!$A$1:$A$200,0),MATCH("توزيع الفرق*",'8 فرق'!$A$1:$A$200,0)-1)-MATCH("المهرجان "&amp;S$3,'8 فرق'!$A$1:$A$200,0),0)</f>
        <v>7</v>
      </c>
    </row>
    <row r="8" spans="1:19" ht="14.5">
      <c r="A8" s="82">
        <f>'ملخص البطولات'!A8</f>
        <v>9</v>
      </c>
      <c r="B8" s="83">
        <f t="shared" si="0"/>
        <v>3</v>
      </c>
      <c r="C8" s="83">
        <f>'ملخص البطولات'!K8*المدخلات!$B$10</f>
        <v>3</v>
      </c>
      <c r="D8" s="84">
        <f>I8*المدخلات!$B$5/60</f>
        <v>2.5</v>
      </c>
      <c r="E8" s="84">
        <f t="shared" si="1"/>
        <v>7.5</v>
      </c>
      <c r="F8" s="83">
        <f t="shared" si="2"/>
        <v>9</v>
      </c>
      <c r="G8" s="84">
        <f t="shared" si="3"/>
        <v>22.5</v>
      </c>
      <c r="H8" s="83">
        <f>'ملخص البطولات'!F8</f>
        <v>6</v>
      </c>
      <c r="I8" s="83">
        <f t="shared" si="4"/>
        <v>10</v>
      </c>
      <c r="J8" s="84">
        <f t="shared" si="5"/>
        <v>135</v>
      </c>
      <c r="K8" s="83">
        <f>COUNTIFS(Sheet1!$F$2:$F$185,$A8,Sheet1!$B$2:$B$185,K$3)</f>
        <v>2</v>
      </c>
      <c r="L8" s="88">
        <f>COUNTIFS(Sheet1!$F$2:$F$185,$A8,Sheet1!$B$2:$B$185,L$3)</f>
        <v>1</v>
      </c>
      <c r="M8" s="83">
        <f>IFERROR(IFERROR(MATCH("المهرجان "&amp;(M$3+1),'9 فرق'!$A$1:$A$200,0),MATCH("توزيع الفرق*",'9 فرق'!$A$1:$A$200,0)-1)-MATCH("المهرجان "&amp;M$3,'9 فرق'!$A$1:$A$200,0),0)</f>
        <v>9</v>
      </c>
      <c r="N8" s="83">
        <f>IFERROR(IFERROR(MATCH("المهرجان "&amp;(N$3+1),'9 فرق'!$A$1:$A$200,0),MATCH("توزيع الفرق*",'9 فرق'!$A$1:$A$200,0)-1)-MATCH("المهرجان "&amp;N$3,'9 فرق'!$A$1:$A$200,0),0)</f>
        <v>10</v>
      </c>
      <c r="O8" s="83">
        <f>IFERROR(IFERROR(MATCH("المهرجان "&amp;(O$3+1),'9 فرق'!$A$1:$A$200,0),MATCH("توزيع الفرق*",'9 فرق'!$A$1:$A$200,0)-1)-MATCH("المهرجان "&amp;O$3,'9 فرق'!$A$1:$A$200,0),0)</f>
        <v>9</v>
      </c>
      <c r="P8" s="83">
        <f>IFERROR(IFERROR(MATCH("المهرجان "&amp;(P$3+1),'9 فرق'!$A$1:$A$200,0),MATCH("توزيع الفرق*",'9 فرق'!$A$1:$A$200,0)-1)-MATCH("المهرجان "&amp;P$3,'9 فرق'!$A$1:$A$200,0),0)</f>
        <v>9</v>
      </c>
      <c r="Q8" s="83">
        <f>IFERROR(IFERROR(MATCH("المهرجان "&amp;(Q$3+1),'9 فرق'!$A$1:$A$200,0),MATCH("توزيع الفرق*",'9 فرق'!$A$1:$A$200,0)-1)-MATCH("المهرجان "&amp;Q$3,'9 فرق'!$A$1:$A$200,0),0)</f>
        <v>10</v>
      </c>
      <c r="R8" s="83">
        <f>IFERROR(IFERROR(MATCH("المهرجان "&amp;(R$3+1),'9 فرق'!$A$1:$A$200,0),MATCH("توزيع الفرق*",'9 فرق'!$A$1:$A$200,0)-1)-MATCH("المهرجان "&amp;R$3,'9 فرق'!$A$1:$A$200,0),0)</f>
        <v>9</v>
      </c>
      <c r="S8" s="83">
        <f>IFERROR(IFERROR(MATCH("المهرجان "&amp;(S$3+1),'9 فرق'!$A$1:$A$200,0),MATCH("توزيع الفرق*",'9 فرق'!$A$1:$A$200,0)-1)-MATCH("المهرجان "&amp;S$3,'9 فرق'!$A$1:$A$200,0),0)</f>
        <v>0</v>
      </c>
    </row>
    <row r="9" spans="1:19" ht="14.5">
      <c r="A9" s="82">
        <f>'ملخص البطولات'!A9</f>
        <v>10</v>
      </c>
      <c r="B9" s="83">
        <f t="shared" si="0"/>
        <v>3</v>
      </c>
      <c r="C9" s="83">
        <f>'ملخص البطولات'!K9*المدخلات!$B$10</f>
        <v>4</v>
      </c>
      <c r="D9" s="84">
        <f>I9*المدخلات!$B$5/60</f>
        <v>2.25</v>
      </c>
      <c r="E9" s="84">
        <f t="shared" si="1"/>
        <v>9</v>
      </c>
      <c r="F9" s="83">
        <f t="shared" si="2"/>
        <v>12</v>
      </c>
      <c r="G9" s="84">
        <f t="shared" si="3"/>
        <v>27</v>
      </c>
      <c r="H9" s="83">
        <f>'ملخص البطولات'!F9</f>
        <v>7</v>
      </c>
      <c r="I9" s="83">
        <f t="shared" si="4"/>
        <v>9</v>
      </c>
      <c r="J9" s="84">
        <f t="shared" si="5"/>
        <v>189</v>
      </c>
      <c r="K9" s="83">
        <f>COUNTIFS(Sheet1!$F$2:$F$185,$A9,Sheet1!$B$2:$B$185,K$3)</f>
        <v>2</v>
      </c>
      <c r="L9" s="88">
        <f>COUNTIFS(Sheet1!$F$2:$F$185,$A9,Sheet1!$B$2:$B$185,L$3)</f>
        <v>1</v>
      </c>
      <c r="M9" s="83">
        <f>IFERROR(IFERROR(MATCH("المهرجان "&amp;(M$3+1),'10 فرق'!$A$1:$A$200,0),MATCH("توزيع الفرق*",'10 فرق'!$A$1:$A$200,0)-1)-MATCH("المهرجان "&amp;M$3,'10 فرق'!$A$1:$A$200,0),0)</f>
        <v>9</v>
      </c>
      <c r="N9" s="83">
        <f>IFERROR(IFERROR(MATCH("المهرجان "&amp;(N$3+1),'10 فرق'!$A$1:$A$200,0),MATCH("توزيع الفرق*",'10 فرق'!$A$1:$A$200,0)-1)-MATCH("المهرجان "&amp;N$3,'10 فرق'!$A$1:$A$200,0),0)</f>
        <v>9</v>
      </c>
      <c r="O9" s="83">
        <f>IFERROR(IFERROR(MATCH("المهرجان "&amp;(O$3+1),'10 فرق'!$A$1:$A$200,0),MATCH("توزيع الفرق*",'10 فرق'!$A$1:$A$200,0)-1)-MATCH("المهرجان "&amp;O$3,'10 فرق'!$A$1:$A$200,0),0)</f>
        <v>8</v>
      </c>
      <c r="P9" s="83">
        <f>IFERROR(IFERROR(MATCH("المهرجان "&amp;(P$3+1),'10 فرق'!$A$1:$A$200,0),MATCH("توزيع الفرق*",'10 فرق'!$A$1:$A$200,0)-1)-MATCH("المهرجان "&amp;P$3,'10 فرق'!$A$1:$A$200,0),0)</f>
        <v>8</v>
      </c>
      <c r="Q9" s="83">
        <f>IFERROR(IFERROR(MATCH("المهرجان "&amp;(Q$3+1),'10 فرق'!$A$1:$A$200,0),MATCH("توزيع الفرق*",'10 فرق'!$A$1:$A$200,0)-1)-MATCH("المهرجان "&amp;Q$3,'10 فرق'!$A$1:$A$200,0),0)</f>
        <v>9</v>
      </c>
      <c r="R9" s="83">
        <f>IFERROR(IFERROR(MATCH("المهرجان "&amp;(R$3+1),'10 فرق'!$A$1:$A$200,0),MATCH("توزيع الفرق*",'10 فرق'!$A$1:$A$200,0)-1)-MATCH("المهرجان "&amp;R$3,'10 فرق'!$A$1:$A$200,0),0)</f>
        <v>8</v>
      </c>
      <c r="S9" s="83">
        <f>IFERROR(IFERROR(MATCH("المهرجان "&amp;(S$3+1),'10 فرق'!$A$1:$A$200,0),MATCH("توزيع الفرق*",'10 فرق'!$A$1:$A$200,0)-1)-MATCH("المهرجان "&amp;S$3,'10 فرق'!$A$1:$A$200,0),0)</f>
        <v>6</v>
      </c>
    </row>
    <row r="10" spans="1:19" ht="14.5">
      <c r="A10" s="82">
        <f>'ملخص البطولات'!A10</f>
        <v>11</v>
      </c>
      <c r="B10" s="83">
        <f t="shared" si="0"/>
        <v>2</v>
      </c>
      <c r="C10" s="83">
        <f>'ملخص البطولات'!K10*المدخلات!$B$10</f>
        <v>4</v>
      </c>
      <c r="D10" s="84">
        <f>I10*المدخلات!$B$5/60</f>
        <v>3.5</v>
      </c>
      <c r="E10" s="84">
        <f t="shared" si="1"/>
        <v>14</v>
      </c>
      <c r="F10" s="83">
        <f t="shared" si="2"/>
        <v>8</v>
      </c>
      <c r="G10" s="84">
        <f t="shared" si="3"/>
        <v>28</v>
      </c>
      <c r="H10" s="83">
        <f>'ملخص البطولات'!F10</f>
        <v>7</v>
      </c>
      <c r="I10" s="83">
        <f t="shared" si="4"/>
        <v>14</v>
      </c>
      <c r="J10" s="84">
        <f t="shared" si="5"/>
        <v>196</v>
      </c>
      <c r="K10" s="83">
        <f>COUNTIFS(Sheet1!$F$2:$F$185,$A10,Sheet1!$B$2:$B$185,K$3)</f>
        <v>0</v>
      </c>
      <c r="L10" s="88">
        <f>COUNTIFS(Sheet1!$F$2:$F$185,$A10,Sheet1!$B$2:$B$185,L$3)</f>
        <v>2</v>
      </c>
      <c r="M10" s="83">
        <f>IFERROR(IFERROR(MATCH("المهرجان "&amp;(M$3+1),'11 فريق'!$A$1:$A$200,0),MATCH("توزيع الفرق*",'11 فريق'!$A$1:$A$200,0)-1)-MATCH("المهرجان "&amp;M$3,'11 فريق'!$A$1:$A$200,0),0)</f>
        <v>9</v>
      </c>
      <c r="N10" s="83">
        <f>IFERROR(IFERROR(MATCH("المهرجان "&amp;(N$3+1),'11 فريق'!$A$1:$A$200,0),MATCH("توزيع الفرق*",'11 فريق'!$A$1:$A$200,0)-1)-MATCH("المهرجان "&amp;N$3,'11 فريق'!$A$1:$A$200,0),0)</f>
        <v>9</v>
      </c>
      <c r="O10" s="83">
        <f>IFERROR(IFERROR(MATCH("المهرجان "&amp;(O$3+1),'11 فريق'!$A$1:$A$200,0),MATCH("توزيع الفرق*",'11 فريق'!$A$1:$A$200,0)-1)-MATCH("المهرجان "&amp;O$3,'11 فريق'!$A$1:$A$200,0),0)</f>
        <v>10</v>
      </c>
      <c r="P10" s="83">
        <f>IFERROR(IFERROR(MATCH("المهرجان "&amp;(P$3+1),'11 فريق'!$A$1:$A$200,0),MATCH("توزيع الفرق*",'11 فريق'!$A$1:$A$200,0)-1)-MATCH("المهرجان "&amp;P$3,'11 فريق'!$A$1:$A$200,0),0)</f>
        <v>10</v>
      </c>
      <c r="Q10" s="83">
        <f>IFERROR(IFERROR(MATCH("المهرجان "&amp;(Q$3+1),'11 فريق'!$A$1:$A$200,0),MATCH("توزيع الفرق*",'11 فريق'!$A$1:$A$200,0)-1)-MATCH("المهرجان "&amp;Q$3,'11 فريق'!$A$1:$A$200,0),0)</f>
        <v>10</v>
      </c>
      <c r="R10" s="83">
        <f>IFERROR(IFERROR(MATCH("المهرجان "&amp;(R$3+1),'11 فريق'!$A$1:$A$200,0),MATCH("توزيع الفرق*",'11 فريق'!$A$1:$A$200,0)-1)-MATCH("المهرجان "&amp;R$3,'11 فريق'!$A$1:$A$200,0),0)</f>
        <v>10</v>
      </c>
      <c r="S10" s="83">
        <f>IFERROR(IFERROR(MATCH("المهرجان "&amp;(S$3+1),'11 فريق'!$A$1:$A$200,0),MATCH("توزيع الفرق*",'11 فريق'!$A$1:$A$200,0)-1)-MATCH("المهرجان "&amp;S$3,'11 فريق'!$A$1:$A$200,0),0)</f>
        <v>14</v>
      </c>
    </row>
    <row r="11" spans="1:19" ht="14.5">
      <c r="A11" s="82">
        <f>'ملخص البطولات'!A11</f>
        <v>12</v>
      </c>
      <c r="B11" s="83">
        <f t="shared" si="0"/>
        <v>2</v>
      </c>
      <c r="C11" s="83">
        <f>'ملخص البطولات'!K11*المدخلات!$B$10</f>
        <v>4</v>
      </c>
      <c r="D11" s="84">
        <f>I11*المدخلات!$B$5/60</f>
        <v>2.25</v>
      </c>
      <c r="E11" s="84">
        <f t="shared" si="1"/>
        <v>9</v>
      </c>
      <c r="F11" s="83">
        <f t="shared" si="2"/>
        <v>8</v>
      </c>
      <c r="G11" s="84">
        <f t="shared" si="3"/>
        <v>18</v>
      </c>
      <c r="H11" s="83">
        <f>'ملخص البطولات'!F11</f>
        <v>6</v>
      </c>
      <c r="I11" s="83">
        <f t="shared" si="4"/>
        <v>9</v>
      </c>
      <c r="J11" s="84">
        <f t="shared" si="5"/>
        <v>108</v>
      </c>
      <c r="K11" s="83">
        <f>COUNTIFS(Sheet1!$F$2:$F$185,$A11,Sheet1!$B$2:$B$185,K$3)</f>
        <v>1</v>
      </c>
      <c r="L11" s="88">
        <f>COUNTIFS(Sheet1!$F$2:$F$185,$A11,Sheet1!$B$2:$B$185,L$3)</f>
        <v>1</v>
      </c>
      <c r="M11" s="83">
        <f>IFERROR(IFERROR(MATCH("المهرجان "&amp;(M$3+1),'12 فريق'!$A$1:$A$200,0),MATCH("توزيع الفرق*",'12 فريق'!$A$1:$A$200,0)-1)-MATCH("المهرجان "&amp;M$3,'12 فريق'!$A$1:$A$200,0),0)</f>
        <v>9</v>
      </c>
      <c r="N11" s="83">
        <f>IFERROR(IFERROR(MATCH("المهرجان "&amp;(N$3+1),'12 فريق'!$A$1:$A$200,0),MATCH("توزيع الفرق*",'12 فريق'!$A$1:$A$200,0)-1)-MATCH("المهرجان "&amp;N$3,'12 فريق'!$A$1:$A$200,0),0)</f>
        <v>9</v>
      </c>
      <c r="O11" s="83">
        <f>IFERROR(IFERROR(MATCH("المهرجان "&amp;(O$3+1),'12 فريق'!$A$1:$A$200,0),MATCH("توزيع الفرق*",'12 فريق'!$A$1:$A$200,0)-1)-MATCH("المهرجان "&amp;O$3,'12 فريق'!$A$1:$A$200,0),0)</f>
        <v>9</v>
      </c>
      <c r="P11" s="83">
        <f>IFERROR(IFERROR(MATCH("المهرجان "&amp;(P$3+1),'12 فريق'!$A$1:$A$200,0),MATCH("توزيع الفرق*",'12 فريق'!$A$1:$A$200,0)-1)-MATCH("المهرجان "&amp;P$3,'12 فريق'!$A$1:$A$200,0),0)</f>
        <v>9</v>
      </c>
      <c r="Q11" s="83">
        <f>IFERROR(IFERROR(MATCH("المهرجان "&amp;(Q$3+1),'12 فريق'!$A$1:$A$200,0),MATCH("توزيع الفرق*",'12 فريق'!$A$1:$A$200,0)-1)-MATCH("المهرجان "&amp;Q$3,'12 فريق'!$A$1:$A$200,0),0)</f>
        <v>9</v>
      </c>
      <c r="R11" s="83">
        <f>IFERROR(IFERROR(MATCH("المهرجان "&amp;(R$3+1),'12 فريق'!$A$1:$A$200,0),MATCH("توزيع الفرق*",'12 فريق'!$A$1:$A$200,0)-1)-MATCH("المهرجان "&amp;R$3,'12 فريق'!$A$1:$A$200,0),0)</f>
        <v>4</v>
      </c>
      <c r="S11" s="83">
        <f>IFERROR(IFERROR(MATCH("المهرجان "&amp;(S$3+1),'12 فريق'!$A$1:$A$200,0),MATCH("توزيع الفرق*",'12 فريق'!$A$1:$A$200,0)-1)-MATCH("المهرجان "&amp;S$3,'12 فريق'!$A$1:$A$200,0),0)</f>
        <v>0</v>
      </c>
    </row>
    <row r="12" spans="1:19" ht="14.5">
      <c r="A12" s="82">
        <f>'ملخص البطولات'!A12</f>
        <v>13</v>
      </c>
      <c r="B12" s="83">
        <f t="shared" si="0"/>
        <v>2</v>
      </c>
      <c r="C12" s="83">
        <f>'ملخص البطولات'!K12*المدخلات!$B$10</f>
        <v>4</v>
      </c>
      <c r="D12" s="84">
        <f>I12*المدخلات!$B$5/60</f>
        <v>2.25</v>
      </c>
      <c r="E12" s="84">
        <f t="shared" si="1"/>
        <v>9</v>
      </c>
      <c r="F12" s="83">
        <f t="shared" si="2"/>
        <v>8</v>
      </c>
      <c r="G12" s="84">
        <f t="shared" si="3"/>
        <v>18</v>
      </c>
      <c r="H12" s="83">
        <f>'ملخص البطولات'!F12</f>
        <v>6</v>
      </c>
      <c r="I12" s="83">
        <f t="shared" si="4"/>
        <v>9</v>
      </c>
      <c r="J12" s="84">
        <f t="shared" si="5"/>
        <v>108</v>
      </c>
      <c r="K12" s="83">
        <f>COUNTIFS(Sheet1!$F$2:$F$185,$A12,Sheet1!$B$2:$B$185,K$3)</f>
        <v>2</v>
      </c>
      <c r="L12" s="88">
        <f>COUNTIFS(Sheet1!$F$2:$F$185,$A12,Sheet1!$B$2:$B$185,L$3)</f>
        <v>0</v>
      </c>
      <c r="M12" s="83">
        <f>IFERROR(IFERROR(MATCH("المهرجان "&amp;(M$3+1),'13 فريق'!$A$1:$A$200,0),MATCH("توزيع الفرق*",'13 فريق'!$A$1:$A$200,0)-1)-MATCH("المهرجان "&amp;M$3,'13 فريق'!$A$1:$A$200,0),0)</f>
        <v>9</v>
      </c>
      <c r="N12" s="83">
        <f>IFERROR(IFERROR(MATCH("المهرجان "&amp;(N$3+1),'13 فريق'!$A$1:$A$200,0),MATCH("توزيع الفرق*",'13 فريق'!$A$1:$A$200,0)-1)-MATCH("المهرجان "&amp;N$3,'13 فريق'!$A$1:$A$200,0),0)</f>
        <v>9</v>
      </c>
      <c r="O12" s="83">
        <f>IFERROR(IFERROR(MATCH("المهرجان "&amp;(O$3+1),'13 فريق'!$A$1:$A$200,0),MATCH("توزيع الفرق*",'13 فريق'!$A$1:$A$200,0)-1)-MATCH("المهرجان "&amp;O$3,'13 فريق'!$A$1:$A$200,0),0)</f>
        <v>9</v>
      </c>
      <c r="P12" s="83">
        <f>IFERROR(IFERROR(MATCH("المهرجان "&amp;(P$3+1),'13 فريق'!$A$1:$A$200,0),MATCH("توزيع الفرق*",'13 فريق'!$A$1:$A$200,0)-1)-MATCH("المهرجان "&amp;P$3,'13 فريق'!$A$1:$A$200,0),0)</f>
        <v>9</v>
      </c>
      <c r="Q12" s="83">
        <f>IFERROR(IFERROR(MATCH("المهرجان "&amp;(Q$3+1),'13 فريق'!$A$1:$A$200,0),MATCH("توزيع الفرق*",'13 فريق'!$A$1:$A$200,0)-1)-MATCH("المهرجان "&amp;Q$3,'13 فريق'!$A$1:$A$200,0),0)</f>
        <v>9</v>
      </c>
      <c r="R12" s="83">
        <f>IFERROR(IFERROR(MATCH("المهرجان "&amp;(R$3+1),'13 فريق'!$A$1:$A$200,0),MATCH("توزيع الفرق*",'13 فريق'!$A$1:$A$200,0)-1)-MATCH("المهرجان "&amp;R$3,'13 فريق'!$A$1:$A$200,0),0)</f>
        <v>9</v>
      </c>
      <c r="S12" s="83">
        <f>IFERROR(IFERROR(MATCH("المهرجان "&amp;(S$3+1),'13 فريق'!$A$1:$A$200,0),MATCH("توزيع الفرق*",'13 فريق'!$A$1:$A$200,0)-1)-MATCH("المهرجان "&amp;S$3,'13 فريق'!$A$1:$A$200,0),0)</f>
        <v>0</v>
      </c>
    </row>
    <row r="13" spans="1:19" ht="14.5">
      <c r="A13" s="82">
        <f>'ملخص البطولات'!A13</f>
        <v>14</v>
      </c>
      <c r="B13" s="83">
        <f t="shared" si="0"/>
        <v>2</v>
      </c>
      <c r="C13" s="83">
        <f>'ملخص البطولات'!K13*المدخلات!$B$10</f>
        <v>4</v>
      </c>
      <c r="D13" s="84">
        <f>I13*المدخلات!$B$5/60</f>
        <v>2.5</v>
      </c>
      <c r="E13" s="84">
        <f t="shared" si="1"/>
        <v>10</v>
      </c>
      <c r="F13" s="83">
        <f t="shared" si="2"/>
        <v>8</v>
      </c>
      <c r="G13" s="84">
        <f t="shared" si="3"/>
        <v>20</v>
      </c>
      <c r="H13" s="83">
        <f>'ملخص البطولات'!F13</f>
        <v>6</v>
      </c>
      <c r="I13" s="83">
        <f t="shared" si="4"/>
        <v>10</v>
      </c>
      <c r="J13" s="84">
        <f t="shared" si="5"/>
        <v>120</v>
      </c>
      <c r="K13" s="83">
        <f>COUNTIFS(Sheet1!$F$2:$F$185,$A13,Sheet1!$B$2:$B$185,K$3)</f>
        <v>0</v>
      </c>
      <c r="L13" s="88">
        <f>COUNTIFS(Sheet1!$F$2:$F$185,$A13,Sheet1!$B$2:$B$185,L$3)</f>
        <v>2</v>
      </c>
      <c r="M13" s="83">
        <f>IFERROR(IFERROR(MATCH("المهرجان "&amp;(M$3+1),'14 فريق'!$A$1:$A$200,0),MATCH("توزيع الفرق*",'14 فريق'!$A$1:$A$200,0)-1)-MATCH("المهرجان "&amp;M$3,'14 فريق'!$A$1:$A$200,0),0)</f>
        <v>9</v>
      </c>
      <c r="N13" s="83">
        <f>IFERROR(IFERROR(MATCH("المهرجان "&amp;(N$3+1),'14 فريق'!$A$1:$A$200,0),MATCH("توزيع الفرق*",'14 فريق'!$A$1:$A$200,0)-1)-MATCH("المهرجان "&amp;N$3,'14 فريق'!$A$1:$A$200,0),0)</f>
        <v>9</v>
      </c>
      <c r="O13" s="83">
        <f>IFERROR(IFERROR(MATCH("المهرجان "&amp;(O$3+1),'14 فريق'!$A$1:$A$200,0),MATCH("توزيع الفرق*",'14 فريق'!$A$1:$A$200,0)-1)-MATCH("المهرجان "&amp;O$3,'14 فريق'!$A$1:$A$200,0),0)</f>
        <v>10</v>
      </c>
      <c r="P13" s="83">
        <f>IFERROR(IFERROR(MATCH("المهرجان "&amp;(P$3+1),'14 فريق'!$A$1:$A$200,0),MATCH("توزيع الفرق*",'14 فريق'!$A$1:$A$200,0)-1)-MATCH("المهرجان "&amp;P$3,'14 فريق'!$A$1:$A$200,0),0)</f>
        <v>10</v>
      </c>
      <c r="Q13" s="83">
        <f>IFERROR(IFERROR(MATCH("المهرجان "&amp;(Q$3+1),'14 فريق'!$A$1:$A$200,0),MATCH("توزيع الفرق*",'14 فريق'!$A$1:$A$200,0)-1)-MATCH("المهرجان "&amp;Q$3,'14 فريق'!$A$1:$A$200,0),0)</f>
        <v>10</v>
      </c>
      <c r="R13" s="83">
        <f>IFERROR(IFERROR(MATCH("المهرجان "&amp;(R$3+1),'14 فريق'!$A$1:$A$200,0),MATCH("توزيع الفرق*",'14 فريق'!$A$1:$A$200,0)-1)-MATCH("المهرجان "&amp;R$3,'14 فريق'!$A$1:$A$200,0),0)</f>
        <v>10</v>
      </c>
      <c r="S13" s="83">
        <f>IFERROR(IFERROR(MATCH("المهرجان "&amp;(S$3+1),'14 فريق'!$A$1:$A$200,0),MATCH("توزيع الفرق*",'14 فريق'!$A$1:$A$200,0)-1)-MATCH("المهرجان "&amp;S$3,'14 فريق'!$A$1:$A$200,0),0)</f>
        <v>0</v>
      </c>
    </row>
    <row r="14" spans="1:19" ht="14.5">
      <c r="A14" s="82">
        <f>'ملخص البطولات'!A14</f>
        <v>15</v>
      </c>
      <c r="B14" s="83">
        <f t="shared" si="0"/>
        <v>4</v>
      </c>
      <c r="C14" s="83">
        <f>'ملخص البطولات'!K14*المدخلات!$B$10</f>
        <v>6</v>
      </c>
      <c r="D14" s="84">
        <f>I14*المدخلات!$B$5/60</f>
        <v>2.5</v>
      </c>
      <c r="E14" s="84">
        <f t="shared" si="1"/>
        <v>15</v>
      </c>
      <c r="F14" s="83">
        <f t="shared" si="2"/>
        <v>24</v>
      </c>
      <c r="G14" s="84">
        <f t="shared" si="3"/>
        <v>60</v>
      </c>
      <c r="H14" s="83">
        <f>'ملخص البطولات'!F14</f>
        <v>7</v>
      </c>
      <c r="I14" s="83">
        <f t="shared" si="4"/>
        <v>10</v>
      </c>
      <c r="J14" s="84">
        <f t="shared" si="5"/>
        <v>420</v>
      </c>
      <c r="K14" s="83">
        <f>COUNTIFS(Sheet1!$F$2:$F$185,$A14,Sheet1!$B$2:$B$185,K$3)</f>
        <v>1</v>
      </c>
      <c r="L14" s="88">
        <f>COUNTIFS(Sheet1!$F$2:$F$185,$A14,Sheet1!$B$2:$B$185,L$3)</f>
        <v>3</v>
      </c>
      <c r="M14" s="83">
        <f>IFERROR(IFERROR(MATCH("المهرجان "&amp;(M$3+1),'15 فريق'!$A$1:$A$200,0),MATCH("توزيع الفرق*",'15 فريق'!$A$1:$A$200,0)-1)-MATCH("المهرجان "&amp;M$3,'15 فريق'!$A$1:$A$200,0),0)</f>
        <v>9</v>
      </c>
      <c r="N14" s="83">
        <f>IFERROR(IFERROR(MATCH("المهرجان "&amp;(N$3+1),'15 فريق'!$A$1:$A$200,0),MATCH("توزيع الفرق*",'15 فريق'!$A$1:$A$200,0)-1)-MATCH("المهرجان "&amp;N$3,'15 فريق'!$A$1:$A$200,0),0)</f>
        <v>9</v>
      </c>
      <c r="O14" s="83">
        <f>IFERROR(IFERROR(MATCH("المهرجان "&amp;(O$3+1),'15 فريق'!$A$1:$A$200,0),MATCH("توزيع الفرق*",'15 فريق'!$A$1:$A$200,0)-1)-MATCH("المهرجان "&amp;O$3,'15 فريق'!$A$1:$A$200,0),0)</f>
        <v>10</v>
      </c>
      <c r="P14" s="83">
        <f>IFERROR(IFERROR(MATCH("المهرجان "&amp;(P$3+1),'15 فريق'!$A$1:$A$200,0),MATCH("توزيع الفرق*",'15 فريق'!$A$1:$A$200,0)-1)-MATCH("المهرجان "&amp;P$3,'15 فريق'!$A$1:$A$200,0),0)</f>
        <v>10</v>
      </c>
      <c r="Q14" s="83">
        <f>IFERROR(IFERROR(MATCH("المهرجان "&amp;(Q$3+1),'15 فريق'!$A$1:$A$200,0),MATCH("توزيع الفرق*",'15 فريق'!$A$1:$A$200,0)-1)-MATCH("المهرجان "&amp;Q$3,'15 فريق'!$A$1:$A$200,0),0)</f>
        <v>10</v>
      </c>
      <c r="R14" s="83">
        <f>IFERROR(IFERROR(MATCH("المهرجان "&amp;(R$3+1),'15 فريق'!$A$1:$A$200,0),MATCH("توزيع الفرق*",'15 فريق'!$A$1:$A$200,0)-1)-MATCH("المهرجان "&amp;R$3,'15 فريق'!$A$1:$A$200,0),0)</f>
        <v>10</v>
      </c>
      <c r="S14" s="83">
        <f>IFERROR(IFERROR(MATCH("المهرجان "&amp;(S$3+1),'15 فريق'!$A$1:$A$200,0),MATCH("توزيع الفرق*",'15 فريق'!$A$1:$A$200,0)-1)-MATCH("المهرجان "&amp;S$3,'15 فريق'!$A$1:$A$200,0),0)</f>
        <v>7</v>
      </c>
    </row>
    <row r="15" spans="1:19" ht="14.5">
      <c r="A15" s="82">
        <f>'ملخص البطولات'!A15</f>
        <v>16</v>
      </c>
      <c r="B15" s="83">
        <f t="shared" si="0"/>
        <v>3</v>
      </c>
      <c r="C15" s="83">
        <f>'ملخص البطولات'!K15*المدخلات!$B$10</f>
        <v>8</v>
      </c>
      <c r="D15" s="84">
        <f>I15*المدخلات!$B$5/60</f>
        <v>1.75</v>
      </c>
      <c r="E15" s="84">
        <f t="shared" si="1"/>
        <v>14</v>
      </c>
      <c r="F15" s="83">
        <f t="shared" si="2"/>
        <v>24</v>
      </c>
      <c r="G15" s="84">
        <f t="shared" si="3"/>
        <v>42</v>
      </c>
      <c r="H15" s="83">
        <f>'ملخص البطولات'!F15</f>
        <v>7</v>
      </c>
      <c r="I15" s="83">
        <f t="shared" si="4"/>
        <v>7</v>
      </c>
      <c r="J15" s="84">
        <f t="shared" si="5"/>
        <v>294</v>
      </c>
      <c r="K15" s="83">
        <f>COUNTIFS(Sheet1!$F$2:$F$185,$A15,Sheet1!$B$2:$B$185,K$3)</f>
        <v>2</v>
      </c>
      <c r="L15" s="88">
        <f>COUNTIFS(Sheet1!$F$2:$F$185,$A15,Sheet1!$B$2:$B$185,L$3)</f>
        <v>1</v>
      </c>
      <c r="M15" s="83">
        <f>IFERROR(IFERROR(MATCH("المهرجان "&amp;(M$3+1),'16 فريق'!$A$1:$A$200,0),MATCH("توزيع الفرق*",'16 فريق'!$A$1:$A$200,0)-1)-MATCH("المهرجان "&amp;M$3,'16 فريق'!$A$1:$A$200,0),0)</f>
        <v>7</v>
      </c>
      <c r="N15" s="83">
        <f>IFERROR(IFERROR(MATCH("المهرجان "&amp;(N$3+1),'16 فريق'!$A$1:$A$200,0),MATCH("توزيع الفرق*",'16 فريق'!$A$1:$A$200,0)-1)-MATCH("المهرجان "&amp;N$3,'16 فريق'!$A$1:$A$200,0),0)</f>
        <v>7</v>
      </c>
      <c r="O15" s="83">
        <f>IFERROR(IFERROR(MATCH("المهرجان "&amp;(O$3+1),'16 فريق'!$A$1:$A$200,0),MATCH("توزيع الفرق*",'16 فريق'!$A$1:$A$200,0)-1)-MATCH("المهرجان "&amp;O$3,'16 فريق'!$A$1:$A$200,0),0)</f>
        <v>7</v>
      </c>
      <c r="P15" s="83">
        <f>IFERROR(IFERROR(MATCH("المهرجان "&amp;(P$3+1),'16 فريق'!$A$1:$A$200,0),MATCH("توزيع الفرق*",'16 فريق'!$A$1:$A$200,0)-1)-MATCH("المهرجان "&amp;P$3,'16 فريق'!$A$1:$A$200,0),0)</f>
        <v>7</v>
      </c>
      <c r="Q15" s="83">
        <f>IFERROR(IFERROR(MATCH("المهرجان "&amp;(Q$3+1),'16 فريق'!$A$1:$A$200,0),MATCH("توزيع الفرق*",'16 فريق'!$A$1:$A$200,0)-1)-MATCH("المهرجان "&amp;Q$3,'16 فريق'!$A$1:$A$200,0),0)</f>
        <v>7</v>
      </c>
      <c r="R15" s="83">
        <f>IFERROR(IFERROR(MATCH("المهرجان "&amp;(R$3+1),'16 فريق'!$A$1:$A$200,0),MATCH("توزيع الفرق*",'16 فريق'!$A$1:$A$200,0)-1)-MATCH("المهرجان "&amp;R$3,'16 فريق'!$A$1:$A$200,0),0)</f>
        <v>7</v>
      </c>
      <c r="S15" s="83">
        <f>IFERROR(IFERROR(MATCH("المهرجان "&amp;(S$3+1),'16 فريق'!$A$1:$A$200,0),MATCH("توزيع الفرق*",'16 فريق'!$A$1:$A$200,0)-1)-MATCH("المهرجان "&amp;S$3,'16 فريق'!$A$1:$A$200,0),0)</f>
        <v>7</v>
      </c>
    </row>
    <row r="16" spans="1:19" ht="14.5">
      <c r="A16" s="82">
        <f>'ملخص البطولات'!A16</f>
        <v>17</v>
      </c>
      <c r="B16" s="83">
        <f t="shared" si="0"/>
        <v>1</v>
      </c>
      <c r="C16" s="83">
        <f>'ملخص البطولات'!K16*المدخلات!$B$10</f>
        <v>7</v>
      </c>
      <c r="D16" s="84">
        <f>I16*المدخلات!$B$5/60</f>
        <v>2.5</v>
      </c>
      <c r="E16" s="84">
        <f t="shared" si="1"/>
        <v>17.5</v>
      </c>
      <c r="F16" s="83">
        <f t="shared" si="2"/>
        <v>7</v>
      </c>
      <c r="G16" s="84">
        <f t="shared" si="3"/>
        <v>17.5</v>
      </c>
      <c r="H16" s="83">
        <f>'ملخص البطولات'!F16</f>
        <v>7</v>
      </c>
      <c r="I16" s="83">
        <f t="shared" si="4"/>
        <v>10</v>
      </c>
      <c r="J16" s="84">
        <f t="shared" si="5"/>
        <v>122.5</v>
      </c>
      <c r="K16" s="83">
        <f>COUNTIFS(Sheet1!$F$2:$F$185,$A16,Sheet1!$B$2:$B$185,K$3)</f>
        <v>1</v>
      </c>
      <c r="L16" s="88">
        <f>COUNTIFS(Sheet1!$F$2:$F$185,$A16,Sheet1!$B$2:$B$185,L$3)</f>
        <v>0</v>
      </c>
      <c r="M16" s="83">
        <f>IFERROR(IFERROR(MATCH("المهرجان "&amp;(M$3+1),'17 فريق'!$A$1:$A$200,0),MATCH("توزيع الفرق*",'17 فريق'!$A$1:$A$200,0)-1)-MATCH("المهرجان "&amp;M$3,'17 فريق'!$A$1:$A$200,0),0)</f>
        <v>9</v>
      </c>
      <c r="N16" s="83">
        <f>IFERROR(IFERROR(MATCH("المهرجان "&amp;(N$3+1),'17 فريق'!$A$1:$A$200,0),MATCH("توزيع الفرق*",'17 فريق'!$A$1:$A$200,0)-1)-MATCH("المهرجان "&amp;N$3,'17 فريق'!$A$1:$A$200,0),0)</f>
        <v>10</v>
      </c>
      <c r="O16" s="83">
        <f>IFERROR(IFERROR(MATCH("المهرجان "&amp;(O$3+1),'17 فريق'!$A$1:$A$200,0),MATCH("توزيع الفرق*",'17 فريق'!$A$1:$A$200,0)-1)-MATCH("المهرجان "&amp;O$3,'17 فريق'!$A$1:$A$200,0),0)</f>
        <v>9</v>
      </c>
      <c r="P16" s="83">
        <f>IFERROR(IFERROR(MATCH("المهرجان "&amp;(P$3+1),'17 فريق'!$A$1:$A$200,0),MATCH("توزيع الفرق*",'17 فريق'!$A$1:$A$200,0)-1)-MATCH("المهرجان "&amp;P$3,'17 فريق'!$A$1:$A$200,0),0)</f>
        <v>9</v>
      </c>
      <c r="Q16" s="83">
        <f>IFERROR(IFERROR(MATCH("المهرجان "&amp;(Q$3+1),'17 فريق'!$A$1:$A$200,0),MATCH("توزيع الفرق*",'17 فريق'!$A$1:$A$200,0)-1)-MATCH("المهرجان "&amp;Q$3,'17 فريق'!$A$1:$A$200,0),0)</f>
        <v>10</v>
      </c>
      <c r="R16" s="83">
        <f>IFERROR(IFERROR(MATCH("المهرجان "&amp;(R$3+1),'17 فريق'!$A$1:$A$200,0),MATCH("توزيع الفرق*",'17 فريق'!$A$1:$A$200,0)-1)-MATCH("المهرجان "&amp;R$3,'17 فريق'!$A$1:$A$200,0),0)</f>
        <v>9</v>
      </c>
      <c r="S16" s="83">
        <f>IFERROR(IFERROR(MATCH("المهرجان "&amp;(S$3+1),'17 فريق'!$A$1:$A$200,0),MATCH("توزيع الفرق*",'17 فريق'!$A$1:$A$200,0)-1)-MATCH("المهرجان "&amp;S$3,'17 فريق'!$A$1:$A$200,0),0)</f>
        <v>7</v>
      </c>
    </row>
    <row r="17" spans="1:19" ht="14.5">
      <c r="A17" s="82">
        <f>'ملخص البطولات'!A17</f>
        <v>18</v>
      </c>
      <c r="B17" s="83">
        <f t="shared" si="0"/>
        <v>1</v>
      </c>
      <c r="C17" s="83">
        <f>'ملخص البطولات'!K17*المدخلات!$B$10</f>
        <v>8</v>
      </c>
      <c r="D17" s="84">
        <f>I17*المدخلات!$B$5/60</f>
        <v>2.25</v>
      </c>
      <c r="E17" s="84">
        <f t="shared" si="1"/>
        <v>18</v>
      </c>
      <c r="F17" s="83">
        <f t="shared" si="2"/>
        <v>8</v>
      </c>
      <c r="G17" s="84">
        <f t="shared" si="3"/>
        <v>18</v>
      </c>
      <c r="H17" s="83">
        <f>'ملخص البطولات'!F17</f>
        <v>7</v>
      </c>
      <c r="I17" s="83">
        <f t="shared" si="4"/>
        <v>9</v>
      </c>
      <c r="J17" s="84">
        <f t="shared" si="5"/>
        <v>126</v>
      </c>
      <c r="K17" s="83">
        <f>COUNTIFS(Sheet1!$F$2:$F$185,$A17,Sheet1!$B$2:$B$185,K$3)</f>
        <v>1</v>
      </c>
      <c r="L17" s="88">
        <f>COUNTIFS(Sheet1!$F$2:$F$185,$A17,Sheet1!$B$2:$B$185,L$3)</f>
        <v>0</v>
      </c>
      <c r="M17" s="83">
        <f>IFERROR(IFERROR(MATCH("المهرجان "&amp;(M$3+1),'18 فريق'!$A$1:$A$200,0),MATCH("توزيع الفرق*",'18 فريق'!$A$1:$A$200,0)-1)-MATCH("المهرجان "&amp;M$3,'18 فريق'!$A$1:$A$200,0),0)</f>
        <v>9</v>
      </c>
      <c r="N17" s="83">
        <f>IFERROR(IFERROR(MATCH("المهرجان "&amp;(N$3+1),'18 فريق'!$A$1:$A$200,0),MATCH("توزيع الفرق*",'18 فريق'!$A$1:$A$200,0)-1)-MATCH("المهرجان "&amp;N$3,'18 فريق'!$A$1:$A$200,0),0)</f>
        <v>9</v>
      </c>
      <c r="O17" s="83">
        <f>IFERROR(IFERROR(MATCH("المهرجان "&amp;(O$3+1),'18 فريق'!$A$1:$A$200,0),MATCH("توزيع الفرق*",'18 فريق'!$A$1:$A$200,0)-1)-MATCH("المهرجان "&amp;O$3,'18 فريق'!$A$1:$A$200,0),0)</f>
        <v>8</v>
      </c>
      <c r="P17" s="83">
        <f>IFERROR(IFERROR(MATCH("المهرجان "&amp;(P$3+1),'18 فريق'!$A$1:$A$200,0),MATCH("توزيع الفرق*",'18 فريق'!$A$1:$A$200,0)-1)-MATCH("المهرجان "&amp;P$3,'18 فريق'!$A$1:$A$200,0),0)</f>
        <v>8</v>
      </c>
      <c r="Q17" s="83">
        <f>IFERROR(IFERROR(MATCH("المهرجان "&amp;(Q$3+1),'18 فريق'!$A$1:$A$200,0),MATCH("توزيع الفرق*",'18 فريق'!$A$1:$A$200,0)-1)-MATCH("المهرجان "&amp;Q$3,'18 فريق'!$A$1:$A$200,0),0)</f>
        <v>9</v>
      </c>
      <c r="R17" s="83">
        <f>IFERROR(IFERROR(MATCH("المهرجان "&amp;(R$3+1),'18 فريق'!$A$1:$A$200,0),MATCH("توزيع الفرق*",'18 فريق'!$A$1:$A$200,0)-1)-MATCH("المهرجان "&amp;R$3,'18 فريق'!$A$1:$A$200,0),0)</f>
        <v>8</v>
      </c>
      <c r="S17" s="83">
        <f>IFERROR(IFERROR(MATCH("المهرجان "&amp;(S$3+1),'18 فريق'!$A$1:$A$200,0),MATCH("توزيع الفرق*",'18 فريق'!$A$1:$A$200,0)-1)-MATCH("المهرجان "&amp;S$3,'18 فريق'!$A$1:$A$200,0),0)</f>
        <v>7</v>
      </c>
    </row>
    <row r="18" spans="1:19" ht="14.5">
      <c r="A18" s="82">
        <f>'ملخص البطولات'!A18</f>
        <v>19</v>
      </c>
      <c r="B18" s="83">
        <f t="shared" si="0"/>
        <v>1</v>
      </c>
      <c r="C18" s="83">
        <f>'ملخص البطولات'!K18*المدخلات!$B$10</f>
        <v>7</v>
      </c>
      <c r="D18" s="84">
        <f>I18*المدخلات!$B$5/60</f>
        <v>2.5</v>
      </c>
      <c r="E18" s="84">
        <f t="shared" si="1"/>
        <v>17.5</v>
      </c>
      <c r="F18" s="83">
        <f t="shared" si="2"/>
        <v>7</v>
      </c>
      <c r="G18" s="84">
        <f t="shared" si="3"/>
        <v>17.5</v>
      </c>
      <c r="H18" s="83">
        <f>'ملخص البطولات'!F18</f>
        <v>7</v>
      </c>
      <c r="I18" s="83">
        <f t="shared" si="4"/>
        <v>10</v>
      </c>
      <c r="J18" s="84">
        <f t="shared" si="5"/>
        <v>122.5</v>
      </c>
      <c r="K18" s="83">
        <f>COUNTIFS(Sheet1!$F$2:$F$185,$A18,Sheet1!$B$2:$B$185,K$3)</f>
        <v>0</v>
      </c>
      <c r="L18" s="88">
        <f>COUNTIFS(Sheet1!$F$2:$F$185,$A18,Sheet1!$B$2:$B$185,L$3)</f>
        <v>1</v>
      </c>
      <c r="M18" s="83">
        <f>IFERROR(IFERROR(MATCH("المهرجان "&amp;(M$3+1),'19 فريق'!$A$1:$A$200,0),MATCH("توزيع الفرق*",'19 فريق'!$A$1:$A$200,0)-1)-MATCH("المهرجان "&amp;M$3,'19 فريق'!$A$1:$A$200,0),0)</f>
        <v>9</v>
      </c>
      <c r="N18" s="83">
        <f>IFERROR(IFERROR(MATCH("المهرجان "&amp;(N$3+1),'19 فريق'!$A$1:$A$200,0),MATCH("توزيع الفرق*",'19 فريق'!$A$1:$A$200,0)-1)-MATCH("المهرجان "&amp;N$3,'19 فريق'!$A$1:$A$200,0),0)</f>
        <v>10</v>
      </c>
      <c r="O18" s="83">
        <f>IFERROR(IFERROR(MATCH("المهرجان "&amp;(O$3+1),'19 فريق'!$A$1:$A$200,0),MATCH("توزيع الفرق*",'19 فريق'!$A$1:$A$200,0)-1)-MATCH("المهرجان "&amp;O$3,'19 فريق'!$A$1:$A$200,0),0)</f>
        <v>9</v>
      </c>
      <c r="P18" s="83">
        <f>IFERROR(IFERROR(MATCH("المهرجان "&amp;(P$3+1),'19 فريق'!$A$1:$A$200,0),MATCH("توزيع الفرق*",'19 فريق'!$A$1:$A$200,0)-1)-MATCH("المهرجان "&amp;P$3,'19 فريق'!$A$1:$A$200,0),0)</f>
        <v>9</v>
      </c>
      <c r="Q18" s="83">
        <f>IFERROR(IFERROR(MATCH("المهرجان "&amp;(Q$3+1),'19 فريق'!$A$1:$A$200,0),MATCH("توزيع الفرق*",'19 فريق'!$A$1:$A$200,0)-1)-MATCH("المهرجان "&amp;Q$3,'19 فريق'!$A$1:$A$200,0),0)</f>
        <v>10</v>
      </c>
      <c r="R18" s="83">
        <f>IFERROR(IFERROR(MATCH("المهرجان "&amp;(R$3+1),'19 فريق'!$A$1:$A$200,0),MATCH("توزيع الفرق*",'19 فريق'!$A$1:$A$200,0)-1)-MATCH("المهرجان "&amp;R$3,'19 فريق'!$A$1:$A$200,0),0)</f>
        <v>9</v>
      </c>
      <c r="S18" s="83">
        <f>IFERROR(IFERROR(MATCH("المهرجان "&amp;(S$3+1),'19 فريق'!$A$1:$A$200,0),MATCH("توزيع الفرق*",'19 فريق'!$A$1:$A$200,0)-1)-MATCH("المهرجان "&amp;S$3,'19 فريق'!$A$1:$A$200,0),0)</f>
        <v>6</v>
      </c>
    </row>
    <row r="19" spans="1:19" ht="14.5">
      <c r="A19" s="82">
        <f>'ملخص البطولات'!A19</f>
        <v>21</v>
      </c>
      <c r="B19" s="83">
        <f t="shared" si="0"/>
        <v>1</v>
      </c>
      <c r="C19" s="83">
        <f>'ملخص البطولات'!K19*المدخلات!$B$10</f>
        <v>8</v>
      </c>
      <c r="D19" s="84">
        <f>I19*المدخلات!$B$5/60</f>
        <v>3.5</v>
      </c>
      <c r="E19" s="84">
        <f t="shared" si="1"/>
        <v>28</v>
      </c>
      <c r="F19" s="83">
        <f t="shared" si="2"/>
        <v>8</v>
      </c>
      <c r="G19" s="84">
        <f t="shared" si="3"/>
        <v>28</v>
      </c>
      <c r="H19" s="83">
        <f>'ملخص البطولات'!F19</f>
        <v>7</v>
      </c>
      <c r="I19" s="83">
        <f t="shared" si="4"/>
        <v>14</v>
      </c>
      <c r="J19" s="84">
        <f t="shared" si="5"/>
        <v>196</v>
      </c>
      <c r="K19" s="83">
        <f>COUNTIFS(Sheet1!$F$2:$F$185,$A19,Sheet1!$B$2:$B$185,K$3)</f>
        <v>1</v>
      </c>
      <c r="L19" s="88">
        <f>COUNTIFS(Sheet1!$F$2:$F$185,$A19,Sheet1!$B$2:$B$185,L$3)</f>
        <v>0</v>
      </c>
      <c r="M19" s="83">
        <f>IFERROR(IFERROR(MATCH("المهرجان "&amp;(M$3+1),'21 فريق'!$A$1:$A$200,0),MATCH("توزيع الفرق*",'21 فريق'!$A$1:$A$200,0)-1)-MATCH("المهرجان "&amp;M$3,'21 فريق'!$A$1:$A$200,0),0)</f>
        <v>9</v>
      </c>
      <c r="N19" s="83">
        <f>IFERROR(IFERROR(MATCH("المهرجان "&amp;(N$3+1),'21 فريق'!$A$1:$A$200,0),MATCH("توزيع الفرق*",'21 فريق'!$A$1:$A$200,0)-1)-MATCH("المهرجان "&amp;N$3,'21 فريق'!$A$1:$A$200,0),0)</f>
        <v>9</v>
      </c>
      <c r="O19" s="83">
        <f>IFERROR(IFERROR(MATCH("المهرجان "&amp;(O$3+1),'21 فريق'!$A$1:$A$200,0),MATCH("توزيع الفرق*",'21 فريق'!$A$1:$A$200,0)-1)-MATCH("المهرجان "&amp;O$3,'21 فريق'!$A$1:$A$200,0),0)</f>
        <v>10</v>
      </c>
      <c r="P19" s="83">
        <f>IFERROR(IFERROR(MATCH("المهرجان "&amp;(P$3+1),'21 فريق'!$A$1:$A$200,0),MATCH("توزيع الفرق*",'21 فريق'!$A$1:$A$200,0)-1)-MATCH("المهرجان "&amp;P$3,'21 فريق'!$A$1:$A$200,0),0)</f>
        <v>10</v>
      </c>
      <c r="Q19" s="83">
        <f>IFERROR(IFERROR(MATCH("المهرجان "&amp;(Q$3+1),'21 فريق'!$A$1:$A$200,0),MATCH("توزيع الفرق*",'21 فريق'!$A$1:$A$200,0)-1)-MATCH("المهرجان "&amp;Q$3,'21 فريق'!$A$1:$A$200,0),0)</f>
        <v>10</v>
      </c>
      <c r="R19" s="83">
        <f>IFERROR(IFERROR(MATCH("المهرجان "&amp;(R$3+1),'21 فريق'!$A$1:$A$200,0),MATCH("توزيع الفرق*",'21 فريق'!$A$1:$A$200,0)-1)-MATCH("المهرجان "&amp;R$3,'21 فريق'!$A$1:$A$200,0),0)</f>
        <v>10</v>
      </c>
      <c r="S19" s="83">
        <f>IFERROR(IFERROR(MATCH("المهرجان "&amp;(S$3+1),'21 فريق'!$A$1:$A$200,0),MATCH("توزيع الفرق*",'21 فريق'!$A$1:$A$200,0)-1)-MATCH("المهرجان "&amp;S$3,'21 فريق'!$A$1:$A$200,0),0)</f>
        <v>14</v>
      </c>
    </row>
    <row r="20" spans="1:19" ht="14.5">
      <c r="A20" s="82">
        <f>'ملخص البطولات'!A20</f>
        <v>25</v>
      </c>
      <c r="B20" s="83">
        <f t="shared" si="0"/>
        <v>1</v>
      </c>
      <c r="C20" s="83">
        <f>'ملخص البطولات'!K20*المدخلات!$B$10</f>
        <v>11</v>
      </c>
      <c r="D20" s="84">
        <f>I20*المدخلات!$B$5/60</f>
        <v>2.5</v>
      </c>
      <c r="E20" s="84">
        <f t="shared" si="1"/>
        <v>27.5</v>
      </c>
      <c r="F20" s="83">
        <f t="shared" si="2"/>
        <v>11</v>
      </c>
      <c r="G20" s="84">
        <f t="shared" si="3"/>
        <v>27.5</v>
      </c>
      <c r="H20" s="83">
        <f>'ملخص البطولات'!F20</f>
        <v>7</v>
      </c>
      <c r="I20" s="83">
        <f t="shared" si="4"/>
        <v>10</v>
      </c>
      <c r="J20" s="84">
        <f t="shared" si="5"/>
        <v>192.5</v>
      </c>
      <c r="K20" s="83">
        <f>COUNTIFS(Sheet1!$F$2:$F$185,$A20,Sheet1!$B$2:$B$185,K$3)</f>
        <v>0</v>
      </c>
      <c r="L20" s="88">
        <f>COUNTIFS(Sheet1!$F$2:$F$185,$A20,Sheet1!$B$2:$B$185,L$3)</f>
        <v>1</v>
      </c>
      <c r="M20" s="83">
        <f>IFERROR(IFERROR(MATCH("المهرجان "&amp;(M$3+1),'25 فريق'!$A$1:$A$200,0),MATCH("توزيع الفرق*",'25 فريق'!$A$1:$A$200,0)-1)-MATCH("المهرجان "&amp;M$3,'25 فريق'!$A$1:$A$200,0),0)</f>
        <v>9</v>
      </c>
      <c r="N20" s="83">
        <f>IFERROR(IFERROR(MATCH("المهرجان "&amp;(N$3+1),'25 فريق'!$A$1:$A$200,0),MATCH("توزيع الفرق*",'25 فريق'!$A$1:$A$200,0)-1)-MATCH("المهرجان "&amp;N$3,'25 فريق'!$A$1:$A$200,0),0)</f>
        <v>10</v>
      </c>
      <c r="O20" s="83">
        <f>IFERROR(IFERROR(MATCH("المهرجان "&amp;(O$3+1),'25 فريق'!$A$1:$A$200,0),MATCH("توزيع الفرق*",'25 فريق'!$A$1:$A$200,0)-1)-MATCH("المهرجان "&amp;O$3,'25 فريق'!$A$1:$A$200,0),0)</f>
        <v>9</v>
      </c>
      <c r="P20" s="83">
        <f>IFERROR(IFERROR(MATCH("المهرجان "&amp;(P$3+1),'25 فريق'!$A$1:$A$200,0),MATCH("توزيع الفرق*",'25 فريق'!$A$1:$A$200,0)-1)-MATCH("المهرجان "&amp;P$3,'25 فريق'!$A$1:$A$200,0),0)</f>
        <v>9</v>
      </c>
      <c r="Q20" s="83">
        <f>IFERROR(IFERROR(MATCH("المهرجان "&amp;(Q$3+1),'25 فريق'!$A$1:$A$200,0),MATCH("توزيع الفرق*",'25 فريق'!$A$1:$A$200,0)-1)-MATCH("المهرجان "&amp;Q$3,'25 فريق'!$A$1:$A$200,0),0)</f>
        <v>10</v>
      </c>
      <c r="R20" s="83">
        <f>IFERROR(IFERROR(MATCH("المهرجان "&amp;(R$3+1),'25 فريق'!$A$1:$A$200,0),MATCH("توزيع الفرق*",'25 فريق'!$A$1:$A$200,0)-1)-MATCH("المهرجان "&amp;R$3,'25 فريق'!$A$1:$A$200,0),0)</f>
        <v>9</v>
      </c>
      <c r="S20" s="83">
        <f>IFERROR(IFERROR(MATCH("المهرجان "&amp;(S$3+1),'25 فريق'!$A$1:$A$200,0),MATCH("توزيع الفرق*",'25 فريق'!$A$1:$A$200,0)-1)-MATCH("المهرجان "&amp;S$3,'25 فريق'!$A$1:$A$200,0),0)</f>
        <v>7</v>
      </c>
    </row>
    <row r="21" spans="1:19" ht="14.5">
      <c r="A21" s="82">
        <f>'ملخص البطولات'!A21</f>
        <v>28</v>
      </c>
      <c r="B21" s="83">
        <f t="shared" si="0"/>
        <v>1</v>
      </c>
      <c r="C21" s="83">
        <f>'ملخص البطولات'!K21*المدخلات!$B$10</f>
        <v>10</v>
      </c>
      <c r="D21" s="84">
        <f>I21*المدخلات!$B$5/60</f>
        <v>2.5</v>
      </c>
      <c r="E21" s="84">
        <f t="shared" si="1"/>
        <v>25</v>
      </c>
      <c r="F21" s="83">
        <f t="shared" si="2"/>
        <v>10</v>
      </c>
      <c r="G21" s="84">
        <f t="shared" si="3"/>
        <v>25</v>
      </c>
      <c r="H21" s="83">
        <f>'ملخص البطولات'!F21</f>
        <v>7</v>
      </c>
      <c r="I21" s="83">
        <f t="shared" si="4"/>
        <v>10</v>
      </c>
      <c r="J21" s="84">
        <f t="shared" si="5"/>
        <v>175</v>
      </c>
      <c r="K21" s="83">
        <f>COUNTIFS(Sheet1!$F$2:$F$185,$A21,Sheet1!$B$2:$B$185,K$3)</f>
        <v>0</v>
      </c>
      <c r="L21" s="88">
        <f>COUNTIFS(Sheet1!$F$2:$F$185,$A21,Sheet1!$B$2:$B$185,L$3)</f>
        <v>1</v>
      </c>
      <c r="M21" s="83">
        <f>IFERROR(IFERROR(MATCH("المهرجان "&amp;(M$3+1),'28 فريق'!$A$1:$A$200,0),MATCH("توزيع الفرق*",'28 فريق'!$A$1:$A$200,0)-1)-MATCH("المهرجان "&amp;M$3,'28 فريق'!$A$1:$A$200,0),0)</f>
        <v>9</v>
      </c>
      <c r="N21" s="83">
        <f>IFERROR(IFERROR(MATCH("المهرجان "&amp;(N$3+1),'28 فريق'!$A$1:$A$200,0),MATCH("توزيع الفرق*",'28 فريق'!$A$1:$A$200,0)-1)-MATCH("المهرجان "&amp;N$3,'28 فريق'!$A$1:$A$200,0),0)</f>
        <v>10</v>
      </c>
      <c r="O21" s="83">
        <f>IFERROR(IFERROR(MATCH("المهرجان "&amp;(O$3+1),'28 فريق'!$A$1:$A$200,0),MATCH("توزيع الفرق*",'28 فريق'!$A$1:$A$200,0)-1)-MATCH("المهرجان "&amp;O$3,'28 فريق'!$A$1:$A$200,0),0)</f>
        <v>9</v>
      </c>
      <c r="P21" s="83">
        <f>IFERROR(IFERROR(MATCH("المهرجان "&amp;(P$3+1),'28 فريق'!$A$1:$A$200,0),MATCH("توزيع الفرق*",'28 فريق'!$A$1:$A$200,0)-1)-MATCH("المهرجان "&amp;P$3,'28 فريق'!$A$1:$A$200,0),0)</f>
        <v>9</v>
      </c>
      <c r="Q21" s="83">
        <f>IFERROR(IFERROR(MATCH("المهرجان "&amp;(Q$3+1),'28 فريق'!$A$1:$A$200,0),MATCH("توزيع الفرق*",'28 فريق'!$A$1:$A$200,0)-1)-MATCH("المهرجان "&amp;Q$3,'28 فريق'!$A$1:$A$200,0),0)</f>
        <v>10</v>
      </c>
      <c r="R21" s="83">
        <f>IFERROR(IFERROR(MATCH("المهرجان "&amp;(R$3+1),'28 فريق'!$A$1:$A$200,0),MATCH("توزيع الفرق*",'28 فريق'!$A$1:$A$200,0)-1)-MATCH("المهرجان "&amp;R$3,'28 فريق'!$A$1:$A$200,0),0)</f>
        <v>9</v>
      </c>
      <c r="S21" s="83">
        <f>IFERROR(IFERROR(MATCH("المهرجان "&amp;(S$3+1),'28 فريق'!$A$1:$A$200,0),MATCH("توزيع الفرق*",'28 فريق'!$A$1:$A$200,0)-1)-MATCH("المهرجان "&amp;S$3,'28 فريق'!$A$1:$A$200,0),0)</f>
        <v>6</v>
      </c>
    </row>
    <row r="22" spans="1:19" ht="14.5">
      <c r="A22" s="82">
        <f>'ملخص البطولات'!A22</f>
        <v>29</v>
      </c>
      <c r="B22" s="83">
        <f t="shared" si="0"/>
        <v>1</v>
      </c>
      <c r="C22" s="83">
        <f>'ملخص البطولات'!K22*المدخلات!$B$10</f>
        <v>11</v>
      </c>
      <c r="D22" s="84">
        <f>I22*المدخلات!$B$5/60</f>
        <v>2.5</v>
      </c>
      <c r="E22" s="84">
        <f t="shared" si="1"/>
        <v>27.5</v>
      </c>
      <c r="F22" s="83">
        <f t="shared" si="2"/>
        <v>11</v>
      </c>
      <c r="G22" s="84">
        <f t="shared" si="3"/>
        <v>27.5</v>
      </c>
      <c r="H22" s="83">
        <f>'ملخص البطولات'!F22</f>
        <v>7</v>
      </c>
      <c r="I22" s="83">
        <f t="shared" si="4"/>
        <v>10</v>
      </c>
      <c r="J22" s="84">
        <f t="shared" si="5"/>
        <v>192.5</v>
      </c>
      <c r="K22" s="83">
        <f>COUNTIFS(Sheet1!$F$2:$F$185,$A22,Sheet1!$B$2:$B$185,K$3)</f>
        <v>0</v>
      </c>
      <c r="L22" s="88">
        <f>COUNTIFS(Sheet1!$F$2:$F$185,$A22,Sheet1!$B$2:$B$185,L$3)</f>
        <v>1</v>
      </c>
      <c r="M22" s="83">
        <f>IFERROR(IFERROR(MATCH("المهرجان "&amp;(M$3+1),'29 فريق'!$A$1:$A$200,0),MATCH("توزيع الفرق*",'29 فريق'!$A$1:$A$200,0)-1)-MATCH("المهرجان "&amp;M$3,'29 فريق'!$A$1:$A$200,0),0)</f>
        <v>9</v>
      </c>
      <c r="N22" s="83">
        <f>IFERROR(IFERROR(MATCH("المهرجان "&amp;(N$3+1),'29 فريق'!$A$1:$A$200,0),MATCH("توزيع الفرق*",'29 فريق'!$A$1:$A$200,0)-1)-MATCH("المهرجان "&amp;N$3,'29 فريق'!$A$1:$A$200,0),0)</f>
        <v>10</v>
      </c>
      <c r="O22" s="83">
        <f>IFERROR(IFERROR(MATCH("المهرجان "&amp;(O$3+1),'29 فريق'!$A$1:$A$200,0),MATCH("توزيع الفرق*",'29 فريق'!$A$1:$A$200,0)-1)-MATCH("المهرجان "&amp;O$3,'29 فريق'!$A$1:$A$200,0),0)</f>
        <v>9</v>
      </c>
      <c r="P22" s="83">
        <f>IFERROR(IFERROR(MATCH("المهرجان "&amp;(P$3+1),'29 فريق'!$A$1:$A$200,0),MATCH("توزيع الفرق*",'29 فريق'!$A$1:$A$200,0)-1)-MATCH("المهرجان "&amp;P$3,'29 فريق'!$A$1:$A$200,0),0)</f>
        <v>9</v>
      </c>
      <c r="Q22" s="83">
        <f>IFERROR(IFERROR(MATCH("المهرجان "&amp;(Q$3+1),'29 فريق'!$A$1:$A$200,0),MATCH("توزيع الفرق*",'29 فريق'!$A$1:$A$200,0)-1)-MATCH("المهرجان "&amp;Q$3,'29 فريق'!$A$1:$A$200,0),0)</f>
        <v>10</v>
      </c>
      <c r="R22" s="83">
        <f>IFERROR(IFERROR(MATCH("المهرجان "&amp;(R$3+1),'29 فريق'!$A$1:$A$200,0),MATCH("توزيع الفرق*",'29 فريق'!$A$1:$A$200,0)-1)-MATCH("المهرجان "&amp;R$3,'29 فريق'!$A$1:$A$200,0),0)</f>
        <v>9</v>
      </c>
      <c r="S22" s="83">
        <f>IFERROR(IFERROR(MATCH("المهرجان "&amp;(S$3+1),'29 فريق'!$A$1:$A$200,0),MATCH("توزيع الفرق*",'29 فريق'!$A$1:$A$200,0)-1)-MATCH("المهرجان "&amp;S$3,'29 فريق'!$A$1:$A$200,0),0)</f>
        <v>6</v>
      </c>
    </row>
    <row r="23" spans="1:19" ht="14.5">
      <c r="A23" s="82">
        <f>'ملخص البطولات'!A23</f>
        <v>30</v>
      </c>
      <c r="B23" s="83">
        <f t="shared" si="0"/>
        <v>1</v>
      </c>
      <c r="C23" s="83">
        <f>'ملخص البطولات'!K23*المدخلات!$B$10</f>
        <v>12</v>
      </c>
      <c r="D23" s="84">
        <f>I23*المدخلات!$B$5/60</f>
        <v>2.25</v>
      </c>
      <c r="E23" s="84">
        <f t="shared" si="1"/>
        <v>27</v>
      </c>
      <c r="F23" s="83">
        <f t="shared" si="2"/>
        <v>12</v>
      </c>
      <c r="G23" s="84">
        <f t="shared" si="3"/>
        <v>27</v>
      </c>
      <c r="H23" s="83">
        <f>'ملخص البطولات'!F23</f>
        <v>7</v>
      </c>
      <c r="I23" s="83">
        <f t="shared" si="4"/>
        <v>9</v>
      </c>
      <c r="J23" s="84">
        <f t="shared" si="5"/>
        <v>189</v>
      </c>
      <c r="K23" s="83">
        <f>COUNTIFS(Sheet1!$F$2:$F$185,$A23,Sheet1!$B$2:$B$185,K$3)</f>
        <v>1</v>
      </c>
      <c r="L23" s="88">
        <f>COUNTIFS(Sheet1!$F$2:$F$185,$A23,Sheet1!$B$2:$B$185,L$3)</f>
        <v>0</v>
      </c>
      <c r="M23" s="83">
        <f>IFERROR(IFERROR(MATCH("المهرجان "&amp;(M$3+1),'30 فريق'!$A$1:$A$200,0),MATCH("توزيع الفرق*",'30 فريق'!$A$1:$A$200,0)-1)-MATCH("المهرجان "&amp;M$3,'30 فريق'!$A$1:$A$200,0),0)</f>
        <v>9</v>
      </c>
      <c r="N23" s="83">
        <f>IFERROR(IFERROR(MATCH("المهرجان "&amp;(N$3+1),'30 فريق'!$A$1:$A$200,0),MATCH("توزيع الفرق*",'30 فريق'!$A$1:$A$200,0)-1)-MATCH("المهرجان "&amp;N$3,'30 فريق'!$A$1:$A$200,0),0)</f>
        <v>9</v>
      </c>
      <c r="O23" s="83">
        <f>IFERROR(IFERROR(MATCH("المهرجان "&amp;(O$3+1),'30 فريق'!$A$1:$A$200,0),MATCH("توزيع الفرق*",'30 فريق'!$A$1:$A$200,0)-1)-MATCH("المهرجان "&amp;O$3,'30 فريق'!$A$1:$A$200,0),0)</f>
        <v>8</v>
      </c>
      <c r="P23" s="83">
        <f>IFERROR(IFERROR(MATCH("المهرجان "&amp;(P$3+1),'30 فريق'!$A$1:$A$200,0),MATCH("توزيع الفرق*",'30 فريق'!$A$1:$A$200,0)-1)-MATCH("المهرجان "&amp;P$3,'30 فريق'!$A$1:$A$200,0),0)</f>
        <v>8</v>
      </c>
      <c r="Q23" s="83">
        <f>IFERROR(IFERROR(MATCH("المهرجان "&amp;(Q$3+1),'30 فريق'!$A$1:$A$200,0),MATCH("توزيع الفرق*",'30 فريق'!$A$1:$A$200,0)-1)-MATCH("المهرجان "&amp;Q$3,'30 فريق'!$A$1:$A$200,0),0)</f>
        <v>9</v>
      </c>
      <c r="R23" s="83">
        <f>IFERROR(IFERROR(MATCH("المهرجان "&amp;(R$3+1),'30 فريق'!$A$1:$A$200,0),MATCH("توزيع الفرق*",'30 فريق'!$A$1:$A$200,0)-1)-MATCH("المهرجان "&amp;R$3,'30 فريق'!$A$1:$A$200,0),0)</f>
        <v>8</v>
      </c>
      <c r="S23" s="83">
        <f>IFERROR(IFERROR(MATCH("المهرجان "&amp;(S$3+1),'30 فريق'!$A$1:$A$200,0),MATCH("توزيع الفرق*",'30 فريق'!$A$1:$A$200,0)-1)-MATCH("المهرجان "&amp;S$3,'30 فريق'!$A$1:$A$200,0),0)</f>
        <v>6</v>
      </c>
    </row>
    <row r="24" spans="1:19" ht="14.5">
      <c r="A24" s="82">
        <f>'ملخص البطولات'!A24</f>
        <v>31</v>
      </c>
      <c r="B24" s="83">
        <f t="shared" si="0"/>
        <v>2</v>
      </c>
      <c r="C24" s="83">
        <f>'ملخص البطولات'!K24*المدخلات!$B$10</f>
        <v>12</v>
      </c>
      <c r="D24" s="84">
        <f>I24*المدخلات!$B$5/60</f>
        <v>3.5</v>
      </c>
      <c r="E24" s="84">
        <f t="shared" si="1"/>
        <v>42</v>
      </c>
      <c r="F24" s="83">
        <f t="shared" si="2"/>
        <v>24</v>
      </c>
      <c r="G24" s="84">
        <f t="shared" si="3"/>
        <v>84</v>
      </c>
      <c r="H24" s="83">
        <f>'ملخص البطولات'!F24</f>
        <v>7</v>
      </c>
      <c r="I24" s="83">
        <f t="shared" si="4"/>
        <v>14</v>
      </c>
      <c r="J24" s="84">
        <f t="shared" si="5"/>
        <v>588</v>
      </c>
      <c r="K24" s="83">
        <f>COUNTIFS(Sheet1!$F$2:$F$185,$A24,Sheet1!$B$2:$B$185,K$3)</f>
        <v>1</v>
      </c>
      <c r="L24" s="88">
        <f>COUNTIFS(Sheet1!$F$2:$F$185,$A24,Sheet1!$B$2:$B$185,L$3)</f>
        <v>1</v>
      </c>
      <c r="M24" s="83">
        <f>IFERROR(IFERROR(MATCH("المهرجان "&amp;(M$3+1),'31 فريق'!$A$1:$A$200,0),MATCH("توزيع الفرق*",'31 فريق'!$A$1:$A$200,0)-1)-MATCH("المهرجان "&amp;M$3,'31 فريق'!$A$1:$A$200,0),0)</f>
        <v>9</v>
      </c>
      <c r="N24" s="83">
        <f>IFERROR(IFERROR(MATCH("المهرجان "&amp;(N$3+1),'31 فريق'!$A$1:$A$200,0),MATCH("توزيع الفرق*",'31 فريق'!$A$1:$A$200,0)-1)-MATCH("المهرجان "&amp;N$3,'31 فريق'!$A$1:$A$200,0),0)</f>
        <v>9</v>
      </c>
      <c r="O24" s="83">
        <f>IFERROR(IFERROR(MATCH("المهرجان "&amp;(O$3+1),'31 فريق'!$A$1:$A$200,0),MATCH("توزيع الفرق*",'31 فريق'!$A$1:$A$200,0)-1)-MATCH("المهرجان "&amp;O$3,'31 فريق'!$A$1:$A$200,0),0)</f>
        <v>10</v>
      </c>
      <c r="P24" s="83">
        <f>IFERROR(IFERROR(MATCH("المهرجان "&amp;(P$3+1),'31 فريق'!$A$1:$A$200,0),MATCH("توزيع الفرق*",'31 فريق'!$A$1:$A$200,0)-1)-MATCH("المهرجان "&amp;P$3,'31 فريق'!$A$1:$A$200,0),0)</f>
        <v>10</v>
      </c>
      <c r="Q24" s="83">
        <f>IFERROR(IFERROR(MATCH("المهرجان "&amp;(Q$3+1),'31 فريق'!$A$1:$A$200,0),MATCH("توزيع الفرق*",'31 فريق'!$A$1:$A$200,0)-1)-MATCH("المهرجان "&amp;Q$3,'31 فريق'!$A$1:$A$200,0),0)</f>
        <v>10</v>
      </c>
      <c r="R24" s="83">
        <f>IFERROR(IFERROR(MATCH("المهرجان "&amp;(R$3+1),'31 فريق'!$A$1:$A$200,0),MATCH("توزيع الفرق*",'31 فريق'!$A$1:$A$200,0)-1)-MATCH("المهرجان "&amp;R$3,'31 فريق'!$A$1:$A$200,0),0)</f>
        <v>10</v>
      </c>
      <c r="S24" s="83">
        <f>IFERROR(IFERROR(MATCH("المهرجان "&amp;(S$3+1),'31 فريق'!$A$1:$A$200,0),MATCH("توزيع الفرق*",'31 فريق'!$A$1:$A$200,0)-1)-MATCH("المهرجان "&amp;S$3,'31 فريق'!$A$1:$A$200,0),0)</f>
        <v>14</v>
      </c>
    </row>
    <row r="25" spans="1:19" ht="14.5">
      <c r="A25" s="82">
        <f>'ملخص البطولات'!A25</f>
        <v>40</v>
      </c>
      <c r="B25" s="83">
        <f t="shared" si="0"/>
        <v>1</v>
      </c>
      <c r="C25" s="83">
        <f>'ملخص البطولات'!K25*المدخلات!$B$10</f>
        <v>16</v>
      </c>
      <c r="D25" s="84">
        <f>I25*المدخلات!$B$5/60</f>
        <v>2.25</v>
      </c>
      <c r="E25" s="84">
        <f t="shared" si="1"/>
        <v>36</v>
      </c>
      <c r="F25" s="83">
        <f t="shared" si="2"/>
        <v>16</v>
      </c>
      <c r="G25" s="84">
        <f t="shared" si="3"/>
        <v>36</v>
      </c>
      <c r="H25" s="83">
        <f>'ملخص البطولات'!F25</f>
        <v>7</v>
      </c>
      <c r="I25" s="83">
        <f t="shared" si="4"/>
        <v>9</v>
      </c>
      <c r="J25" s="84">
        <f t="shared" si="5"/>
        <v>252</v>
      </c>
      <c r="K25" s="83">
        <f>COUNTIFS(Sheet1!$F$2:$F$185,$A25,Sheet1!$B$2:$B$185,K$3)</f>
        <v>0</v>
      </c>
      <c r="L25" s="88">
        <f>COUNTIFS(Sheet1!$F$2:$F$185,$A25,Sheet1!$B$2:$B$185,L$3)</f>
        <v>1</v>
      </c>
      <c r="M25" s="83">
        <f>IFERROR(IFERROR(MATCH("المهرجان "&amp;(M$3+1),'40 فريق'!$A$1:$A$200,0),MATCH("توزيع الفرق*",'40 فريق'!$A$1:$A$200,0)-1)-MATCH("المهرجان "&amp;M$3,'40 فريق'!$A$1:$A$200,0),0)</f>
        <v>9</v>
      </c>
      <c r="N25" s="83">
        <f>IFERROR(IFERROR(MATCH("المهرجان "&amp;(N$3+1),'40 فريق'!$A$1:$A$200,0),MATCH("توزيع الفرق*",'40 فريق'!$A$1:$A$200,0)-1)-MATCH("المهرجان "&amp;N$3,'40 فريق'!$A$1:$A$200,0),0)</f>
        <v>9</v>
      </c>
      <c r="O25" s="83">
        <f>IFERROR(IFERROR(MATCH("المهرجان "&amp;(O$3+1),'40 فريق'!$A$1:$A$200,0),MATCH("توزيع الفرق*",'40 فريق'!$A$1:$A$200,0)-1)-MATCH("المهرجان "&amp;O$3,'40 فريق'!$A$1:$A$200,0),0)</f>
        <v>8</v>
      </c>
      <c r="P25" s="83">
        <f>IFERROR(IFERROR(MATCH("المهرجان "&amp;(P$3+1),'40 فريق'!$A$1:$A$200,0),MATCH("توزيع الفرق*",'40 فريق'!$A$1:$A$200,0)-1)-MATCH("المهرجان "&amp;P$3,'40 فريق'!$A$1:$A$200,0),0)</f>
        <v>8</v>
      </c>
      <c r="Q25" s="83">
        <f>IFERROR(IFERROR(MATCH("المهرجان "&amp;(Q$3+1),'40 فريق'!$A$1:$A$200,0),MATCH("توزيع الفرق*",'40 فريق'!$A$1:$A$200,0)-1)-MATCH("المهرجان "&amp;Q$3,'40 فريق'!$A$1:$A$200,0),0)</f>
        <v>9</v>
      </c>
      <c r="R25" s="83">
        <f>IFERROR(IFERROR(MATCH("المهرجان "&amp;(R$3+1),'40 فريق'!$A$1:$A$200,0),MATCH("توزيع الفرق*",'40 فريق'!$A$1:$A$200,0)-1)-MATCH("المهرجان "&amp;R$3,'40 فريق'!$A$1:$A$200,0),0)</f>
        <v>8</v>
      </c>
      <c r="S25" s="83">
        <f>IFERROR(IFERROR(MATCH("المهرجان "&amp;(S$3+1),'40 فريق'!$A$1:$A$200,0),MATCH("توزيع الفرق*",'40 فريق'!$A$1:$A$200,0)-1)-MATCH("المهرجان "&amp;S$3,'40 فريق'!$A$1:$A$200,0),0)</f>
        <v>6</v>
      </c>
    </row>
    <row r="26" spans="1:19" ht="14.5">
      <c r="A26" s="90">
        <f>'ملخص البطولات'!A26</f>
        <v>49</v>
      </c>
      <c r="B26" s="91">
        <f t="shared" si="0"/>
        <v>1</v>
      </c>
      <c r="C26" s="91">
        <f>'ملخص البطولات'!K26*المدخلات!$B$10</f>
        <v>16</v>
      </c>
      <c r="D26" s="92">
        <f>I26*المدخلات!$B$5/60</f>
        <v>2.25</v>
      </c>
      <c r="E26" s="92">
        <f t="shared" si="1"/>
        <v>36</v>
      </c>
      <c r="F26" s="91">
        <f t="shared" si="2"/>
        <v>16</v>
      </c>
      <c r="G26" s="92">
        <f t="shared" si="3"/>
        <v>36</v>
      </c>
      <c r="H26" s="91">
        <f>'ملخص البطولات'!F26</f>
        <v>6</v>
      </c>
      <c r="I26" s="91">
        <f t="shared" si="4"/>
        <v>9</v>
      </c>
      <c r="J26" s="92">
        <f t="shared" si="5"/>
        <v>216</v>
      </c>
      <c r="K26" s="91">
        <f>COUNTIFS(Sheet1!$F$2:$F$185,$A26,Sheet1!$B$2:$B$185,K$3)</f>
        <v>0</v>
      </c>
      <c r="L26" s="93">
        <f>COUNTIFS(Sheet1!$F$2:$F$185,$A26,Sheet1!$B$2:$B$185,L$3)</f>
        <v>1</v>
      </c>
      <c r="M26" s="83">
        <f>IFERROR(IFERROR(MATCH("المهرجان "&amp;(M$3+1),'49 فريق'!$A$1:$A$200,0),MATCH("توزيع الفرق*",'49 فريق'!$A$1:$A$200,0)-1)-MATCH("المهرجان "&amp;M$3,'49 فريق'!$A$1:$A$200,0),0)</f>
        <v>9</v>
      </c>
      <c r="N26" s="83">
        <f>IFERROR(IFERROR(MATCH("المهرجان "&amp;(N$3+1),'49 فريق'!$A$1:$A$200,0),MATCH("توزيع الفرق*",'49 فريق'!$A$1:$A$200,0)-1)-MATCH("المهرجان "&amp;N$3,'49 فريق'!$A$1:$A$200,0),0)</f>
        <v>9</v>
      </c>
      <c r="O26" s="83">
        <f>IFERROR(IFERROR(MATCH("المهرجان "&amp;(O$3+1),'49 فريق'!$A$1:$A$200,0),MATCH("توزيع الفرق*",'49 فريق'!$A$1:$A$200,0)-1)-MATCH("المهرجان "&amp;O$3,'49 فريق'!$A$1:$A$200,0),0)</f>
        <v>9</v>
      </c>
      <c r="P26" s="83">
        <f>IFERROR(IFERROR(MATCH("المهرجان "&amp;(P$3+1),'49 فريق'!$A$1:$A$200,0),MATCH("توزيع الفرق*",'49 فريق'!$A$1:$A$200,0)-1)-MATCH("المهرجان "&amp;P$3,'49 فريق'!$A$1:$A$200,0),0)</f>
        <v>9</v>
      </c>
      <c r="Q26" s="83">
        <f>IFERROR(IFERROR(MATCH("المهرجان "&amp;(Q$3+1),'49 فريق'!$A$1:$A$200,0),MATCH("توزيع الفرق*",'49 فريق'!$A$1:$A$200,0)-1)-MATCH("المهرجان "&amp;Q$3,'49 فريق'!$A$1:$A$200,0),0)</f>
        <v>9</v>
      </c>
      <c r="R26" s="83">
        <f>IFERROR(IFERROR(MATCH("المهرجان "&amp;(R$3+1),'49 فريق'!$A$1:$A$200,0),MATCH("توزيع الفرق*",'49 فريق'!$A$1:$A$200,0)-1)-MATCH("المهرجان "&amp;R$3,'49 فريق'!$A$1:$A$200,0),0)</f>
        <v>9</v>
      </c>
      <c r="S26" s="83">
        <f>IFERROR(IFERROR(MATCH("المهرجان "&amp;(S$3+1),'49 فريق'!$A$1:$A$200,0),MATCH("توزيع الفرق*",'49 فريق'!$A$1:$A$200,0)-1)-MATCH("المهرجان "&amp;S$3,'49 فريق'!$A$1:$A$200,0),0)</f>
        <v>0</v>
      </c>
    </row>
    <row r="27" spans="1:19" ht="14.5">
      <c r="A27" s="85" t="s">
        <v>700</v>
      </c>
      <c r="B27" s="86">
        <f>SUM(B4:B26)</f>
        <v>52</v>
      </c>
      <c r="C27" s="86"/>
      <c r="D27" s="87"/>
      <c r="E27" s="87"/>
      <c r="F27" s="86">
        <f>SUM(F4:F26)</f>
        <v>278</v>
      </c>
      <c r="G27" s="87">
        <f>SUM(G4:G26)</f>
        <v>679</v>
      </c>
      <c r="H27" s="86"/>
      <c r="I27" s="86"/>
      <c r="J27" s="87">
        <f>SUM(J4:J26)</f>
        <v>4586.5</v>
      </c>
      <c r="K27" s="86">
        <f>SUM(K4:K26)</f>
        <v>24</v>
      </c>
      <c r="L27" s="86">
        <f>SUM(L4:L26)</f>
        <v>28</v>
      </c>
      <c r="M27" s="76"/>
      <c r="N27" s="76"/>
      <c r="O27" s="76"/>
      <c r="P27" s="76"/>
      <c r="Q27" s="76"/>
      <c r="R27" s="76"/>
      <c r="S27" s="76"/>
    </row>
    <row r="28" spans="1:19" ht="14.5">
      <c r="A28" s="76"/>
      <c r="B28" s="76"/>
      <c r="C28" s="76"/>
      <c r="D28" s="76"/>
      <c r="E28" s="76"/>
      <c r="F28" s="76"/>
      <c r="G28" s="76"/>
      <c r="H28" s="76"/>
      <c r="I28" s="76"/>
      <c r="J28" s="76"/>
      <c r="K28" s="76"/>
      <c r="L28" s="76"/>
      <c r="M28" s="76"/>
      <c r="N28" s="76"/>
      <c r="O28" s="76"/>
      <c r="P28" s="76"/>
      <c r="Q28" s="76"/>
      <c r="R28" s="76"/>
      <c r="S28" s="76"/>
    </row>
    <row r="29" spans="1:19" ht="14.5">
      <c r="A29" s="150" t="s">
        <v>706</v>
      </c>
      <c r="B29" s="150"/>
      <c r="C29" s="79">
        <f>SUMPRODUCT(K4:K26,C4:C26)</f>
        <v>117</v>
      </c>
      <c r="D29" s="76"/>
      <c r="E29" s="76"/>
      <c r="F29" s="76"/>
      <c r="G29" s="76"/>
      <c r="H29" s="76"/>
      <c r="I29" s="76"/>
      <c r="J29" s="76"/>
      <c r="K29" s="76"/>
      <c r="L29" s="76"/>
      <c r="M29" s="76"/>
      <c r="N29" s="76"/>
      <c r="O29" s="76"/>
      <c r="P29" s="76"/>
      <c r="Q29" s="76"/>
      <c r="R29" s="76"/>
      <c r="S29" s="76"/>
    </row>
    <row r="30" spans="1:19" ht="14.5">
      <c r="A30" s="150" t="s">
        <v>707</v>
      </c>
      <c r="B30" s="150"/>
      <c r="C30" s="79">
        <f>SUMPRODUCT(L4:L26,C4:C26)</f>
        <v>161</v>
      </c>
      <c r="D30" s="76"/>
      <c r="E30" s="76"/>
      <c r="F30" s="76"/>
      <c r="G30" s="76"/>
      <c r="H30" s="76"/>
      <c r="I30" s="76"/>
      <c r="J30" s="76"/>
      <c r="K30" s="76"/>
      <c r="L30" s="76"/>
      <c r="M30" s="76"/>
      <c r="N30" s="76"/>
      <c r="O30" s="76"/>
      <c r="P30" s="76"/>
      <c r="Q30" s="76"/>
      <c r="R30" s="76"/>
      <c r="S30" s="76"/>
    </row>
    <row r="31" spans="1:19" ht="14.5">
      <c r="A31" s="76"/>
      <c r="B31" s="76"/>
      <c r="C31" s="76"/>
      <c r="D31" s="76"/>
      <c r="E31" s="76"/>
      <c r="F31" s="76"/>
      <c r="G31" s="76"/>
      <c r="H31" s="76"/>
      <c r="I31" s="76"/>
      <c r="J31" s="76"/>
      <c r="K31" s="76"/>
      <c r="L31" s="76"/>
      <c r="M31" s="76"/>
      <c r="N31" s="76"/>
      <c r="O31" s="76"/>
      <c r="P31" s="76"/>
      <c r="Q31" s="76"/>
      <c r="R31" s="76"/>
      <c r="S31" s="76"/>
    </row>
    <row r="32" spans="1:19" ht="14.5">
      <c r="A32" s="77" t="s">
        <v>679</v>
      </c>
      <c r="B32" s="76"/>
      <c r="C32" s="76"/>
      <c r="D32" s="76"/>
      <c r="E32" s="76"/>
      <c r="F32" s="76"/>
      <c r="G32" s="76"/>
      <c r="H32" s="76"/>
      <c r="I32" s="76"/>
      <c r="J32" s="76"/>
      <c r="K32" s="76"/>
      <c r="L32" s="76"/>
      <c r="M32" s="76"/>
      <c r="N32" s="76"/>
      <c r="O32" s="76"/>
      <c r="P32" s="76"/>
      <c r="Q32" s="76"/>
      <c r="R32" s="76"/>
      <c r="S32" s="76"/>
    </row>
    <row r="33" spans="1:19" ht="14.5">
      <c r="A33" s="76" t="s">
        <v>708</v>
      </c>
      <c r="B33" s="76"/>
      <c r="C33" s="76"/>
      <c r="D33" s="76"/>
      <c r="E33" s="76"/>
      <c r="F33" s="76"/>
      <c r="G33" s="76"/>
      <c r="H33" s="76"/>
      <c r="I33" s="76"/>
      <c r="J33" s="76"/>
      <c r="K33" s="76"/>
      <c r="L33" s="76"/>
      <c r="M33" s="76"/>
      <c r="N33" s="76"/>
      <c r="O33" s="76"/>
      <c r="P33" s="76"/>
      <c r="Q33" s="76"/>
      <c r="R33" s="76"/>
      <c r="S33" s="76"/>
    </row>
    <row r="34" spans="1:19" ht="14.5">
      <c r="A34" s="76" t="s">
        <v>709</v>
      </c>
      <c r="B34" s="76"/>
      <c r="C34" s="76"/>
      <c r="D34" s="76"/>
      <c r="E34" s="76"/>
      <c r="F34" s="76"/>
      <c r="G34" s="76"/>
      <c r="H34" s="76"/>
      <c r="I34" s="76"/>
      <c r="J34" s="76"/>
      <c r="K34" s="76"/>
      <c r="L34" s="76"/>
      <c r="M34" s="76"/>
      <c r="N34" s="76"/>
      <c r="O34" s="76"/>
      <c r="P34" s="76"/>
      <c r="Q34" s="76"/>
      <c r="R34" s="76"/>
      <c r="S34" s="76"/>
    </row>
    <row r="35" spans="1:19" ht="14.5">
      <c r="A35" s="76" t="s">
        <v>701</v>
      </c>
      <c r="B35" s="76"/>
      <c r="C35" s="76"/>
      <c r="D35" s="76"/>
      <c r="E35" s="76"/>
      <c r="F35" s="76"/>
      <c r="G35" s="76"/>
      <c r="H35" s="76"/>
      <c r="I35" s="76"/>
      <c r="J35" s="76"/>
      <c r="K35" s="76"/>
      <c r="L35" s="76"/>
      <c r="M35" s="76"/>
      <c r="N35" s="76"/>
      <c r="O35" s="76"/>
      <c r="P35" s="76"/>
      <c r="Q35" s="76"/>
      <c r="R35" s="76"/>
      <c r="S35" s="76"/>
    </row>
  </sheetData>
  <mergeCells count="5">
    <mergeCell ref="A1:L1"/>
    <mergeCell ref="K2:L2"/>
    <mergeCell ref="M2:S2"/>
    <mergeCell ref="A29:B29"/>
    <mergeCell ref="A30:B3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FBBA-D4D9-4A04-A6C8-8A646E97BB6A}">
  <dimension ref="A1:P39"/>
  <sheetViews>
    <sheetView rightToLeft="1" workbookViewId="0">
      <pane ySplit="4" topLeftCell="A5" activePane="bottomLeft" state="frozen"/>
      <selection pane="bottomLeft" activeCell="C20" sqref="C20"/>
    </sheetView>
  </sheetViews>
  <sheetFormatPr defaultRowHeight="14"/>
  <cols>
    <col min="1" max="1" width="21.6640625" customWidth="1"/>
    <col min="2" max="15" width="15.83203125" customWidth="1"/>
    <col min="16" max="16" width="20" customWidth="1"/>
  </cols>
  <sheetData>
    <row r="1" spans="1:16" ht="17">
      <c r="A1" s="119" t="s">
        <v>673</v>
      </c>
      <c r="B1" s="119"/>
      <c r="C1" s="119"/>
      <c r="D1" s="119"/>
      <c r="E1" s="119"/>
      <c r="F1" s="119"/>
      <c r="G1" s="119"/>
      <c r="H1" s="119"/>
      <c r="I1" s="119"/>
      <c r="J1" s="119"/>
      <c r="K1" s="119"/>
      <c r="L1" s="119"/>
      <c r="M1" s="119"/>
      <c r="N1" s="119"/>
      <c r="O1" s="119"/>
      <c r="P1" s="119"/>
    </row>
    <row r="2" spans="1:16" ht="14.5">
      <c r="A2" s="18"/>
      <c r="B2" s="18"/>
      <c r="C2" s="18"/>
      <c r="D2" s="18"/>
      <c r="E2" s="18"/>
      <c r="F2" s="18"/>
      <c r="G2" s="18"/>
      <c r="H2" s="18"/>
      <c r="I2" s="18"/>
      <c r="J2" s="18"/>
      <c r="K2" s="18"/>
      <c r="L2" s="56"/>
      <c r="M2" s="56"/>
      <c r="N2" s="56"/>
      <c r="O2" s="56"/>
      <c r="P2" s="56"/>
    </row>
    <row r="3" spans="1:16" ht="14.5">
      <c r="A3" s="135" t="s">
        <v>364</v>
      </c>
      <c r="B3" s="135" t="s">
        <v>564</v>
      </c>
      <c r="C3" s="135"/>
      <c r="D3" s="135"/>
      <c r="E3" s="135"/>
      <c r="F3" s="135" t="s">
        <v>565</v>
      </c>
      <c r="G3" s="135"/>
      <c r="H3" s="135"/>
      <c r="I3" s="135"/>
      <c r="J3" s="135" t="s">
        <v>663</v>
      </c>
      <c r="K3" s="151"/>
      <c r="L3" s="135" t="s">
        <v>683</v>
      </c>
      <c r="M3" s="135"/>
      <c r="N3" s="135"/>
      <c r="O3" s="135"/>
      <c r="P3" s="135"/>
    </row>
    <row r="4" spans="1:16" ht="48" customHeight="1">
      <c r="A4" s="141"/>
      <c r="B4" s="54" t="s">
        <v>76</v>
      </c>
      <c r="C4" s="54" t="s">
        <v>674</v>
      </c>
      <c r="D4" s="54" t="s">
        <v>675</v>
      </c>
      <c r="E4" s="54" t="s">
        <v>676</v>
      </c>
      <c r="F4" s="54" t="s">
        <v>76</v>
      </c>
      <c r="G4" s="54" t="s">
        <v>674</v>
      </c>
      <c r="H4" s="54" t="s">
        <v>675</v>
      </c>
      <c r="I4" s="54" t="s">
        <v>676</v>
      </c>
      <c r="J4" s="54" t="s">
        <v>677</v>
      </c>
      <c r="K4" s="70" t="s">
        <v>678</v>
      </c>
      <c r="L4" s="54" t="s">
        <v>684</v>
      </c>
      <c r="M4" s="54" t="s">
        <v>685</v>
      </c>
      <c r="N4" s="54" t="s">
        <v>686</v>
      </c>
      <c r="O4" s="54" t="s">
        <v>687</v>
      </c>
      <c r="P4" s="54" t="s">
        <v>688</v>
      </c>
    </row>
    <row r="5" spans="1:16" ht="14.5">
      <c r="A5" s="25" t="str">
        <f>'ملاعب تحت 7 وتحت 9'!A6</f>
        <v>مجموعة طبرجل</v>
      </c>
      <c r="B5" s="59">
        <f>'ملاعب تحت 7 وتحت 9'!B6</f>
        <v>5</v>
      </c>
      <c r="C5" s="59">
        <f>'ملاعب تحت 7 وتحت 9'!E6</f>
        <v>1</v>
      </c>
      <c r="D5" s="67">
        <f>IF(B5=0,0,INDEX('ملخص البطولات'!$J$4:$J$26,MATCH(B5,'ملخص البطولات'!$A$4:$A$26,0))*24)</f>
        <v>2.5</v>
      </c>
      <c r="E5" s="67">
        <f t="shared" ref="E5:E32" si="0">C5*D5</f>
        <v>2.5</v>
      </c>
      <c r="F5" s="59">
        <f>'ملاعب تحت 7 وتحت 9'!F6</f>
        <v>6</v>
      </c>
      <c r="G5" s="59">
        <f>'ملاعب تحت 7 وتحت 9'!I6</f>
        <v>3</v>
      </c>
      <c r="H5" s="67">
        <f>IF(F5=0,0,INDEX('ملخص البطولات'!$J$4:$J$26,MATCH(F5,'ملخص البطولات'!$A$4:$A$26,0))*24)</f>
        <v>2.25</v>
      </c>
      <c r="I5" s="67">
        <f t="shared" ref="I5:I32" si="1">G5*H5</f>
        <v>6.75</v>
      </c>
      <c r="J5" s="59">
        <f t="shared" ref="J5:J32" si="2">MAX(C5,G5)</f>
        <v>3</v>
      </c>
      <c r="K5" s="71">
        <f t="shared" ref="K5:K32" si="3">E5+I5</f>
        <v>9.25</v>
      </c>
      <c r="L5" s="59">
        <f>IF(B5=0,0,INDEX('ملخص البطولات'!$F$4:$F$26,MATCH(B5,'ملخص البطولات'!$A$4:$A$26,0)))</f>
        <v>7</v>
      </c>
      <c r="M5" s="67">
        <f t="shared" ref="M5:M32" si="4">E5*L5</f>
        <v>17.5</v>
      </c>
      <c r="N5" s="59">
        <f>IF(F5=0,0,INDEX('ملخص البطولات'!$F$4:$F$26,MATCH(F5,'ملخص البطولات'!$A$4:$A$26,0)))</f>
        <v>6</v>
      </c>
      <c r="O5" s="67">
        <f t="shared" ref="O5:O32" si="5">I5*N5</f>
        <v>40.5</v>
      </c>
      <c r="P5" s="73">
        <f t="shared" ref="P5:P32" si="6">M5+O5</f>
        <v>58</v>
      </c>
    </row>
    <row r="6" spans="1:16" ht="14.5">
      <c r="A6" s="25" t="str">
        <f>'ملاعب تحت 7 وتحت 9'!A7</f>
        <v>مجموعة الخرج</v>
      </c>
      <c r="B6" s="59">
        <f>'ملاعب تحت 7 وتحت 9'!B7</f>
        <v>0</v>
      </c>
      <c r="C6" s="59">
        <f>'ملاعب تحت 7 وتحت 9'!E7</f>
        <v>0</v>
      </c>
      <c r="D6" s="67">
        <f>IF(B6=0,0,INDEX('ملخص البطولات'!$J$4:$J$26,MATCH(B6,'ملخص البطولات'!$A$4:$A$26,0))*24)</f>
        <v>0</v>
      </c>
      <c r="E6" s="67">
        <f t="shared" si="0"/>
        <v>0</v>
      </c>
      <c r="F6" s="59">
        <f>'ملاعب تحت 7 وتحت 9'!F7</f>
        <v>5</v>
      </c>
      <c r="G6" s="59">
        <f>'ملاعب تحت 7 وتحت 9'!I7</f>
        <v>1</v>
      </c>
      <c r="H6" s="67">
        <f>IF(F6=0,0,INDEX('ملخص البطولات'!$J$4:$J$26,MATCH(F6,'ملخص البطولات'!$A$4:$A$26,0))*24)</f>
        <v>2.5</v>
      </c>
      <c r="I6" s="67">
        <f t="shared" si="1"/>
        <v>2.5</v>
      </c>
      <c r="J6" s="59">
        <f t="shared" si="2"/>
        <v>1</v>
      </c>
      <c r="K6" s="71">
        <f t="shared" si="3"/>
        <v>2.5</v>
      </c>
      <c r="L6" s="59">
        <f>IF(B6=0,0,INDEX('ملخص البطولات'!$F$4:$F$26,MATCH(B6,'ملخص البطولات'!$A$4:$A$26,0)))</f>
        <v>0</v>
      </c>
      <c r="M6" s="67">
        <f t="shared" si="4"/>
        <v>0</v>
      </c>
      <c r="N6" s="59">
        <f>IF(F6=0,0,INDEX('ملخص البطولات'!$F$4:$F$26,MATCH(F6,'ملخص البطولات'!$A$4:$A$26,0)))</f>
        <v>7</v>
      </c>
      <c r="O6" s="67">
        <f t="shared" si="5"/>
        <v>17.5</v>
      </c>
      <c r="P6" s="73">
        <f t="shared" si="6"/>
        <v>17.5</v>
      </c>
    </row>
    <row r="7" spans="1:16" ht="14.5">
      <c r="A7" s="25" t="str">
        <f>'ملاعب تحت 7 وتحت 9'!A8</f>
        <v>مجموعة شرورة</v>
      </c>
      <c r="B7" s="59">
        <f>'ملاعب تحت 7 وتحت 9'!B8</f>
        <v>5</v>
      </c>
      <c r="C7" s="59">
        <f>'ملاعب تحت 7 وتحت 9'!E8</f>
        <v>1</v>
      </c>
      <c r="D7" s="67">
        <f>IF(B7=0,0,INDEX('ملخص البطولات'!$J$4:$J$26,MATCH(B7,'ملخص البطولات'!$A$4:$A$26,0))*24)</f>
        <v>2.5</v>
      </c>
      <c r="E7" s="67">
        <f t="shared" si="0"/>
        <v>2.5</v>
      </c>
      <c r="F7" s="59">
        <f>'ملاعب تحت 7 وتحت 9'!F8</f>
        <v>5</v>
      </c>
      <c r="G7" s="59">
        <f>'ملاعب تحت 7 وتحت 9'!I8</f>
        <v>1</v>
      </c>
      <c r="H7" s="67">
        <f>IF(F7=0,0,INDEX('ملخص البطولات'!$J$4:$J$26,MATCH(F7,'ملخص البطولات'!$A$4:$A$26,0))*24)</f>
        <v>2.5</v>
      </c>
      <c r="I7" s="67">
        <f t="shared" si="1"/>
        <v>2.5</v>
      </c>
      <c r="J7" s="59">
        <f t="shared" si="2"/>
        <v>1</v>
      </c>
      <c r="K7" s="71">
        <f t="shared" si="3"/>
        <v>5</v>
      </c>
      <c r="L7" s="59">
        <f>IF(B7=0,0,INDEX('ملخص البطولات'!$F$4:$F$26,MATCH(B7,'ملخص البطولات'!$A$4:$A$26,0)))</f>
        <v>7</v>
      </c>
      <c r="M7" s="67">
        <f t="shared" si="4"/>
        <v>17.5</v>
      </c>
      <c r="N7" s="59">
        <f>IF(F7=0,0,INDEX('ملخص البطولات'!$F$4:$F$26,MATCH(F7,'ملخص البطولات'!$A$4:$A$26,0)))</f>
        <v>7</v>
      </c>
      <c r="O7" s="67">
        <f t="shared" si="5"/>
        <v>17.5</v>
      </c>
      <c r="P7" s="73">
        <f t="shared" si="6"/>
        <v>35</v>
      </c>
    </row>
    <row r="8" spans="1:16" ht="14.5">
      <c r="A8" s="25" t="str">
        <f>'ملاعب تحت 7 وتحت 9'!A9</f>
        <v>مجموعة الدوادمي</v>
      </c>
      <c r="B8" s="59">
        <f>'ملاعب تحت 7 وتحت 9'!B9</f>
        <v>0</v>
      </c>
      <c r="C8" s="59">
        <f>'ملاعب تحت 7 وتحت 9'!E9</f>
        <v>0</v>
      </c>
      <c r="D8" s="67">
        <f>IF(B8=0,0,INDEX('ملخص البطولات'!$J$4:$J$26,MATCH(B8,'ملخص البطولات'!$A$4:$A$26,0))*24)</f>
        <v>0</v>
      </c>
      <c r="E8" s="67">
        <f t="shared" si="0"/>
        <v>0</v>
      </c>
      <c r="F8" s="59">
        <f>'ملاعب تحت 7 وتحت 9'!F9</f>
        <v>5</v>
      </c>
      <c r="G8" s="59">
        <f>'ملاعب تحت 7 وتحت 9'!I9</f>
        <v>1</v>
      </c>
      <c r="H8" s="67">
        <f>IF(F8=0,0,INDEX('ملخص البطولات'!$J$4:$J$26,MATCH(F8,'ملخص البطولات'!$A$4:$A$26,0))*24)</f>
        <v>2.5</v>
      </c>
      <c r="I8" s="67">
        <f t="shared" si="1"/>
        <v>2.5</v>
      </c>
      <c r="J8" s="59">
        <f t="shared" si="2"/>
        <v>1</v>
      </c>
      <c r="K8" s="71">
        <f t="shared" si="3"/>
        <v>2.5</v>
      </c>
      <c r="L8" s="59">
        <f>IF(B8=0,0,INDEX('ملخص البطولات'!$F$4:$F$26,MATCH(B8,'ملخص البطولات'!$A$4:$A$26,0)))</f>
        <v>0</v>
      </c>
      <c r="M8" s="67">
        <f t="shared" si="4"/>
        <v>0</v>
      </c>
      <c r="N8" s="59">
        <f>IF(F8=0,0,INDEX('ملخص البطولات'!$F$4:$F$26,MATCH(F8,'ملخص البطولات'!$A$4:$A$26,0)))</f>
        <v>7</v>
      </c>
      <c r="O8" s="67">
        <f t="shared" si="5"/>
        <v>17.5</v>
      </c>
      <c r="P8" s="73">
        <f t="shared" si="6"/>
        <v>17.5</v>
      </c>
    </row>
    <row r="9" spans="1:16" ht="14.5">
      <c r="A9" s="25" t="str">
        <f>'ملاعب تحت 7 وتحت 9'!A10</f>
        <v>مجموعة القريات</v>
      </c>
      <c r="B9" s="59">
        <f>'ملاعب تحت 7 وتحت 9'!B10</f>
        <v>7</v>
      </c>
      <c r="C9" s="59">
        <f>'ملاعب تحت 7 وتحت 9'!E10</f>
        <v>2</v>
      </c>
      <c r="D9" s="67">
        <f>IF(B9=0,0,INDEX('ملخص البطولات'!$J$4:$J$26,MATCH(B9,'ملخص البطولات'!$A$4:$A$26,0))*24)</f>
        <v>2.5</v>
      </c>
      <c r="E9" s="67">
        <f t="shared" si="0"/>
        <v>5</v>
      </c>
      <c r="F9" s="59">
        <f>'ملاعب تحت 7 وتحت 9'!F10</f>
        <v>6</v>
      </c>
      <c r="G9" s="59">
        <f>'ملاعب تحت 7 وتحت 9'!I10</f>
        <v>3</v>
      </c>
      <c r="H9" s="67">
        <f>IF(F9=0,0,INDEX('ملخص البطولات'!$J$4:$J$26,MATCH(F9,'ملخص البطولات'!$A$4:$A$26,0))*24)</f>
        <v>2.25</v>
      </c>
      <c r="I9" s="67">
        <f t="shared" si="1"/>
        <v>6.75</v>
      </c>
      <c r="J9" s="59">
        <f t="shared" si="2"/>
        <v>3</v>
      </c>
      <c r="K9" s="71">
        <f t="shared" si="3"/>
        <v>11.75</v>
      </c>
      <c r="L9" s="59">
        <f>IF(B9=0,0,INDEX('ملخص البطولات'!$F$4:$F$26,MATCH(B9,'ملخص البطولات'!$A$4:$A$26,0)))</f>
        <v>6</v>
      </c>
      <c r="M9" s="67">
        <f t="shared" si="4"/>
        <v>30</v>
      </c>
      <c r="N9" s="59">
        <f>IF(F9=0,0,INDEX('ملخص البطولات'!$F$4:$F$26,MATCH(F9,'ملخص البطولات'!$A$4:$A$26,0)))</f>
        <v>6</v>
      </c>
      <c r="O9" s="67">
        <f t="shared" si="5"/>
        <v>40.5</v>
      </c>
      <c r="P9" s="73">
        <f t="shared" si="6"/>
        <v>70.5</v>
      </c>
    </row>
    <row r="10" spans="1:16" ht="14.5">
      <c r="A10" s="25" t="str">
        <f>'ملاعب تحت 7 وتحت 9'!A11</f>
        <v>مجموعة الباحة</v>
      </c>
      <c r="B10" s="59">
        <f>'ملاعب تحت 7 وتحت 9'!B11</f>
        <v>6</v>
      </c>
      <c r="C10" s="59">
        <f>'ملاعب تحت 7 وتحت 9'!E11</f>
        <v>3</v>
      </c>
      <c r="D10" s="67">
        <f>IF(B10=0,0,INDEX('ملخص البطولات'!$J$4:$J$26,MATCH(B10,'ملخص البطولات'!$A$4:$A$26,0))*24)</f>
        <v>2.25</v>
      </c>
      <c r="E10" s="67">
        <f t="shared" si="0"/>
        <v>6.75</v>
      </c>
      <c r="F10" s="59">
        <f>'ملاعب تحت 7 وتحت 9'!F11</f>
        <v>7</v>
      </c>
      <c r="G10" s="59">
        <f>'ملاعب تحت 7 وتحت 9'!I11</f>
        <v>2</v>
      </c>
      <c r="H10" s="67">
        <f>IF(F10=0,0,INDEX('ملخص البطولات'!$J$4:$J$26,MATCH(F10,'ملخص البطولات'!$A$4:$A$26,0))*24)</f>
        <v>2.5</v>
      </c>
      <c r="I10" s="67">
        <f t="shared" si="1"/>
        <v>5</v>
      </c>
      <c r="J10" s="59">
        <f t="shared" si="2"/>
        <v>3</v>
      </c>
      <c r="K10" s="71">
        <f t="shared" si="3"/>
        <v>11.75</v>
      </c>
      <c r="L10" s="59">
        <f>IF(B10=0,0,INDEX('ملخص البطولات'!$F$4:$F$26,MATCH(B10,'ملخص البطولات'!$A$4:$A$26,0)))</f>
        <v>6</v>
      </c>
      <c r="M10" s="67">
        <f t="shared" si="4"/>
        <v>40.5</v>
      </c>
      <c r="N10" s="59">
        <f>IF(F10=0,0,INDEX('ملخص البطولات'!$F$4:$F$26,MATCH(F10,'ملخص البطولات'!$A$4:$A$26,0)))</f>
        <v>6</v>
      </c>
      <c r="O10" s="67">
        <f t="shared" si="5"/>
        <v>30</v>
      </c>
      <c r="P10" s="73">
        <f t="shared" si="6"/>
        <v>70.5</v>
      </c>
    </row>
    <row r="11" spans="1:16" ht="14.5">
      <c r="A11" s="25" t="str">
        <f>'ملاعب تحت 7 وتحت 9'!A12</f>
        <v>مجموعة حائل</v>
      </c>
      <c r="B11" s="59">
        <f>'ملاعب تحت 7 وتحت 9'!B12</f>
        <v>7</v>
      </c>
      <c r="C11" s="59">
        <f>'ملاعب تحت 7 وتحت 9'!E12</f>
        <v>2</v>
      </c>
      <c r="D11" s="67">
        <f>IF(B11=0,0,INDEX('ملخص البطولات'!$J$4:$J$26,MATCH(B11,'ملخص البطولات'!$A$4:$A$26,0))*24)</f>
        <v>2.5</v>
      </c>
      <c r="E11" s="67">
        <f t="shared" si="0"/>
        <v>5</v>
      </c>
      <c r="F11" s="59">
        <f>'ملاعب تحت 7 وتحت 9'!F12</f>
        <v>12</v>
      </c>
      <c r="G11" s="59">
        <f>'ملاعب تحت 7 وتحت 9'!I12</f>
        <v>4</v>
      </c>
      <c r="H11" s="67">
        <f>IF(F11=0,0,INDEX('ملخص البطولات'!$J$4:$J$26,MATCH(F11,'ملخص البطولات'!$A$4:$A$26,0))*24)</f>
        <v>2.25</v>
      </c>
      <c r="I11" s="67">
        <f t="shared" si="1"/>
        <v>9</v>
      </c>
      <c r="J11" s="59">
        <f t="shared" si="2"/>
        <v>4</v>
      </c>
      <c r="K11" s="71">
        <f t="shared" si="3"/>
        <v>14</v>
      </c>
      <c r="L11" s="59">
        <f>IF(B11=0,0,INDEX('ملخص البطولات'!$F$4:$F$26,MATCH(B11,'ملخص البطولات'!$A$4:$A$26,0)))</f>
        <v>6</v>
      </c>
      <c r="M11" s="67">
        <f t="shared" si="4"/>
        <v>30</v>
      </c>
      <c r="N11" s="59">
        <f>IF(F11=0,0,INDEX('ملخص البطولات'!$F$4:$F$26,MATCH(F11,'ملخص البطولات'!$A$4:$A$26,0)))</f>
        <v>6</v>
      </c>
      <c r="O11" s="67">
        <f t="shared" si="5"/>
        <v>54</v>
      </c>
      <c r="P11" s="73">
        <f t="shared" si="6"/>
        <v>84</v>
      </c>
    </row>
    <row r="12" spans="1:16" ht="14.5">
      <c r="A12" s="25" t="str">
        <f>'ملاعب تحت 7 وتحت 9'!A13</f>
        <v>مجموعة أبها</v>
      </c>
      <c r="B12" s="59">
        <f>'ملاعب تحت 7 وتحت 9'!B13</f>
        <v>6</v>
      </c>
      <c r="C12" s="59">
        <f>'ملاعب تحت 7 وتحت 9'!E13</f>
        <v>3</v>
      </c>
      <c r="D12" s="67">
        <f>IF(B12=0,0,INDEX('ملخص البطولات'!$J$4:$J$26,MATCH(B12,'ملخص البطولات'!$A$4:$A$26,0))*24)</f>
        <v>2.25</v>
      </c>
      <c r="E12" s="67">
        <f t="shared" si="0"/>
        <v>6.75</v>
      </c>
      <c r="F12" s="59">
        <f>'ملاعب تحت 7 وتحت 9'!F13</f>
        <v>11</v>
      </c>
      <c r="G12" s="59">
        <f>'ملاعب تحت 7 وتحت 9'!I13</f>
        <v>4</v>
      </c>
      <c r="H12" s="67">
        <f>IF(F12=0,0,INDEX('ملخص البطولات'!$J$4:$J$26,MATCH(F12,'ملخص البطولات'!$A$4:$A$26,0))*24)</f>
        <v>3.5</v>
      </c>
      <c r="I12" s="67">
        <f t="shared" si="1"/>
        <v>14</v>
      </c>
      <c r="J12" s="59">
        <f t="shared" si="2"/>
        <v>4</v>
      </c>
      <c r="K12" s="71">
        <f t="shared" si="3"/>
        <v>20.75</v>
      </c>
      <c r="L12" s="59">
        <f>IF(B12=0,0,INDEX('ملخص البطولات'!$F$4:$F$26,MATCH(B12,'ملخص البطولات'!$A$4:$A$26,0)))</f>
        <v>6</v>
      </c>
      <c r="M12" s="67">
        <f t="shared" si="4"/>
        <v>40.5</v>
      </c>
      <c r="N12" s="59">
        <f>IF(F12=0,0,INDEX('ملخص البطولات'!$F$4:$F$26,MATCH(F12,'ملخص البطولات'!$A$4:$A$26,0)))</f>
        <v>7</v>
      </c>
      <c r="O12" s="67">
        <f t="shared" si="5"/>
        <v>98</v>
      </c>
      <c r="P12" s="73">
        <f t="shared" si="6"/>
        <v>138.5</v>
      </c>
    </row>
    <row r="13" spans="1:16" ht="14.5">
      <c r="A13" s="25" t="str">
        <f>'ملاعب تحت 7 وتحت 9'!A14</f>
        <v>مجموعة الرس</v>
      </c>
      <c r="B13" s="59">
        <f>'ملاعب تحت 7 وتحت 9'!B14</f>
        <v>0</v>
      </c>
      <c r="C13" s="59">
        <f>'ملاعب تحت 7 وتحت 9'!E14</f>
        <v>0</v>
      </c>
      <c r="D13" s="67">
        <f>IF(B13=0,0,INDEX('ملخص البطولات'!$J$4:$J$26,MATCH(B13,'ملخص البطولات'!$A$4:$A$26,0))*24)</f>
        <v>0</v>
      </c>
      <c r="E13" s="67">
        <f t="shared" si="0"/>
        <v>0</v>
      </c>
      <c r="F13" s="59">
        <f>'ملاعب تحت 7 وتحت 9'!F14</f>
        <v>8</v>
      </c>
      <c r="G13" s="59">
        <f>'ملاعب تحت 7 وتحت 9'!I14</f>
        <v>4</v>
      </c>
      <c r="H13" s="67">
        <f>IF(F13=0,0,INDEX('ملخص البطولات'!$J$4:$J$26,MATCH(F13,'ملخص البطولات'!$A$4:$A$26,0))*24)</f>
        <v>1.75</v>
      </c>
      <c r="I13" s="67">
        <f t="shared" si="1"/>
        <v>7</v>
      </c>
      <c r="J13" s="59">
        <f t="shared" si="2"/>
        <v>4</v>
      </c>
      <c r="K13" s="71">
        <f t="shared" si="3"/>
        <v>7</v>
      </c>
      <c r="L13" s="59">
        <f>IF(B13=0,0,INDEX('ملخص البطولات'!$F$4:$F$26,MATCH(B13,'ملخص البطولات'!$A$4:$A$26,0)))</f>
        <v>0</v>
      </c>
      <c r="M13" s="67">
        <f t="shared" si="4"/>
        <v>0</v>
      </c>
      <c r="N13" s="59">
        <f>IF(F13=0,0,INDEX('ملخص البطولات'!$F$4:$F$26,MATCH(F13,'ملخص البطولات'!$A$4:$A$26,0)))</f>
        <v>7</v>
      </c>
      <c r="O13" s="67">
        <f t="shared" si="5"/>
        <v>49</v>
      </c>
      <c r="P13" s="73">
        <f t="shared" si="6"/>
        <v>49</v>
      </c>
    </row>
    <row r="14" spans="1:16" ht="14.5">
      <c r="A14" s="25" t="str">
        <f>'ملاعب تحت 7 وتحت 9'!A15</f>
        <v>مجموعة جازان</v>
      </c>
      <c r="B14" s="59">
        <f>'ملاعب تحت 7 وتحت 9'!B15</f>
        <v>8</v>
      </c>
      <c r="C14" s="59">
        <f>'ملاعب تحت 7 وتحت 9'!E15</f>
        <v>4</v>
      </c>
      <c r="D14" s="67">
        <f>IF(B14=0,0,INDEX('ملخص البطولات'!$J$4:$J$26,MATCH(B14,'ملخص البطولات'!$A$4:$A$26,0))*24)</f>
        <v>1.75</v>
      </c>
      <c r="E14" s="67">
        <f t="shared" si="0"/>
        <v>7</v>
      </c>
      <c r="F14" s="59">
        <f>'ملاعب تحت 7 وتحت 9'!F15</f>
        <v>11</v>
      </c>
      <c r="G14" s="59">
        <f>'ملاعب تحت 7 وتحت 9'!I15</f>
        <v>4</v>
      </c>
      <c r="H14" s="67">
        <f>IF(F14=0,0,INDEX('ملخص البطولات'!$J$4:$J$26,MATCH(F14,'ملخص البطولات'!$A$4:$A$26,0))*24)</f>
        <v>3.5</v>
      </c>
      <c r="I14" s="67">
        <f t="shared" si="1"/>
        <v>14</v>
      </c>
      <c r="J14" s="59">
        <f t="shared" si="2"/>
        <v>4</v>
      </c>
      <c r="K14" s="71">
        <f t="shared" si="3"/>
        <v>21</v>
      </c>
      <c r="L14" s="59">
        <f>IF(B14=0,0,INDEX('ملخص البطولات'!$F$4:$F$26,MATCH(B14,'ملخص البطولات'!$A$4:$A$26,0)))</f>
        <v>7</v>
      </c>
      <c r="M14" s="67">
        <f t="shared" si="4"/>
        <v>49</v>
      </c>
      <c r="N14" s="59">
        <f>IF(F14=0,0,INDEX('ملخص البطولات'!$F$4:$F$26,MATCH(F14,'ملخص البطولات'!$A$4:$A$26,0)))</f>
        <v>7</v>
      </c>
      <c r="O14" s="67">
        <f t="shared" si="5"/>
        <v>98</v>
      </c>
      <c r="P14" s="73">
        <f t="shared" si="6"/>
        <v>147</v>
      </c>
    </row>
    <row r="15" spans="1:16" ht="14.5">
      <c r="A15" s="25" t="str">
        <f>'ملاعب تحت 7 وتحت 9'!A16</f>
        <v>مجموعة مركز الرفيعة</v>
      </c>
      <c r="B15" s="59">
        <f>'ملاعب تحت 7 وتحت 9'!B16</f>
        <v>7</v>
      </c>
      <c r="C15" s="59">
        <f>'ملاعب تحت 7 وتحت 9'!E16</f>
        <v>2</v>
      </c>
      <c r="D15" s="67">
        <f>IF(B15=0,0,INDEX('ملخص البطولات'!$J$4:$J$26,MATCH(B15,'ملخص البطولات'!$A$4:$A$26,0))*24)</f>
        <v>2.5</v>
      </c>
      <c r="E15" s="67">
        <f t="shared" si="0"/>
        <v>5</v>
      </c>
      <c r="F15" s="59">
        <f>'ملاعب تحت 7 وتحت 9'!F16</f>
        <v>7</v>
      </c>
      <c r="G15" s="59">
        <f>'ملاعب تحت 7 وتحت 9'!I16</f>
        <v>2</v>
      </c>
      <c r="H15" s="67">
        <f>IF(F15=0,0,INDEX('ملخص البطولات'!$J$4:$J$26,MATCH(F15,'ملخص البطولات'!$A$4:$A$26,0))*24)</f>
        <v>2.5</v>
      </c>
      <c r="I15" s="67">
        <f t="shared" si="1"/>
        <v>5</v>
      </c>
      <c r="J15" s="59">
        <f t="shared" si="2"/>
        <v>2</v>
      </c>
      <c r="K15" s="71">
        <f t="shared" si="3"/>
        <v>10</v>
      </c>
      <c r="L15" s="59">
        <f>IF(B15=0,0,INDEX('ملخص البطولات'!$F$4:$F$26,MATCH(B15,'ملخص البطولات'!$A$4:$A$26,0)))</f>
        <v>6</v>
      </c>
      <c r="M15" s="67">
        <f t="shared" si="4"/>
        <v>30</v>
      </c>
      <c r="N15" s="59">
        <f>IF(F15=0,0,INDEX('ملخص البطولات'!$F$4:$F$26,MATCH(F15,'ملخص البطولات'!$A$4:$A$26,0)))</f>
        <v>6</v>
      </c>
      <c r="O15" s="67">
        <f t="shared" si="5"/>
        <v>30</v>
      </c>
      <c r="P15" s="73">
        <f t="shared" si="6"/>
        <v>60</v>
      </c>
    </row>
    <row r="16" spans="1:16" ht="14.5">
      <c r="A16" s="25" t="str">
        <f>'ملاعب تحت 7 وتحت 9'!A17</f>
        <v>مجموعة القطيف</v>
      </c>
      <c r="B16" s="59">
        <f>'ملاعب تحت 7 وتحت 9'!B17</f>
        <v>10</v>
      </c>
      <c r="C16" s="59">
        <f>'ملاعب تحت 7 وتحت 9'!E17</f>
        <v>4</v>
      </c>
      <c r="D16" s="67">
        <f>IF(B16=0,0,INDEX('ملخص البطولات'!$J$4:$J$26,MATCH(B16,'ملخص البطولات'!$A$4:$A$26,0))*24)</f>
        <v>2.25</v>
      </c>
      <c r="E16" s="67">
        <f t="shared" si="0"/>
        <v>9</v>
      </c>
      <c r="F16" s="59">
        <f>'ملاعب تحت 7 وتحت 9'!F17</f>
        <v>15</v>
      </c>
      <c r="G16" s="59">
        <f>'ملاعب تحت 7 وتحت 9'!I17</f>
        <v>6</v>
      </c>
      <c r="H16" s="67">
        <f>IF(F16=0,0,INDEX('ملخص البطولات'!$J$4:$J$26,MATCH(F16,'ملخص البطولات'!$A$4:$A$26,0))*24)</f>
        <v>2.5</v>
      </c>
      <c r="I16" s="67">
        <f t="shared" si="1"/>
        <v>15</v>
      </c>
      <c r="J16" s="59">
        <f t="shared" si="2"/>
        <v>6</v>
      </c>
      <c r="K16" s="71">
        <f t="shared" si="3"/>
        <v>24</v>
      </c>
      <c r="L16" s="59">
        <f>IF(B16=0,0,INDEX('ملخص البطولات'!$F$4:$F$26,MATCH(B16,'ملخص البطولات'!$A$4:$A$26,0)))</f>
        <v>7</v>
      </c>
      <c r="M16" s="67">
        <f t="shared" si="4"/>
        <v>63</v>
      </c>
      <c r="N16" s="59">
        <f>IF(F16=0,0,INDEX('ملخص البطولات'!$F$4:$F$26,MATCH(F16,'ملخص البطولات'!$A$4:$A$26,0)))</f>
        <v>7</v>
      </c>
      <c r="O16" s="67">
        <f t="shared" si="5"/>
        <v>105</v>
      </c>
      <c r="P16" s="73">
        <f t="shared" si="6"/>
        <v>168</v>
      </c>
    </row>
    <row r="17" spans="1:16" ht="14.5">
      <c r="A17" s="25" t="str">
        <f>'ملاعب تحت 7 وتحت 9'!A18</f>
        <v>مجموعة أحد المسارحة</v>
      </c>
      <c r="B17" s="59">
        <f>'ملاعب تحت 7 وتحت 9'!B18</f>
        <v>8</v>
      </c>
      <c r="C17" s="59">
        <f>'ملاعب تحت 7 وتحت 9'!E18</f>
        <v>4</v>
      </c>
      <c r="D17" s="67">
        <f>IF(B17=0,0,INDEX('ملخص البطولات'!$J$4:$J$26,MATCH(B17,'ملخص البطولات'!$A$4:$A$26,0))*24)</f>
        <v>1.75</v>
      </c>
      <c r="E17" s="67">
        <f t="shared" si="0"/>
        <v>7</v>
      </c>
      <c r="F17" s="59">
        <f>'ملاعب تحت 7 وتحت 9'!F18</f>
        <v>8</v>
      </c>
      <c r="G17" s="59">
        <f>'ملاعب تحت 7 وتحت 9'!I18</f>
        <v>4</v>
      </c>
      <c r="H17" s="67">
        <f>IF(F17=0,0,INDEX('ملخص البطولات'!$J$4:$J$26,MATCH(F17,'ملخص البطولات'!$A$4:$A$26,0))*24)</f>
        <v>1.75</v>
      </c>
      <c r="I17" s="67">
        <f t="shared" si="1"/>
        <v>7</v>
      </c>
      <c r="J17" s="59">
        <f t="shared" si="2"/>
        <v>4</v>
      </c>
      <c r="K17" s="71">
        <f t="shared" si="3"/>
        <v>14</v>
      </c>
      <c r="L17" s="59">
        <f>IF(B17=0,0,INDEX('ملخص البطولات'!$F$4:$F$26,MATCH(B17,'ملخص البطولات'!$A$4:$A$26,0)))</f>
        <v>7</v>
      </c>
      <c r="M17" s="67">
        <f t="shared" si="4"/>
        <v>49</v>
      </c>
      <c r="N17" s="59">
        <f>IF(F17=0,0,INDEX('ملخص البطولات'!$F$4:$F$26,MATCH(F17,'ملخص البطولات'!$A$4:$A$26,0)))</f>
        <v>7</v>
      </c>
      <c r="O17" s="67">
        <f t="shared" si="5"/>
        <v>49</v>
      </c>
      <c r="P17" s="73">
        <f t="shared" si="6"/>
        <v>98</v>
      </c>
    </row>
    <row r="18" spans="1:16" ht="14.5">
      <c r="A18" s="25" t="str">
        <f>'ملاعب تحت 7 وتحت 9'!A19</f>
        <v>مجموعة سكاكا</v>
      </c>
      <c r="B18" s="59">
        <f>'ملاعب تحت 7 وتحت 9'!B19</f>
        <v>12</v>
      </c>
      <c r="C18" s="59">
        <f>'ملاعب تحت 7 وتحت 9'!E19</f>
        <v>4</v>
      </c>
      <c r="D18" s="67">
        <f>IF(B18=0,0,INDEX('ملخص البطولات'!$J$4:$J$26,MATCH(B18,'ملخص البطولات'!$A$4:$A$26,0))*24)</f>
        <v>2.25</v>
      </c>
      <c r="E18" s="67">
        <f t="shared" si="0"/>
        <v>9</v>
      </c>
      <c r="F18" s="59">
        <f>'ملاعب تحت 7 وتحت 9'!F19</f>
        <v>15</v>
      </c>
      <c r="G18" s="59">
        <f>'ملاعب تحت 7 وتحت 9'!I19</f>
        <v>6</v>
      </c>
      <c r="H18" s="67">
        <f>IF(F18=0,0,INDEX('ملخص البطولات'!$J$4:$J$26,MATCH(F18,'ملخص البطولات'!$A$4:$A$26,0))*24)</f>
        <v>2.5</v>
      </c>
      <c r="I18" s="67">
        <f t="shared" si="1"/>
        <v>15</v>
      </c>
      <c r="J18" s="59">
        <f t="shared" si="2"/>
        <v>6</v>
      </c>
      <c r="K18" s="71">
        <f t="shared" si="3"/>
        <v>24</v>
      </c>
      <c r="L18" s="59">
        <f>IF(B18=0,0,INDEX('ملخص البطولات'!$F$4:$F$26,MATCH(B18,'ملخص البطولات'!$A$4:$A$26,0)))</f>
        <v>6</v>
      </c>
      <c r="M18" s="67">
        <f t="shared" si="4"/>
        <v>54</v>
      </c>
      <c r="N18" s="59">
        <f>IF(F18=0,0,INDEX('ملخص البطولات'!$F$4:$F$26,MATCH(F18,'ملخص البطولات'!$A$4:$A$26,0)))</f>
        <v>7</v>
      </c>
      <c r="O18" s="67">
        <f t="shared" si="5"/>
        <v>105</v>
      </c>
      <c r="P18" s="73">
        <f t="shared" si="6"/>
        <v>159</v>
      </c>
    </row>
    <row r="19" spans="1:16" ht="14.5">
      <c r="A19" s="25" t="str">
        <f>'ملاعب تحت 7 وتحت 9'!A20</f>
        <v>مجموعة الدمام</v>
      </c>
      <c r="B19" s="59">
        <f>'ملاعب تحت 7 وتحت 9'!B20</f>
        <v>16</v>
      </c>
      <c r="C19" s="59">
        <f>'ملاعب تحت 7 وتحت 9'!E20</f>
        <v>8</v>
      </c>
      <c r="D19" s="67">
        <f>IF(B19=0,0,INDEX('ملخص البطولات'!$J$4:$J$26,MATCH(B19,'ملخص البطولات'!$A$4:$A$26,0))*24)</f>
        <v>1.75</v>
      </c>
      <c r="E19" s="67">
        <f t="shared" si="0"/>
        <v>14</v>
      </c>
      <c r="F19" s="59">
        <f>'ملاعب تحت 7 وتحت 9'!F20</f>
        <v>31</v>
      </c>
      <c r="G19" s="59">
        <f>'ملاعب تحت 7 وتحت 9'!I20</f>
        <v>12</v>
      </c>
      <c r="H19" s="67">
        <f>IF(F19=0,0,INDEX('ملخص البطولات'!$J$4:$J$26,MATCH(F19,'ملخص البطولات'!$A$4:$A$26,0))*24)</f>
        <v>3.5</v>
      </c>
      <c r="I19" s="67">
        <f t="shared" si="1"/>
        <v>42</v>
      </c>
      <c r="J19" s="59">
        <f t="shared" si="2"/>
        <v>12</v>
      </c>
      <c r="K19" s="71">
        <f t="shared" si="3"/>
        <v>56</v>
      </c>
      <c r="L19" s="59">
        <f>IF(B19=0,0,INDEX('ملخص البطولات'!$F$4:$F$26,MATCH(B19,'ملخص البطولات'!$A$4:$A$26,0)))</f>
        <v>7</v>
      </c>
      <c r="M19" s="67">
        <f t="shared" si="4"/>
        <v>98</v>
      </c>
      <c r="N19" s="59">
        <f>IF(F19=0,0,INDEX('ملخص البطولات'!$F$4:$F$26,MATCH(F19,'ملخص البطولات'!$A$4:$A$26,0)))</f>
        <v>7</v>
      </c>
      <c r="O19" s="67">
        <f t="shared" si="5"/>
        <v>294</v>
      </c>
      <c r="P19" s="73">
        <f t="shared" si="6"/>
        <v>392</v>
      </c>
    </row>
    <row r="20" spans="1:16" ht="14.5">
      <c r="A20" s="25" t="str">
        <f>'ملاعب تحت 7 وتحت 9'!A21</f>
        <v>مجموعة صامطة</v>
      </c>
      <c r="B20" s="59">
        <f>'ملاعب تحت 7 وتحت 9'!B21</f>
        <v>9</v>
      </c>
      <c r="C20" s="59">
        <f>'ملاعب تحت 7 وتحت 9'!E21</f>
        <v>3</v>
      </c>
      <c r="D20" s="67">
        <f>IF(B20=0,0,INDEX('ملخص البطولات'!$J$4:$J$26,MATCH(B20,'ملخص البطولات'!$A$4:$A$26,0))*24)</f>
        <v>2.5</v>
      </c>
      <c r="E20" s="67">
        <f t="shared" si="0"/>
        <v>7.5</v>
      </c>
      <c r="F20" s="59">
        <f>'ملاعب تحت 7 وتحت 9'!F21</f>
        <v>9</v>
      </c>
      <c r="G20" s="59">
        <f>'ملاعب تحت 7 وتحت 9'!I21</f>
        <v>3</v>
      </c>
      <c r="H20" s="67">
        <f>IF(F20=0,0,INDEX('ملخص البطولات'!$J$4:$J$26,MATCH(F20,'ملخص البطولات'!$A$4:$A$26,0))*24)</f>
        <v>2.5</v>
      </c>
      <c r="I20" s="67">
        <f t="shared" si="1"/>
        <v>7.5</v>
      </c>
      <c r="J20" s="59">
        <f t="shared" si="2"/>
        <v>3</v>
      </c>
      <c r="K20" s="71">
        <f t="shared" si="3"/>
        <v>15</v>
      </c>
      <c r="L20" s="59">
        <f>IF(B20=0,0,INDEX('ملخص البطولات'!$F$4:$F$26,MATCH(B20,'ملخص البطولات'!$A$4:$A$26,0)))</f>
        <v>6</v>
      </c>
      <c r="M20" s="67">
        <f t="shared" si="4"/>
        <v>45</v>
      </c>
      <c r="N20" s="59">
        <f>IF(F20=0,0,INDEX('ملخص البطولات'!$F$4:$F$26,MATCH(F20,'ملخص البطولات'!$A$4:$A$26,0)))</f>
        <v>6</v>
      </c>
      <c r="O20" s="67">
        <f t="shared" si="5"/>
        <v>45</v>
      </c>
      <c r="P20" s="73">
        <f t="shared" si="6"/>
        <v>90</v>
      </c>
    </row>
    <row r="21" spans="1:16" ht="14.5">
      <c r="A21" s="25" t="str">
        <f>'ملاعب تحت 7 وتحت 9'!A22</f>
        <v>مجموعة القنفذة</v>
      </c>
      <c r="B21" s="59">
        <f>'ملاعب تحت 7 وتحت 9'!B22</f>
        <v>0</v>
      </c>
      <c r="C21" s="59">
        <f>'ملاعب تحت 7 وتحت 9'!E22</f>
        <v>0</v>
      </c>
      <c r="D21" s="67">
        <f>IF(B21=0,0,INDEX('ملخص البطولات'!$J$4:$J$26,MATCH(B21,'ملخص البطولات'!$A$4:$A$26,0))*24)</f>
        <v>0</v>
      </c>
      <c r="E21" s="67">
        <f t="shared" si="0"/>
        <v>0</v>
      </c>
      <c r="F21" s="59">
        <f>'ملاعب تحت 7 وتحت 9'!F22</f>
        <v>8</v>
      </c>
      <c r="G21" s="59">
        <f>'ملاعب تحت 7 وتحت 9'!I22</f>
        <v>4</v>
      </c>
      <c r="H21" s="67">
        <f>IF(F21=0,0,INDEX('ملخص البطولات'!$J$4:$J$26,MATCH(F21,'ملخص البطولات'!$A$4:$A$26,0))*24)</f>
        <v>1.75</v>
      </c>
      <c r="I21" s="67">
        <f t="shared" si="1"/>
        <v>7</v>
      </c>
      <c r="J21" s="59">
        <f t="shared" si="2"/>
        <v>4</v>
      </c>
      <c r="K21" s="71">
        <f t="shared" si="3"/>
        <v>7</v>
      </c>
      <c r="L21" s="59">
        <f>IF(B21=0,0,INDEX('ملخص البطولات'!$F$4:$F$26,MATCH(B21,'ملخص البطولات'!$A$4:$A$26,0)))</f>
        <v>0</v>
      </c>
      <c r="M21" s="67">
        <f t="shared" si="4"/>
        <v>0</v>
      </c>
      <c r="N21" s="59">
        <f>IF(F21=0,0,INDEX('ملخص البطولات'!$F$4:$F$26,MATCH(F21,'ملخص البطولات'!$A$4:$A$26,0)))</f>
        <v>7</v>
      </c>
      <c r="O21" s="67">
        <f t="shared" si="5"/>
        <v>49</v>
      </c>
      <c r="P21" s="73">
        <f t="shared" si="6"/>
        <v>49</v>
      </c>
    </row>
    <row r="22" spans="1:16" ht="14.5">
      <c r="A22" s="25" t="str">
        <f>'ملاعب تحت 7 وتحت 9'!A23</f>
        <v>مجموعة المدينة المنورة</v>
      </c>
      <c r="B22" s="59">
        <f>'ملاعب تحت 7 وتحت 9'!B23</f>
        <v>16</v>
      </c>
      <c r="C22" s="59">
        <f>'ملاعب تحت 7 وتحت 9'!E23</f>
        <v>8</v>
      </c>
      <c r="D22" s="67">
        <f>IF(B22=0,0,INDEX('ملخص البطولات'!$J$4:$J$26,MATCH(B22,'ملخص البطولات'!$A$4:$A$26,0))*24)</f>
        <v>1.75</v>
      </c>
      <c r="E22" s="67">
        <f t="shared" si="0"/>
        <v>14</v>
      </c>
      <c r="F22" s="59">
        <f>'ملاعب تحت 7 وتحت 9'!F23</f>
        <v>25</v>
      </c>
      <c r="G22" s="59">
        <f>'ملاعب تحت 7 وتحت 9'!I23</f>
        <v>11</v>
      </c>
      <c r="H22" s="67">
        <f>IF(F22=0,0,INDEX('ملخص البطولات'!$J$4:$J$26,MATCH(F22,'ملخص البطولات'!$A$4:$A$26,0))*24)</f>
        <v>2.5</v>
      </c>
      <c r="I22" s="67">
        <f t="shared" si="1"/>
        <v>27.5</v>
      </c>
      <c r="J22" s="59">
        <f t="shared" si="2"/>
        <v>11</v>
      </c>
      <c r="K22" s="71">
        <f t="shared" si="3"/>
        <v>41.5</v>
      </c>
      <c r="L22" s="59">
        <f>IF(B22=0,0,INDEX('ملخص البطولات'!$F$4:$F$26,MATCH(B22,'ملخص البطولات'!$A$4:$A$26,0)))</f>
        <v>7</v>
      </c>
      <c r="M22" s="67">
        <f t="shared" si="4"/>
        <v>98</v>
      </c>
      <c r="N22" s="59">
        <f>IF(F22=0,0,INDEX('ملخص البطولات'!$F$4:$F$26,MATCH(F22,'ملخص البطولات'!$A$4:$A$26,0)))</f>
        <v>7</v>
      </c>
      <c r="O22" s="67">
        <f t="shared" si="5"/>
        <v>192.5</v>
      </c>
      <c r="P22" s="73">
        <f t="shared" si="6"/>
        <v>290.5</v>
      </c>
    </row>
    <row r="23" spans="1:16" ht="14.5">
      <c r="A23" s="25" t="str">
        <f>'ملاعب تحت 7 وتحت 9'!A24</f>
        <v>مجموعة أبو عريش</v>
      </c>
      <c r="B23" s="59">
        <f>'ملاعب تحت 7 وتحت 9'!B24</f>
        <v>10</v>
      </c>
      <c r="C23" s="59">
        <f>'ملاعب تحت 7 وتحت 9'!E24</f>
        <v>4</v>
      </c>
      <c r="D23" s="67">
        <f>IF(B23=0,0,INDEX('ملخص البطولات'!$J$4:$J$26,MATCH(B23,'ملخص البطولات'!$A$4:$A$26,0))*24)</f>
        <v>2.25</v>
      </c>
      <c r="E23" s="67">
        <f t="shared" si="0"/>
        <v>9</v>
      </c>
      <c r="F23" s="59">
        <f>'ملاعب تحت 7 وتحت 9'!F24</f>
        <v>10</v>
      </c>
      <c r="G23" s="59">
        <f>'ملاعب تحت 7 وتحت 9'!I24</f>
        <v>4</v>
      </c>
      <c r="H23" s="67">
        <f>IF(F23=0,0,INDEX('ملخص البطولات'!$J$4:$J$26,MATCH(F23,'ملخص البطولات'!$A$4:$A$26,0))*24)</f>
        <v>2.25</v>
      </c>
      <c r="I23" s="67">
        <f t="shared" si="1"/>
        <v>9</v>
      </c>
      <c r="J23" s="59">
        <f t="shared" si="2"/>
        <v>4</v>
      </c>
      <c r="K23" s="71">
        <f t="shared" si="3"/>
        <v>18</v>
      </c>
      <c r="L23" s="59">
        <f>IF(B23=0,0,INDEX('ملخص البطولات'!$F$4:$F$26,MATCH(B23,'ملخص البطولات'!$A$4:$A$26,0)))</f>
        <v>7</v>
      </c>
      <c r="M23" s="67">
        <f t="shared" si="4"/>
        <v>63</v>
      </c>
      <c r="N23" s="59">
        <f>IF(F23=0,0,INDEX('ملخص البطولات'!$F$4:$F$26,MATCH(F23,'ملخص البطولات'!$A$4:$A$26,0)))</f>
        <v>7</v>
      </c>
      <c r="O23" s="67">
        <f t="shared" si="5"/>
        <v>63</v>
      </c>
      <c r="P23" s="73">
        <f t="shared" si="6"/>
        <v>126</v>
      </c>
    </row>
    <row r="24" spans="1:16" ht="14.5">
      <c r="A24" s="25" t="str">
        <f>'ملاعب تحت 7 وتحت 9'!A25</f>
        <v>مجموعة القصيم</v>
      </c>
      <c r="B24" s="59">
        <f>'ملاعب تحت 7 وتحت 9'!B25</f>
        <v>9</v>
      </c>
      <c r="C24" s="59">
        <f>'ملاعب تحت 7 وتحت 9'!E25</f>
        <v>3</v>
      </c>
      <c r="D24" s="67">
        <f>IF(B24=0,0,INDEX('ملخص البطولات'!$J$4:$J$26,MATCH(B24,'ملخص البطولات'!$A$4:$A$26,0))*24)</f>
        <v>2.5</v>
      </c>
      <c r="E24" s="67">
        <f t="shared" si="0"/>
        <v>7.5</v>
      </c>
      <c r="F24" s="59">
        <f>'ملاعب تحت 7 وتحت 9'!F25</f>
        <v>14</v>
      </c>
      <c r="G24" s="59">
        <f>'ملاعب تحت 7 وتحت 9'!I25</f>
        <v>4</v>
      </c>
      <c r="H24" s="67">
        <f>IF(F24=0,0,INDEX('ملخص البطولات'!$J$4:$J$26,MATCH(F24,'ملخص البطولات'!$A$4:$A$26,0))*24)</f>
        <v>2.5</v>
      </c>
      <c r="I24" s="67">
        <f t="shared" si="1"/>
        <v>10</v>
      </c>
      <c r="J24" s="59">
        <f t="shared" si="2"/>
        <v>4</v>
      </c>
      <c r="K24" s="71">
        <f t="shared" si="3"/>
        <v>17.5</v>
      </c>
      <c r="L24" s="59">
        <f>IF(B24=0,0,INDEX('ملخص البطولات'!$F$4:$F$26,MATCH(B24,'ملخص البطولات'!$A$4:$A$26,0)))</f>
        <v>6</v>
      </c>
      <c r="M24" s="67">
        <f t="shared" si="4"/>
        <v>45</v>
      </c>
      <c r="N24" s="59">
        <f>IF(F24=0,0,INDEX('ملخص البطولات'!$F$4:$F$26,MATCH(F24,'ملخص البطولات'!$A$4:$A$26,0)))</f>
        <v>6</v>
      </c>
      <c r="O24" s="67">
        <f t="shared" si="5"/>
        <v>60</v>
      </c>
      <c r="P24" s="73">
        <f t="shared" si="6"/>
        <v>105</v>
      </c>
    </row>
    <row r="25" spans="1:16" ht="14.5">
      <c r="A25" s="25" t="str">
        <f>'ملاعب تحت 7 وتحت 9'!A26</f>
        <v>مجموعة الطائف</v>
      </c>
      <c r="B25" s="59">
        <f>'ملاعب تحت 7 وتحت 9'!B26</f>
        <v>13</v>
      </c>
      <c r="C25" s="59">
        <f>'ملاعب تحت 7 وتحت 9'!E26</f>
        <v>4</v>
      </c>
      <c r="D25" s="67">
        <f>IF(B25=0,0,INDEX('ملخص البطولات'!$J$4:$J$26,MATCH(B25,'ملخص البطولات'!$A$4:$A$26,0))*24)</f>
        <v>2.25</v>
      </c>
      <c r="E25" s="67">
        <f t="shared" si="0"/>
        <v>9</v>
      </c>
      <c r="F25" s="59">
        <f>'ملاعب تحت 7 وتحت 9'!F26</f>
        <v>15</v>
      </c>
      <c r="G25" s="59">
        <f>'ملاعب تحت 7 وتحت 9'!I26</f>
        <v>6</v>
      </c>
      <c r="H25" s="67">
        <f>IF(F25=0,0,INDEX('ملخص البطولات'!$J$4:$J$26,MATCH(F25,'ملخص البطولات'!$A$4:$A$26,0))*24)</f>
        <v>2.5</v>
      </c>
      <c r="I25" s="67">
        <f t="shared" si="1"/>
        <v>15</v>
      </c>
      <c r="J25" s="59">
        <f t="shared" si="2"/>
        <v>6</v>
      </c>
      <c r="K25" s="71">
        <f t="shared" si="3"/>
        <v>24</v>
      </c>
      <c r="L25" s="59">
        <f>IF(B25=0,0,INDEX('ملخص البطولات'!$F$4:$F$26,MATCH(B25,'ملخص البطولات'!$A$4:$A$26,0)))</f>
        <v>6</v>
      </c>
      <c r="M25" s="67">
        <f t="shared" si="4"/>
        <v>54</v>
      </c>
      <c r="N25" s="59">
        <f>IF(F25=0,0,INDEX('ملخص البطولات'!$F$4:$F$26,MATCH(F25,'ملخص البطولات'!$A$4:$A$26,0)))</f>
        <v>7</v>
      </c>
      <c r="O25" s="67">
        <f t="shared" si="5"/>
        <v>105</v>
      </c>
      <c r="P25" s="73">
        <f t="shared" si="6"/>
        <v>159</v>
      </c>
    </row>
    <row r="26" spans="1:16" ht="14.5">
      <c r="A26" s="25" t="str">
        <f>'ملاعب تحت 7 وتحت 9'!A27</f>
        <v>مجموعة الخفجي</v>
      </c>
      <c r="B26" s="59">
        <f>'ملاعب تحت 7 وتحت 9'!B27</f>
        <v>13</v>
      </c>
      <c r="C26" s="59">
        <f>'ملاعب تحت 7 وتحت 9'!E27</f>
        <v>4</v>
      </c>
      <c r="D26" s="67">
        <f>IF(B26=0,0,INDEX('ملخص البطولات'!$J$4:$J$26,MATCH(B26,'ملخص البطولات'!$A$4:$A$26,0))*24)</f>
        <v>2.25</v>
      </c>
      <c r="E26" s="67">
        <f t="shared" si="0"/>
        <v>9</v>
      </c>
      <c r="F26" s="59">
        <f>'ملاعب تحت 7 وتحت 9'!F27</f>
        <v>14</v>
      </c>
      <c r="G26" s="59">
        <f>'ملاعب تحت 7 وتحت 9'!I27</f>
        <v>4</v>
      </c>
      <c r="H26" s="67">
        <f>IF(F26=0,0,INDEX('ملخص البطولات'!$J$4:$J$26,MATCH(F26,'ملخص البطولات'!$A$4:$A$26,0))*24)</f>
        <v>2.5</v>
      </c>
      <c r="I26" s="67">
        <f t="shared" si="1"/>
        <v>10</v>
      </c>
      <c r="J26" s="59">
        <f t="shared" si="2"/>
        <v>4</v>
      </c>
      <c r="K26" s="71">
        <f t="shared" si="3"/>
        <v>19</v>
      </c>
      <c r="L26" s="59">
        <f>IF(B26=0,0,INDEX('ملخص البطولات'!$F$4:$F$26,MATCH(B26,'ملخص البطولات'!$A$4:$A$26,0)))</f>
        <v>6</v>
      </c>
      <c r="M26" s="67">
        <f t="shared" si="4"/>
        <v>54</v>
      </c>
      <c r="N26" s="59">
        <f>IF(F26=0,0,INDEX('ملخص البطولات'!$F$4:$F$26,MATCH(F26,'ملخص البطولات'!$A$4:$A$26,0)))</f>
        <v>6</v>
      </c>
      <c r="O26" s="67">
        <f t="shared" si="5"/>
        <v>60</v>
      </c>
      <c r="P26" s="73">
        <f t="shared" si="6"/>
        <v>114</v>
      </c>
    </row>
    <row r="27" spans="1:16" ht="14.5">
      <c r="A27" s="25" t="str">
        <f>'ملاعب تحت 7 وتحت 9'!A28</f>
        <v>مجموعة الأحساء</v>
      </c>
      <c r="B27" s="59">
        <f>'ملاعب تحت 7 وتحت 9'!B28</f>
        <v>18</v>
      </c>
      <c r="C27" s="59">
        <f>'ملاعب تحت 7 وتحت 9'!E28</f>
        <v>8</v>
      </c>
      <c r="D27" s="67">
        <f>IF(B27=0,0,INDEX('ملخص البطولات'!$J$4:$J$26,MATCH(B27,'ملخص البطولات'!$A$4:$A$26,0))*24)</f>
        <v>2.25</v>
      </c>
      <c r="E27" s="67">
        <f t="shared" si="0"/>
        <v>18</v>
      </c>
      <c r="F27" s="59">
        <f>'ملاعب تحت 7 وتحت 9'!F28</f>
        <v>28</v>
      </c>
      <c r="G27" s="59">
        <f>'ملاعب تحت 7 وتحت 9'!I28</f>
        <v>10</v>
      </c>
      <c r="H27" s="67">
        <f>IF(F27=0,0,INDEX('ملخص البطولات'!$J$4:$J$26,MATCH(F27,'ملخص البطولات'!$A$4:$A$26,0))*24)</f>
        <v>2.5</v>
      </c>
      <c r="I27" s="67">
        <f t="shared" si="1"/>
        <v>25</v>
      </c>
      <c r="J27" s="59">
        <f t="shared" si="2"/>
        <v>10</v>
      </c>
      <c r="K27" s="71">
        <f t="shared" si="3"/>
        <v>43</v>
      </c>
      <c r="L27" s="59">
        <f>IF(B27=0,0,INDEX('ملخص البطولات'!$F$4:$F$26,MATCH(B27,'ملخص البطولات'!$A$4:$A$26,0)))</f>
        <v>7</v>
      </c>
      <c r="M27" s="67">
        <f t="shared" si="4"/>
        <v>126</v>
      </c>
      <c r="N27" s="59">
        <f>IF(F27=0,0,INDEX('ملخص البطولات'!$F$4:$F$26,MATCH(F27,'ملخص البطولات'!$A$4:$A$26,0)))</f>
        <v>7</v>
      </c>
      <c r="O27" s="67">
        <f t="shared" si="5"/>
        <v>175</v>
      </c>
      <c r="P27" s="73">
        <f t="shared" si="6"/>
        <v>301</v>
      </c>
    </row>
    <row r="28" spans="1:16" ht="14.5">
      <c r="A28" s="25" t="str">
        <f>'ملاعب تحت 7 وتحت 9'!A29</f>
        <v>مجموعة صبيا</v>
      </c>
      <c r="B28" s="59">
        <f>'ملاعب تحت 7 وتحت 9'!B29</f>
        <v>15</v>
      </c>
      <c r="C28" s="59">
        <f>'ملاعب تحت 7 وتحت 9'!E29</f>
        <v>6</v>
      </c>
      <c r="D28" s="67">
        <f>IF(B28=0,0,INDEX('ملخص البطولات'!$J$4:$J$26,MATCH(B28,'ملخص البطولات'!$A$4:$A$26,0))*24)</f>
        <v>2.5</v>
      </c>
      <c r="E28" s="67">
        <f t="shared" si="0"/>
        <v>15</v>
      </c>
      <c r="F28" s="59">
        <f>'ملاعب تحت 7 وتحت 9'!F29</f>
        <v>16</v>
      </c>
      <c r="G28" s="59">
        <f>'ملاعب تحت 7 وتحت 9'!I29</f>
        <v>8</v>
      </c>
      <c r="H28" s="67">
        <f>IF(F28=0,0,INDEX('ملخص البطولات'!$J$4:$J$26,MATCH(F28,'ملخص البطولات'!$A$4:$A$26,0))*24)</f>
        <v>1.75</v>
      </c>
      <c r="I28" s="67">
        <f t="shared" si="1"/>
        <v>14</v>
      </c>
      <c r="J28" s="59">
        <f t="shared" si="2"/>
        <v>8</v>
      </c>
      <c r="K28" s="71">
        <f t="shared" si="3"/>
        <v>29</v>
      </c>
      <c r="L28" s="59">
        <f>IF(B28=0,0,INDEX('ملخص البطولات'!$F$4:$F$26,MATCH(B28,'ملخص البطولات'!$A$4:$A$26,0)))</f>
        <v>7</v>
      </c>
      <c r="M28" s="67">
        <f t="shared" si="4"/>
        <v>105</v>
      </c>
      <c r="N28" s="59">
        <f>IF(F28=0,0,INDEX('ملخص البطولات'!$F$4:$F$26,MATCH(F28,'ملخص البطولات'!$A$4:$A$26,0)))</f>
        <v>7</v>
      </c>
      <c r="O28" s="67">
        <f t="shared" si="5"/>
        <v>98</v>
      </c>
      <c r="P28" s="73">
        <f t="shared" si="6"/>
        <v>203</v>
      </c>
    </row>
    <row r="29" spans="1:16" ht="14.5">
      <c r="A29" s="25" t="str">
        <f>'ملاعب تحت 7 وتحت 9'!A30</f>
        <v>مجموعة مكة المكرمة</v>
      </c>
      <c r="B29" s="59">
        <f>'ملاعب تحت 7 وتحت 9'!B30</f>
        <v>21</v>
      </c>
      <c r="C29" s="59">
        <f>'ملاعب تحت 7 وتحت 9'!E30</f>
        <v>8</v>
      </c>
      <c r="D29" s="67">
        <f>IF(B29=0,0,INDEX('ملخص البطولات'!$J$4:$J$26,MATCH(B29,'ملخص البطولات'!$A$4:$A$26,0))*24)</f>
        <v>3.5</v>
      </c>
      <c r="E29" s="67">
        <f t="shared" si="0"/>
        <v>28</v>
      </c>
      <c r="F29" s="59">
        <f>'ملاعب تحت 7 وتحت 9'!F30</f>
        <v>29</v>
      </c>
      <c r="G29" s="59">
        <f>'ملاعب تحت 7 وتحت 9'!I30</f>
        <v>11</v>
      </c>
      <c r="H29" s="67">
        <f>IF(F29=0,0,INDEX('ملخص البطولات'!$J$4:$J$26,MATCH(F29,'ملخص البطولات'!$A$4:$A$26,0))*24)</f>
        <v>2.5</v>
      </c>
      <c r="I29" s="67">
        <f t="shared" si="1"/>
        <v>27.5</v>
      </c>
      <c r="J29" s="59">
        <f t="shared" si="2"/>
        <v>11</v>
      </c>
      <c r="K29" s="71">
        <f t="shared" si="3"/>
        <v>55.5</v>
      </c>
      <c r="L29" s="59">
        <f>IF(B29=0,0,INDEX('ملخص البطولات'!$F$4:$F$26,MATCH(B29,'ملخص البطولات'!$A$4:$A$26,0)))</f>
        <v>7</v>
      </c>
      <c r="M29" s="67">
        <f t="shared" si="4"/>
        <v>196</v>
      </c>
      <c r="N29" s="59">
        <f>IF(F29=0,0,INDEX('ملخص البطولات'!$F$4:$F$26,MATCH(F29,'ملخص البطولات'!$A$4:$A$26,0)))</f>
        <v>7</v>
      </c>
      <c r="O29" s="67">
        <f t="shared" si="5"/>
        <v>192.5</v>
      </c>
      <c r="P29" s="73">
        <f t="shared" si="6"/>
        <v>388.5</v>
      </c>
    </row>
    <row r="30" spans="1:16" ht="14.5">
      <c r="A30" s="25" t="str">
        <f>'ملاعب تحت 7 وتحت 9'!A31</f>
        <v>مجموعة حفر الباطن</v>
      </c>
      <c r="B30" s="59">
        <f>'ملاعب تحت 7 وتحت 9'!B31</f>
        <v>17</v>
      </c>
      <c r="C30" s="59">
        <f>'ملاعب تحت 7 وتحت 9'!E31</f>
        <v>7</v>
      </c>
      <c r="D30" s="67">
        <f>IF(B30=0,0,INDEX('ملخص البطولات'!$J$4:$J$26,MATCH(B30,'ملخص البطولات'!$A$4:$A$26,0))*24)</f>
        <v>2.5</v>
      </c>
      <c r="E30" s="67">
        <f t="shared" si="0"/>
        <v>17.5</v>
      </c>
      <c r="F30" s="59">
        <f>'ملاعب تحت 7 وتحت 9'!F31</f>
        <v>19</v>
      </c>
      <c r="G30" s="59">
        <f>'ملاعب تحت 7 وتحت 9'!I31</f>
        <v>7</v>
      </c>
      <c r="H30" s="67">
        <f>IF(F30=0,0,INDEX('ملخص البطولات'!$J$4:$J$26,MATCH(F30,'ملخص البطولات'!$A$4:$A$26,0))*24)</f>
        <v>2.5</v>
      </c>
      <c r="I30" s="67">
        <f t="shared" si="1"/>
        <v>17.5</v>
      </c>
      <c r="J30" s="59">
        <f t="shared" si="2"/>
        <v>7</v>
      </c>
      <c r="K30" s="71">
        <f t="shared" si="3"/>
        <v>35</v>
      </c>
      <c r="L30" s="59">
        <f>IF(B30=0,0,INDEX('ملخص البطولات'!$F$4:$F$26,MATCH(B30,'ملخص البطولات'!$A$4:$A$26,0)))</f>
        <v>7</v>
      </c>
      <c r="M30" s="67">
        <f t="shared" si="4"/>
        <v>122.5</v>
      </c>
      <c r="N30" s="59">
        <f>IF(F30=0,0,INDEX('ملخص البطولات'!$F$4:$F$26,MATCH(F30,'ملخص البطولات'!$A$4:$A$26,0)))</f>
        <v>7</v>
      </c>
      <c r="O30" s="67">
        <f t="shared" si="5"/>
        <v>122.5</v>
      </c>
      <c r="P30" s="73">
        <f t="shared" si="6"/>
        <v>245</v>
      </c>
    </row>
    <row r="31" spans="1:16" ht="14.5">
      <c r="A31" s="25" t="str">
        <f>'ملاعب تحت 7 وتحت 9'!A32</f>
        <v>مجموعة الرياض</v>
      </c>
      <c r="B31" s="59">
        <f>'ملاعب تحت 7 وتحت 9'!B32</f>
        <v>30</v>
      </c>
      <c r="C31" s="59">
        <f>'ملاعب تحت 7 وتحت 9'!E32</f>
        <v>12</v>
      </c>
      <c r="D31" s="67">
        <f>IF(B31=0,0,INDEX('ملخص البطولات'!$J$4:$J$26,MATCH(B31,'ملخص البطولات'!$A$4:$A$26,0))*24)</f>
        <v>2.25</v>
      </c>
      <c r="E31" s="67">
        <f t="shared" si="0"/>
        <v>27</v>
      </c>
      <c r="F31" s="59">
        <f>'ملاعب تحت 7 وتحت 9'!F32</f>
        <v>40</v>
      </c>
      <c r="G31" s="59">
        <f>'ملاعب تحت 7 وتحت 9'!I32</f>
        <v>16</v>
      </c>
      <c r="H31" s="67">
        <f>IF(F31=0,0,INDEX('ملخص البطولات'!$J$4:$J$26,MATCH(F31,'ملخص البطولات'!$A$4:$A$26,0))*24)</f>
        <v>2.25</v>
      </c>
      <c r="I31" s="67">
        <f t="shared" si="1"/>
        <v>36</v>
      </c>
      <c r="J31" s="59">
        <f t="shared" si="2"/>
        <v>16</v>
      </c>
      <c r="K31" s="71">
        <f t="shared" si="3"/>
        <v>63</v>
      </c>
      <c r="L31" s="59">
        <f>IF(B31=0,0,INDEX('ملخص البطولات'!$F$4:$F$26,MATCH(B31,'ملخص البطولات'!$A$4:$A$26,0)))</f>
        <v>7</v>
      </c>
      <c r="M31" s="67">
        <f t="shared" si="4"/>
        <v>189</v>
      </c>
      <c r="N31" s="59">
        <f>IF(F31=0,0,INDEX('ملخص البطولات'!$F$4:$F$26,MATCH(F31,'ملخص البطولات'!$A$4:$A$26,0)))</f>
        <v>7</v>
      </c>
      <c r="O31" s="67">
        <f t="shared" si="5"/>
        <v>252</v>
      </c>
      <c r="P31" s="73">
        <f t="shared" si="6"/>
        <v>441</v>
      </c>
    </row>
    <row r="32" spans="1:16" ht="14.5">
      <c r="A32" s="25" t="str">
        <f>'ملاعب تحت 7 وتحت 9'!A33</f>
        <v>مجموعة جدة</v>
      </c>
      <c r="B32" s="59">
        <f>'ملاعب تحت 7 وتحت 9'!B33</f>
        <v>31</v>
      </c>
      <c r="C32" s="59">
        <f>'ملاعب تحت 7 وتحت 9'!E33</f>
        <v>12</v>
      </c>
      <c r="D32" s="67">
        <f>IF(B32=0,0,INDEX('ملخص البطولات'!$J$4:$J$26,MATCH(B32,'ملخص البطولات'!$A$4:$A$26,0))*24)</f>
        <v>3.5</v>
      </c>
      <c r="E32" s="67">
        <f t="shared" si="0"/>
        <v>42</v>
      </c>
      <c r="F32" s="59">
        <f>'ملاعب تحت 7 وتحت 9'!F33</f>
        <v>49</v>
      </c>
      <c r="G32" s="59">
        <f>'ملاعب تحت 7 وتحت 9'!I33</f>
        <v>16</v>
      </c>
      <c r="H32" s="67">
        <f>IF(F32=0,0,INDEX('ملخص البطولات'!$J$4:$J$26,MATCH(F32,'ملخص البطولات'!$A$4:$A$26,0))*24)</f>
        <v>2.25</v>
      </c>
      <c r="I32" s="67">
        <f t="shared" si="1"/>
        <v>36</v>
      </c>
      <c r="J32" s="59">
        <f t="shared" si="2"/>
        <v>16</v>
      </c>
      <c r="K32" s="71">
        <f t="shared" si="3"/>
        <v>78</v>
      </c>
      <c r="L32" s="59">
        <f>IF(B32=0,0,INDEX('ملخص البطولات'!$F$4:$F$26,MATCH(B32,'ملخص البطولات'!$A$4:$A$26,0)))</f>
        <v>7</v>
      </c>
      <c r="M32" s="67">
        <f t="shared" si="4"/>
        <v>294</v>
      </c>
      <c r="N32" s="59">
        <f>IF(F32=0,0,INDEX('ملخص البطولات'!$F$4:$F$26,MATCH(F32,'ملخص البطولات'!$A$4:$A$26,0)))</f>
        <v>6</v>
      </c>
      <c r="O32" s="67">
        <f t="shared" si="5"/>
        <v>216</v>
      </c>
      <c r="P32" s="73">
        <f t="shared" si="6"/>
        <v>510</v>
      </c>
    </row>
    <row r="33" spans="1:16" ht="14.5">
      <c r="A33" s="19" t="s">
        <v>644</v>
      </c>
      <c r="B33" s="62">
        <f>SUM(B5:B32)</f>
        <v>299</v>
      </c>
      <c r="C33" s="62">
        <f>SUM(C5:C32)</f>
        <v>117</v>
      </c>
      <c r="D33" s="68"/>
      <c r="E33" s="68">
        <f>SUM(E5:E32)</f>
        <v>283</v>
      </c>
      <c r="F33" s="62">
        <f>SUM(F5:F32)</f>
        <v>428</v>
      </c>
      <c r="G33" s="62">
        <f>SUM(G5:G32)</f>
        <v>161</v>
      </c>
      <c r="H33" s="68"/>
      <c r="I33" s="68">
        <f>SUM(I5:I32)</f>
        <v>396</v>
      </c>
      <c r="J33" s="62">
        <f>SUM(J5:J32)</f>
        <v>162</v>
      </c>
      <c r="K33" s="72">
        <f>SUM(K5:K32)</f>
        <v>679</v>
      </c>
      <c r="L33" s="62"/>
      <c r="M33" s="68">
        <f>SUM(M5:M32)</f>
        <v>1910.5</v>
      </c>
      <c r="N33" s="62"/>
      <c r="O33" s="68">
        <f>SUM(O5:O32)</f>
        <v>2676</v>
      </c>
      <c r="P33" s="68">
        <f>SUM(P5:P32)</f>
        <v>4586.5</v>
      </c>
    </row>
    <row r="34" spans="1:16" ht="14.5">
      <c r="A34" s="56"/>
      <c r="B34" s="56"/>
      <c r="C34" s="56"/>
      <c r="D34" s="56"/>
      <c r="E34" s="56"/>
      <c r="F34" s="56"/>
      <c r="G34" s="56"/>
      <c r="H34" s="56"/>
      <c r="I34" s="56"/>
      <c r="J34" s="56"/>
      <c r="K34" s="56"/>
      <c r="L34" s="56"/>
      <c r="M34" s="56"/>
      <c r="N34" s="56"/>
      <c r="O34" s="56"/>
      <c r="P34" s="56"/>
    </row>
    <row r="35" spans="1:16" ht="14.5">
      <c r="A35" s="69" t="s">
        <v>679</v>
      </c>
      <c r="B35" s="56"/>
      <c r="C35" s="56"/>
      <c r="D35" s="56"/>
      <c r="E35" s="56"/>
      <c r="F35" s="56"/>
      <c r="G35" s="56"/>
      <c r="H35" s="56"/>
      <c r="I35" s="56"/>
      <c r="J35" s="56"/>
      <c r="K35" s="56"/>
      <c r="L35" s="56"/>
      <c r="M35" s="56"/>
      <c r="N35" s="56"/>
      <c r="O35" s="56"/>
      <c r="P35" s="56"/>
    </row>
    <row r="36" spans="1:16" ht="14.5">
      <c r="A36" s="56" t="s">
        <v>680</v>
      </c>
      <c r="B36" s="56"/>
      <c r="C36" s="56"/>
      <c r="D36" s="56"/>
      <c r="E36" s="56"/>
      <c r="F36" s="56"/>
      <c r="G36" s="56"/>
      <c r="H36" s="56"/>
      <c r="I36" s="56"/>
      <c r="J36" s="56"/>
      <c r="K36" s="56"/>
      <c r="L36" s="56"/>
      <c r="M36" s="56"/>
      <c r="N36" s="56"/>
      <c r="O36" s="56"/>
      <c r="P36" s="56"/>
    </row>
    <row r="37" spans="1:16" ht="14.5">
      <c r="A37" s="56" t="s">
        <v>681</v>
      </c>
      <c r="B37" s="56"/>
      <c r="C37" s="56"/>
      <c r="D37" s="56"/>
      <c r="E37" s="56"/>
      <c r="F37" s="56"/>
      <c r="G37" s="56"/>
      <c r="H37" s="56"/>
      <c r="I37" s="56"/>
      <c r="J37" s="56"/>
      <c r="K37" s="56"/>
      <c r="L37" s="56"/>
      <c r="M37" s="56"/>
      <c r="N37" s="56"/>
      <c r="O37" s="56"/>
      <c r="P37" s="56"/>
    </row>
    <row r="38" spans="1:16" ht="14.5">
      <c r="A38" s="56" t="s">
        <v>682</v>
      </c>
      <c r="B38" s="56"/>
      <c r="C38" s="56"/>
      <c r="D38" s="56"/>
      <c r="E38" s="56"/>
      <c r="F38" s="56"/>
      <c r="G38" s="56"/>
      <c r="H38" s="56"/>
      <c r="I38" s="56"/>
      <c r="J38" s="56"/>
      <c r="K38" s="56"/>
      <c r="L38" s="56"/>
      <c r="M38" s="56"/>
      <c r="N38" s="56"/>
      <c r="O38" s="56"/>
      <c r="P38" s="56"/>
    </row>
    <row r="39" spans="1:16" ht="14.5">
      <c r="A39" s="56" t="s">
        <v>689</v>
      </c>
      <c r="L39" s="56"/>
      <c r="M39" s="56"/>
      <c r="N39" s="56"/>
      <c r="O39" s="56"/>
      <c r="P39" s="56"/>
    </row>
  </sheetData>
  <mergeCells count="6">
    <mergeCell ref="A1:P1"/>
    <mergeCell ref="B3:E3"/>
    <mergeCell ref="F3:I3"/>
    <mergeCell ref="J3:K3"/>
    <mergeCell ref="A3:A4"/>
    <mergeCell ref="L3:P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BD4E3-5AD9-43AE-93D4-2736F3B96BF9}">
  <dimension ref="A1:J31"/>
  <sheetViews>
    <sheetView showGridLines="0" rightToLeft="1" workbookViewId="0">
      <pane ySplit="3" topLeftCell="A4" activePane="bottomLeft" state="frozen"/>
      <selection pane="bottomLeft" sqref="A1:J1"/>
    </sheetView>
  </sheetViews>
  <sheetFormatPr defaultRowHeight="14"/>
  <cols>
    <col min="1" max="1" width="18.33203125" customWidth="1"/>
    <col min="2" max="2" width="43.33203125" customWidth="1"/>
    <col min="3" max="10" width="18.33203125" customWidth="1"/>
  </cols>
  <sheetData>
    <row r="1" spans="1:10" ht="18.5">
      <c r="A1" s="145" t="s">
        <v>710</v>
      </c>
      <c r="B1" s="145"/>
      <c r="C1" s="146"/>
      <c r="D1" s="146"/>
      <c r="E1" s="146"/>
      <c r="F1" s="146"/>
      <c r="G1" s="146"/>
      <c r="H1" s="146"/>
      <c r="I1" s="146"/>
      <c r="J1" s="146"/>
    </row>
    <row r="2" spans="1:10" ht="14.5">
      <c r="A2" s="78" t="s">
        <v>645</v>
      </c>
      <c r="B2" s="78"/>
      <c r="C2" s="94" t="s">
        <v>564</v>
      </c>
      <c r="D2" s="76"/>
      <c r="E2" s="76"/>
      <c r="F2" s="76"/>
      <c r="G2" s="76"/>
      <c r="H2" s="76"/>
      <c r="I2" s="76"/>
      <c r="J2" s="76"/>
    </row>
    <row r="3" spans="1:10" ht="48" customHeight="1">
      <c r="A3" s="81" t="s">
        <v>691</v>
      </c>
      <c r="B3" s="81" t="s">
        <v>720</v>
      </c>
      <c r="C3" s="81" t="s">
        <v>646</v>
      </c>
      <c r="D3" s="81" t="s">
        <v>692</v>
      </c>
      <c r="E3" s="81" t="s">
        <v>693</v>
      </c>
      <c r="F3" s="81" t="s">
        <v>694</v>
      </c>
      <c r="G3" s="81" t="s">
        <v>695</v>
      </c>
      <c r="H3" s="81" t="s">
        <v>711</v>
      </c>
      <c r="I3" s="81" t="s">
        <v>697</v>
      </c>
      <c r="J3" s="81" t="s">
        <v>699</v>
      </c>
    </row>
    <row r="4" spans="1:10" ht="14.5">
      <c r="A4" s="82">
        <f>'ملخص البطولات'!A4</f>
        <v>5</v>
      </c>
      <c r="B4" s="100" t="str" cm="1">
        <f t="array" ref="B4">IF(C4=0,"-",_xlfn.TEXTJOIN("، ",TRUE,IF((Sheet1!$B$2:$B$185=$C$2)*(Sheet1!$F$2:$F$185=$A4),Sheet1!$E$2:$E$185,"")))</f>
        <v>طبرجل، شرورة</v>
      </c>
      <c r="C4" s="83">
        <f>COUNTIFS(Sheet1!$F$2:$F$185,$A4,Sheet1!$B$2:$B$185,$C$2)</f>
        <v>2</v>
      </c>
      <c r="D4" s="83">
        <f>'ملخص البطولات'!K4*المدخلات!$B$10</f>
        <v>1</v>
      </c>
      <c r="E4" s="84">
        <f>'الحكام حسب عدد الفرق'!D4</f>
        <v>2.5</v>
      </c>
      <c r="F4" s="84">
        <f t="shared" ref="F4:F26" si="0">D4*E4</f>
        <v>2.5</v>
      </c>
      <c r="G4" s="83">
        <f t="shared" ref="G4:G26" si="1">C4*D4</f>
        <v>2</v>
      </c>
      <c r="H4" s="84">
        <f t="shared" ref="H4:H26" si="2">C4*F4</f>
        <v>5</v>
      </c>
      <c r="I4" s="83">
        <f>'ملخص البطولات'!F4</f>
        <v>7</v>
      </c>
      <c r="J4" s="84">
        <f t="shared" ref="J4:J26" si="3">H4*I4</f>
        <v>35</v>
      </c>
    </row>
    <row r="5" spans="1:10" ht="14.5">
      <c r="A5" s="82">
        <f>'ملخص البطولات'!A5</f>
        <v>6</v>
      </c>
      <c r="B5" s="100" t="str" cm="1">
        <f t="array" ref="B5">IF(C5=0,"-",_xlfn.TEXTJOIN("، ",TRUE,IF((Sheet1!$B$2:$B$185=$C$2)*(Sheet1!$F$2:$F$185=$A5),Sheet1!$E$2:$E$185,"")))</f>
        <v>الباحة، بلقرن، أبها، خميس مشيط</v>
      </c>
      <c r="C5" s="83">
        <f>COUNTIFS(Sheet1!$F$2:$F$185,$A5,Sheet1!$B$2:$B$185,$C$2)</f>
        <v>2</v>
      </c>
      <c r="D5" s="83">
        <f>'ملخص البطولات'!K5*المدخلات!$B$10</f>
        <v>3</v>
      </c>
      <c r="E5" s="84">
        <f>'الحكام حسب عدد الفرق'!D5</f>
        <v>2.25</v>
      </c>
      <c r="F5" s="84">
        <f t="shared" si="0"/>
        <v>6.75</v>
      </c>
      <c r="G5" s="83">
        <f t="shared" si="1"/>
        <v>6</v>
      </c>
      <c r="H5" s="84">
        <f t="shared" si="2"/>
        <v>13.5</v>
      </c>
      <c r="I5" s="83">
        <f>'ملخص البطولات'!F5</f>
        <v>6</v>
      </c>
      <c r="J5" s="84">
        <f t="shared" si="3"/>
        <v>81</v>
      </c>
    </row>
    <row r="6" spans="1:10" ht="14.5">
      <c r="A6" s="82">
        <f>'ملخص البطولات'!A6</f>
        <v>7</v>
      </c>
      <c r="B6" s="100" t="str" cm="1">
        <f t="array" ref="B6">IF(C6=0,"-",_xlfn.TEXTJOIN("، ",TRUE,IF((Sheet1!$B$2:$B$185=$C$2)*(Sheet1!$F$2:$F$185=$A6),Sheet1!$E$2:$E$185,"")))</f>
        <v>حائل، مركز الرفيعة، القريات</v>
      </c>
      <c r="C6" s="83">
        <f>COUNTIFS(Sheet1!$F$2:$F$185,$A6,Sheet1!$B$2:$B$185,$C$2)</f>
        <v>3</v>
      </c>
      <c r="D6" s="83">
        <f>'ملخص البطولات'!K6*المدخلات!$B$10</f>
        <v>2</v>
      </c>
      <c r="E6" s="84">
        <f>'الحكام حسب عدد الفرق'!D6</f>
        <v>2.5</v>
      </c>
      <c r="F6" s="84">
        <f t="shared" si="0"/>
        <v>5</v>
      </c>
      <c r="G6" s="83">
        <f t="shared" si="1"/>
        <v>6</v>
      </c>
      <c r="H6" s="84">
        <f t="shared" si="2"/>
        <v>15</v>
      </c>
      <c r="I6" s="83">
        <f>'ملخص البطولات'!F6</f>
        <v>6</v>
      </c>
      <c r="J6" s="84">
        <f t="shared" si="3"/>
        <v>90</v>
      </c>
    </row>
    <row r="7" spans="1:10" ht="14.5">
      <c r="A7" s="82">
        <f>'ملخص البطولات'!A7</f>
        <v>8</v>
      </c>
      <c r="B7" s="100" t="str" cm="1">
        <f t="array" ref="B7">IF(C7=0,"-",_xlfn.TEXTJOIN("، ",TRUE,IF((Sheet1!$B$2:$B$185=$C$2)*(Sheet1!$F$2:$F$185=$A7),Sheet1!$E$2:$E$185,"")))</f>
        <v>جيزان، أحد المسارحة</v>
      </c>
      <c r="C7" s="83">
        <f>COUNTIFS(Sheet1!$F$2:$F$185,$A7,Sheet1!$B$2:$B$185,$C$2)</f>
        <v>2</v>
      </c>
      <c r="D7" s="83">
        <f>'ملخص البطولات'!K7*المدخلات!$B$10</f>
        <v>4</v>
      </c>
      <c r="E7" s="84">
        <f>'الحكام حسب عدد الفرق'!D7</f>
        <v>1.75</v>
      </c>
      <c r="F7" s="84">
        <f t="shared" si="0"/>
        <v>7</v>
      </c>
      <c r="G7" s="83">
        <f t="shared" si="1"/>
        <v>8</v>
      </c>
      <c r="H7" s="84">
        <f t="shared" si="2"/>
        <v>14</v>
      </c>
      <c r="I7" s="83">
        <f>'ملخص البطولات'!F7</f>
        <v>7</v>
      </c>
      <c r="J7" s="84">
        <f t="shared" si="3"/>
        <v>98</v>
      </c>
    </row>
    <row r="8" spans="1:10" ht="14.5">
      <c r="A8" s="82">
        <f>'ملخص البطولات'!A8</f>
        <v>9</v>
      </c>
      <c r="B8" s="100" t="str" cm="1">
        <f t="array" ref="B8">IF(C8=0,"-",_xlfn.TEXTJOIN("، ",TRUE,IF((Sheet1!$B$2:$B$185=$C$2)*(Sheet1!$F$2:$F$185=$A8),Sheet1!$E$2:$E$185,"")))</f>
        <v>بريدة، عيون الجواء، المذنب، عنيزة، صامطة</v>
      </c>
      <c r="C8" s="83">
        <f>COUNTIFS(Sheet1!$F$2:$F$185,$A8,Sheet1!$B$2:$B$185,$C$2)</f>
        <v>2</v>
      </c>
      <c r="D8" s="83">
        <f>'ملخص البطولات'!K8*المدخلات!$B$10</f>
        <v>3</v>
      </c>
      <c r="E8" s="84">
        <f>'الحكام حسب عدد الفرق'!D8</f>
        <v>2.5</v>
      </c>
      <c r="F8" s="84">
        <f t="shared" si="0"/>
        <v>7.5</v>
      </c>
      <c r="G8" s="83">
        <f t="shared" si="1"/>
        <v>6</v>
      </c>
      <c r="H8" s="84">
        <f t="shared" si="2"/>
        <v>15</v>
      </c>
      <c r="I8" s="83">
        <f>'ملخص البطولات'!F8</f>
        <v>6</v>
      </c>
      <c r="J8" s="84">
        <f t="shared" si="3"/>
        <v>90</v>
      </c>
    </row>
    <row r="9" spans="1:10" ht="14.5">
      <c r="A9" s="82">
        <f>'ملخص البطولات'!A9</f>
        <v>10</v>
      </c>
      <c r="B9" s="100" t="str" cm="1">
        <f t="array" ref="B9">IF(C9=0,"-",_xlfn.TEXTJOIN("، ",TRUE,IF((Sheet1!$B$2:$B$185=$C$2)*(Sheet1!$F$2:$F$185=$A9),Sheet1!$E$2:$E$185,"")))</f>
        <v>القطيف، أبو عريش</v>
      </c>
      <c r="C9" s="83">
        <f>COUNTIFS(Sheet1!$F$2:$F$185,$A9,Sheet1!$B$2:$B$185,$C$2)</f>
        <v>2</v>
      </c>
      <c r="D9" s="83">
        <f>'ملخص البطولات'!K9*المدخلات!$B$10</f>
        <v>4</v>
      </c>
      <c r="E9" s="84">
        <f>'الحكام حسب عدد الفرق'!D9</f>
        <v>2.25</v>
      </c>
      <c r="F9" s="84">
        <f t="shared" si="0"/>
        <v>9</v>
      </c>
      <c r="G9" s="83">
        <f t="shared" si="1"/>
        <v>8</v>
      </c>
      <c r="H9" s="84">
        <f t="shared" si="2"/>
        <v>18</v>
      </c>
      <c r="I9" s="83">
        <f>'ملخص البطولات'!F9</f>
        <v>7</v>
      </c>
      <c r="J9" s="84">
        <f t="shared" si="3"/>
        <v>126</v>
      </c>
    </row>
    <row r="10" spans="1:10" ht="14.5">
      <c r="A10" s="82">
        <f>'ملخص البطولات'!A10</f>
        <v>11</v>
      </c>
      <c r="B10" s="100" t="str" cm="1">
        <f t="array" ref="B10">IF(C10=0,"-",_xlfn.TEXTJOIN("، ",TRUE,IF((Sheet1!$B$2:$B$185=$C$2)*(Sheet1!$F$2:$F$185=$A10),Sheet1!$E$2:$E$185,"")))</f>
        <v>-</v>
      </c>
      <c r="C10" s="83">
        <f>COUNTIFS(Sheet1!$F$2:$F$185,$A10,Sheet1!$B$2:$B$185,$C$2)</f>
        <v>0</v>
      </c>
      <c r="D10" s="83">
        <f>'ملخص البطولات'!K10*المدخلات!$B$10</f>
        <v>4</v>
      </c>
      <c r="E10" s="84">
        <f>'الحكام حسب عدد الفرق'!D10</f>
        <v>3.5</v>
      </c>
      <c r="F10" s="84">
        <f t="shared" si="0"/>
        <v>14</v>
      </c>
      <c r="G10" s="83">
        <f t="shared" si="1"/>
        <v>0</v>
      </c>
      <c r="H10" s="84">
        <f t="shared" si="2"/>
        <v>0</v>
      </c>
      <c r="I10" s="83">
        <f>'ملخص البطولات'!F10</f>
        <v>7</v>
      </c>
      <c r="J10" s="84">
        <f t="shared" si="3"/>
        <v>0</v>
      </c>
    </row>
    <row r="11" spans="1:10" ht="14.5">
      <c r="A11" s="82">
        <f>'ملخص البطولات'!A11</f>
        <v>12</v>
      </c>
      <c r="B11" s="100" t="str" cm="1">
        <f t="array" ref="B11">IF(C11=0,"-",_xlfn.TEXTJOIN("، ",TRUE,IF((Sheet1!$B$2:$B$185=$C$2)*(Sheet1!$F$2:$F$185=$A11),Sheet1!$E$2:$E$185,"")))</f>
        <v>سكاكا، دومة الجندل</v>
      </c>
      <c r="C11" s="83">
        <f>COUNTIFS(Sheet1!$F$2:$F$185,$A11,Sheet1!$B$2:$B$185,$C$2)</f>
        <v>1</v>
      </c>
      <c r="D11" s="83">
        <f>'ملخص البطولات'!K11*المدخلات!$B$10</f>
        <v>4</v>
      </c>
      <c r="E11" s="84">
        <f>'الحكام حسب عدد الفرق'!D11</f>
        <v>2.25</v>
      </c>
      <c r="F11" s="84">
        <f t="shared" si="0"/>
        <v>9</v>
      </c>
      <c r="G11" s="83">
        <f t="shared" si="1"/>
        <v>4</v>
      </c>
      <c r="H11" s="84">
        <f t="shared" si="2"/>
        <v>9</v>
      </c>
      <c r="I11" s="83">
        <f>'ملخص البطولات'!F11</f>
        <v>6</v>
      </c>
      <c r="J11" s="84">
        <f t="shared" si="3"/>
        <v>54</v>
      </c>
    </row>
    <row r="12" spans="1:10" ht="14.5">
      <c r="A12" s="82">
        <f>'ملخص البطولات'!A12</f>
        <v>13</v>
      </c>
      <c r="B12" s="100" t="str" cm="1">
        <f t="array" ref="B12">IF(C12=0,"-",_xlfn.TEXTJOIN("، ",TRUE,IF((Sheet1!$B$2:$B$185=$C$2)*(Sheet1!$F$2:$F$185=$A12),Sheet1!$E$2:$E$185,"")))</f>
        <v>الخفجي، الطائف</v>
      </c>
      <c r="C12" s="83">
        <f>COUNTIFS(Sheet1!$F$2:$F$185,$A12,Sheet1!$B$2:$B$185,$C$2)</f>
        <v>2</v>
      </c>
      <c r="D12" s="83">
        <f>'ملخص البطولات'!K12*المدخلات!$B$10</f>
        <v>4</v>
      </c>
      <c r="E12" s="84">
        <f>'الحكام حسب عدد الفرق'!D12</f>
        <v>2.25</v>
      </c>
      <c r="F12" s="84">
        <f t="shared" si="0"/>
        <v>9</v>
      </c>
      <c r="G12" s="83">
        <f t="shared" si="1"/>
        <v>8</v>
      </c>
      <c r="H12" s="84">
        <f t="shared" si="2"/>
        <v>18</v>
      </c>
      <c r="I12" s="83">
        <f>'ملخص البطولات'!F12</f>
        <v>6</v>
      </c>
      <c r="J12" s="84">
        <f t="shared" si="3"/>
        <v>108</v>
      </c>
    </row>
    <row r="13" spans="1:10" ht="14.5">
      <c r="A13" s="82">
        <f>'ملخص البطولات'!A13</f>
        <v>14</v>
      </c>
      <c r="B13" s="100" t="str" cm="1">
        <f t="array" ref="B13">IF(C13=0,"-",_xlfn.TEXTJOIN("، ",TRUE,IF((Sheet1!$B$2:$B$185=$C$2)*(Sheet1!$F$2:$F$185=$A13),Sheet1!$E$2:$E$185,"")))</f>
        <v>-</v>
      </c>
      <c r="C13" s="83">
        <f>COUNTIFS(Sheet1!$F$2:$F$185,$A13,Sheet1!$B$2:$B$185,$C$2)</f>
        <v>0</v>
      </c>
      <c r="D13" s="83">
        <f>'ملخص البطولات'!K13*المدخلات!$B$10</f>
        <v>4</v>
      </c>
      <c r="E13" s="84">
        <f>'الحكام حسب عدد الفرق'!D13</f>
        <v>2.5</v>
      </c>
      <c r="F13" s="84">
        <f t="shared" si="0"/>
        <v>10</v>
      </c>
      <c r="G13" s="83">
        <f t="shared" si="1"/>
        <v>0</v>
      </c>
      <c r="H13" s="84">
        <f t="shared" si="2"/>
        <v>0</v>
      </c>
      <c r="I13" s="83">
        <f>'ملخص البطولات'!F13</f>
        <v>6</v>
      </c>
      <c r="J13" s="84">
        <f t="shared" si="3"/>
        <v>0</v>
      </c>
    </row>
    <row r="14" spans="1:10" ht="14.5">
      <c r="A14" s="82">
        <f>'ملخص البطولات'!A14</f>
        <v>15</v>
      </c>
      <c r="B14" s="100" t="str" cm="1">
        <f t="array" ref="B14">IF(C14=0,"-",_xlfn.TEXTJOIN("، ",TRUE,IF((Sheet1!$B$2:$B$185=$C$2)*(Sheet1!$F$2:$F$185=$A14),Sheet1!$E$2:$E$185,"")))</f>
        <v>صبيا، ضمد</v>
      </c>
      <c r="C14" s="83">
        <f>COUNTIFS(Sheet1!$F$2:$F$185,$A14,Sheet1!$B$2:$B$185,$C$2)</f>
        <v>1</v>
      </c>
      <c r="D14" s="83">
        <f>'ملخص البطولات'!K14*المدخلات!$B$10</f>
        <v>6</v>
      </c>
      <c r="E14" s="84">
        <f>'الحكام حسب عدد الفرق'!D14</f>
        <v>2.5</v>
      </c>
      <c r="F14" s="84">
        <f t="shared" si="0"/>
        <v>15</v>
      </c>
      <c r="G14" s="83">
        <f t="shared" si="1"/>
        <v>6</v>
      </c>
      <c r="H14" s="84">
        <f t="shared" si="2"/>
        <v>15</v>
      </c>
      <c r="I14" s="83">
        <f>'ملخص البطولات'!F14</f>
        <v>7</v>
      </c>
      <c r="J14" s="84">
        <f t="shared" si="3"/>
        <v>105</v>
      </c>
    </row>
    <row r="15" spans="1:10" ht="14.5">
      <c r="A15" s="82">
        <f>'ملخص البطولات'!A15</f>
        <v>16</v>
      </c>
      <c r="B15" s="100" t="str" cm="1">
        <f t="array" ref="B15">IF(C15=0,"-",_xlfn.TEXTJOIN("، ",TRUE,IF((Sheet1!$B$2:$B$185=$C$2)*(Sheet1!$F$2:$F$185=$A15),Sheet1!$E$2:$E$185,"")))</f>
        <v>المدينة المنورة، الظهران، الخبر، الدمام، سيهات</v>
      </c>
      <c r="C15" s="83">
        <f>COUNTIFS(Sheet1!$F$2:$F$185,$A15,Sheet1!$B$2:$B$185,$C$2)</f>
        <v>2</v>
      </c>
      <c r="D15" s="83">
        <f>'ملخص البطولات'!K15*المدخلات!$B$10</f>
        <v>8</v>
      </c>
      <c r="E15" s="84">
        <f>'الحكام حسب عدد الفرق'!D15</f>
        <v>1.75</v>
      </c>
      <c r="F15" s="84">
        <f t="shared" si="0"/>
        <v>14</v>
      </c>
      <c r="G15" s="83">
        <f t="shared" si="1"/>
        <v>16</v>
      </c>
      <c r="H15" s="84">
        <f t="shared" si="2"/>
        <v>28</v>
      </c>
      <c r="I15" s="83">
        <f>'ملخص البطولات'!F15</f>
        <v>7</v>
      </c>
      <c r="J15" s="84">
        <f t="shared" si="3"/>
        <v>196</v>
      </c>
    </row>
    <row r="16" spans="1:10" ht="14.5">
      <c r="A16" s="82">
        <f>'ملخص البطولات'!A16</f>
        <v>17</v>
      </c>
      <c r="B16" s="100" t="str" cm="1">
        <f t="array" ref="B16">IF(C16=0,"-",_xlfn.TEXTJOIN("، ",TRUE,IF((Sheet1!$B$2:$B$185=$C$2)*(Sheet1!$F$2:$F$185=$A16),Sheet1!$E$2:$E$185,"")))</f>
        <v>حفر الباطن</v>
      </c>
      <c r="C16" s="83">
        <f>COUNTIFS(Sheet1!$F$2:$F$185,$A16,Sheet1!$B$2:$B$185,$C$2)</f>
        <v>1</v>
      </c>
      <c r="D16" s="83">
        <f>'ملخص البطولات'!K16*المدخلات!$B$10</f>
        <v>7</v>
      </c>
      <c r="E16" s="84">
        <f>'الحكام حسب عدد الفرق'!D16</f>
        <v>2.5</v>
      </c>
      <c r="F16" s="84">
        <f t="shared" si="0"/>
        <v>17.5</v>
      </c>
      <c r="G16" s="83">
        <f t="shared" si="1"/>
        <v>7</v>
      </c>
      <c r="H16" s="84">
        <f t="shared" si="2"/>
        <v>17.5</v>
      </c>
      <c r="I16" s="83">
        <f>'ملخص البطولات'!F16</f>
        <v>7</v>
      </c>
      <c r="J16" s="84">
        <f t="shared" si="3"/>
        <v>122.5</v>
      </c>
    </row>
    <row r="17" spans="1:10" ht="14.5">
      <c r="A17" s="82">
        <f>'ملخص البطولات'!A17</f>
        <v>18</v>
      </c>
      <c r="B17" s="100" t="str" cm="1">
        <f t="array" ref="B17">IF(C17=0,"-",_xlfn.TEXTJOIN("، ",TRUE,IF((Sheet1!$B$2:$B$185=$C$2)*(Sheet1!$F$2:$F$185=$A17),Sheet1!$E$2:$E$185,"")))</f>
        <v>الأحساء</v>
      </c>
      <c r="C17" s="83">
        <f>COUNTIFS(Sheet1!$F$2:$F$185,$A17,Sheet1!$B$2:$B$185,$C$2)</f>
        <v>1</v>
      </c>
      <c r="D17" s="83">
        <f>'ملخص البطولات'!K17*المدخلات!$B$10</f>
        <v>8</v>
      </c>
      <c r="E17" s="84">
        <f>'الحكام حسب عدد الفرق'!D17</f>
        <v>2.25</v>
      </c>
      <c r="F17" s="84">
        <f t="shared" si="0"/>
        <v>18</v>
      </c>
      <c r="G17" s="83">
        <f t="shared" si="1"/>
        <v>8</v>
      </c>
      <c r="H17" s="84">
        <f t="shared" si="2"/>
        <v>18</v>
      </c>
      <c r="I17" s="83">
        <f>'ملخص البطولات'!F17</f>
        <v>7</v>
      </c>
      <c r="J17" s="84">
        <f t="shared" si="3"/>
        <v>126</v>
      </c>
    </row>
    <row r="18" spans="1:10" ht="14.5">
      <c r="A18" s="82">
        <f>'ملخص البطولات'!A18</f>
        <v>19</v>
      </c>
      <c r="B18" s="100" t="str" cm="1">
        <f t="array" ref="B18">IF(C18=0,"-",_xlfn.TEXTJOIN("، ",TRUE,IF((Sheet1!$B$2:$B$185=$C$2)*(Sheet1!$F$2:$F$185=$A18),Sheet1!$E$2:$E$185,"")))</f>
        <v>-</v>
      </c>
      <c r="C18" s="83">
        <f>COUNTIFS(Sheet1!$F$2:$F$185,$A18,Sheet1!$B$2:$B$185,$C$2)</f>
        <v>0</v>
      </c>
      <c r="D18" s="83">
        <f>'ملخص البطولات'!K18*المدخلات!$B$10</f>
        <v>7</v>
      </c>
      <c r="E18" s="84">
        <f>'الحكام حسب عدد الفرق'!D18</f>
        <v>2.5</v>
      </c>
      <c r="F18" s="84">
        <f t="shared" si="0"/>
        <v>17.5</v>
      </c>
      <c r="G18" s="83">
        <f t="shared" si="1"/>
        <v>0</v>
      </c>
      <c r="H18" s="84">
        <f t="shared" si="2"/>
        <v>0</v>
      </c>
      <c r="I18" s="83">
        <f>'ملخص البطولات'!F18</f>
        <v>7</v>
      </c>
      <c r="J18" s="84">
        <f t="shared" si="3"/>
        <v>0</v>
      </c>
    </row>
    <row r="19" spans="1:10" ht="14.5">
      <c r="A19" s="82">
        <f>'ملخص البطولات'!A19</f>
        <v>21</v>
      </c>
      <c r="B19" s="100" t="str" cm="1">
        <f t="array" ref="B19">IF(C19=0,"-",_xlfn.TEXTJOIN("، ",TRUE,IF((Sheet1!$B$2:$B$185=$C$2)*(Sheet1!$F$2:$F$185=$A19),Sheet1!$E$2:$E$185,"")))</f>
        <v>مكة المكرمة</v>
      </c>
      <c r="C19" s="83">
        <f>COUNTIFS(Sheet1!$F$2:$F$185,$A19,Sheet1!$B$2:$B$185,$C$2)</f>
        <v>1</v>
      </c>
      <c r="D19" s="83">
        <f>'ملخص البطولات'!K19*المدخلات!$B$10</f>
        <v>8</v>
      </c>
      <c r="E19" s="84">
        <f>'الحكام حسب عدد الفرق'!D19</f>
        <v>3.5</v>
      </c>
      <c r="F19" s="84">
        <f t="shared" si="0"/>
        <v>28</v>
      </c>
      <c r="G19" s="83">
        <f t="shared" si="1"/>
        <v>8</v>
      </c>
      <c r="H19" s="84">
        <f t="shared" si="2"/>
        <v>28</v>
      </c>
      <c r="I19" s="83">
        <f>'ملخص البطولات'!F19</f>
        <v>7</v>
      </c>
      <c r="J19" s="84">
        <f t="shared" si="3"/>
        <v>196</v>
      </c>
    </row>
    <row r="20" spans="1:10" ht="14.5">
      <c r="A20" s="82">
        <f>'ملخص البطولات'!A20</f>
        <v>25</v>
      </c>
      <c r="B20" s="100" t="str" cm="1">
        <f t="array" ref="B20">IF(C20=0,"-",_xlfn.TEXTJOIN("، ",TRUE,IF((Sheet1!$B$2:$B$185=$C$2)*(Sheet1!$F$2:$F$185=$A20),Sheet1!$E$2:$E$185,"")))</f>
        <v>-</v>
      </c>
      <c r="C20" s="83">
        <f>COUNTIFS(Sheet1!$F$2:$F$185,$A20,Sheet1!$B$2:$B$185,$C$2)</f>
        <v>0</v>
      </c>
      <c r="D20" s="83">
        <f>'ملخص البطولات'!K20*المدخلات!$B$10</f>
        <v>11</v>
      </c>
      <c r="E20" s="84">
        <f>'الحكام حسب عدد الفرق'!D20</f>
        <v>2.5</v>
      </c>
      <c r="F20" s="84">
        <f t="shared" si="0"/>
        <v>27.5</v>
      </c>
      <c r="G20" s="83">
        <f t="shared" si="1"/>
        <v>0</v>
      </c>
      <c r="H20" s="84">
        <f t="shared" si="2"/>
        <v>0</v>
      </c>
      <c r="I20" s="83">
        <f>'ملخص البطولات'!F20</f>
        <v>7</v>
      </c>
      <c r="J20" s="84">
        <f t="shared" si="3"/>
        <v>0</v>
      </c>
    </row>
    <row r="21" spans="1:10" ht="14.5">
      <c r="A21" s="82">
        <f>'ملخص البطولات'!A21</f>
        <v>28</v>
      </c>
      <c r="B21" s="100" t="str" cm="1">
        <f t="array" ref="B21">IF(C21=0,"-",_xlfn.TEXTJOIN("، ",TRUE,IF((Sheet1!$B$2:$B$185=$C$2)*(Sheet1!$F$2:$F$185=$A21),Sheet1!$E$2:$E$185,"")))</f>
        <v>-</v>
      </c>
      <c r="C21" s="83">
        <f>COUNTIFS(Sheet1!$F$2:$F$185,$A21,Sheet1!$B$2:$B$185,$C$2)</f>
        <v>0</v>
      </c>
      <c r="D21" s="83">
        <f>'ملخص البطولات'!K21*المدخلات!$B$10</f>
        <v>10</v>
      </c>
      <c r="E21" s="84">
        <f>'الحكام حسب عدد الفرق'!D21</f>
        <v>2.5</v>
      </c>
      <c r="F21" s="84">
        <f t="shared" si="0"/>
        <v>25</v>
      </c>
      <c r="G21" s="83">
        <f t="shared" si="1"/>
        <v>0</v>
      </c>
      <c r="H21" s="84">
        <f t="shared" si="2"/>
        <v>0</v>
      </c>
      <c r="I21" s="83">
        <f>'ملخص البطولات'!F21</f>
        <v>7</v>
      </c>
      <c r="J21" s="84">
        <f t="shared" si="3"/>
        <v>0</v>
      </c>
    </row>
    <row r="22" spans="1:10" ht="14.5">
      <c r="A22" s="82">
        <f>'ملخص البطولات'!A22</f>
        <v>29</v>
      </c>
      <c r="B22" s="100" t="str" cm="1">
        <f t="array" ref="B22">IF(C22=0,"-",_xlfn.TEXTJOIN("، ",TRUE,IF((Sheet1!$B$2:$B$185=$C$2)*(Sheet1!$F$2:$F$185=$A22),Sheet1!$E$2:$E$185,"")))</f>
        <v>-</v>
      </c>
      <c r="C22" s="83">
        <f>COUNTIFS(Sheet1!$F$2:$F$185,$A22,Sheet1!$B$2:$B$185,$C$2)</f>
        <v>0</v>
      </c>
      <c r="D22" s="83">
        <f>'ملخص البطولات'!K22*المدخلات!$B$10</f>
        <v>11</v>
      </c>
      <c r="E22" s="84">
        <f>'الحكام حسب عدد الفرق'!D22</f>
        <v>2.5</v>
      </c>
      <c r="F22" s="84">
        <f t="shared" si="0"/>
        <v>27.5</v>
      </c>
      <c r="G22" s="83">
        <f t="shared" si="1"/>
        <v>0</v>
      </c>
      <c r="H22" s="84">
        <f t="shared" si="2"/>
        <v>0</v>
      </c>
      <c r="I22" s="83">
        <f>'ملخص البطولات'!F22</f>
        <v>7</v>
      </c>
      <c r="J22" s="84">
        <f t="shared" si="3"/>
        <v>0</v>
      </c>
    </row>
    <row r="23" spans="1:10" ht="14.5">
      <c r="A23" s="82">
        <f>'ملخص البطولات'!A23</f>
        <v>30</v>
      </c>
      <c r="B23" s="100" t="str" cm="1">
        <f t="array" ref="B23">IF(C23=0,"-",_xlfn.TEXTJOIN("، ",TRUE,IF((Sheet1!$B$2:$B$185=$C$2)*(Sheet1!$F$2:$F$185=$A23),Sheet1!$E$2:$E$185,"")))</f>
        <v>الرياض</v>
      </c>
      <c r="C23" s="83">
        <f>COUNTIFS(Sheet1!$F$2:$F$185,$A23,Sheet1!$B$2:$B$185,$C$2)</f>
        <v>1</v>
      </c>
      <c r="D23" s="83">
        <f>'ملخص البطولات'!K23*المدخلات!$B$10</f>
        <v>12</v>
      </c>
      <c r="E23" s="84">
        <f>'الحكام حسب عدد الفرق'!D23</f>
        <v>2.25</v>
      </c>
      <c r="F23" s="84">
        <f t="shared" si="0"/>
        <v>27</v>
      </c>
      <c r="G23" s="83">
        <f t="shared" si="1"/>
        <v>12</v>
      </c>
      <c r="H23" s="84">
        <f t="shared" si="2"/>
        <v>27</v>
      </c>
      <c r="I23" s="83">
        <f>'ملخص البطولات'!F23</f>
        <v>7</v>
      </c>
      <c r="J23" s="84">
        <f t="shared" si="3"/>
        <v>189</v>
      </c>
    </row>
    <row r="24" spans="1:10" ht="14.5">
      <c r="A24" s="82">
        <f>'ملخص البطولات'!A24</f>
        <v>31</v>
      </c>
      <c r="B24" s="100" t="str" cm="1">
        <f t="array" ref="B24">IF(C24=0,"-",_xlfn.TEXTJOIN("، ",TRUE,IF((Sheet1!$B$2:$B$185=$C$2)*(Sheet1!$F$2:$F$185=$A24),Sheet1!$E$2:$E$185,"")))</f>
        <v>جدة</v>
      </c>
      <c r="C24" s="83">
        <f>COUNTIFS(Sheet1!$F$2:$F$185,$A24,Sheet1!$B$2:$B$185,$C$2)</f>
        <v>1</v>
      </c>
      <c r="D24" s="83">
        <f>'ملخص البطولات'!K24*المدخلات!$B$10</f>
        <v>12</v>
      </c>
      <c r="E24" s="84">
        <f>'الحكام حسب عدد الفرق'!D24</f>
        <v>3.5</v>
      </c>
      <c r="F24" s="84">
        <f t="shared" si="0"/>
        <v>42</v>
      </c>
      <c r="G24" s="83">
        <f t="shared" si="1"/>
        <v>12</v>
      </c>
      <c r="H24" s="84">
        <f t="shared" si="2"/>
        <v>42</v>
      </c>
      <c r="I24" s="83">
        <f>'ملخص البطولات'!F24</f>
        <v>7</v>
      </c>
      <c r="J24" s="84">
        <f t="shared" si="3"/>
        <v>294</v>
      </c>
    </row>
    <row r="25" spans="1:10" ht="14.5">
      <c r="A25" s="82">
        <f>'ملخص البطولات'!A25</f>
        <v>40</v>
      </c>
      <c r="B25" s="100" t="str" cm="1">
        <f t="array" ref="B25">IF(C25=0,"-",_xlfn.TEXTJOIN("، ",TRUE,IF((Sheet1!$B$2:$B$185=$C$2)*(Sheet1!$F$2:$F$185=$A25),Sheet1!$E$2:$E$185,"")))</f>
        <v>-</v>
      </c>
      <c r="C25" s="83">
        <f>COUNTIFS(Sheet1!$F$2:$F$185,$A25,Sheet1!$B$2:$B$185,$C$2)</f>
        <v>0</v>
      </c>
      <c r="D25" s="83">
        <f>'ملخص البطولات'!K25*المدخلات!$B$10</f>
        <v>16</v>
      </c>
      <c r="E25" s="84">
        <f>'الحكام حسب عدد الفرق'!D25</f>
        <v>2.25</v>
      </c>
      <c r="F25" s="84">
        <f t="shared" si="0"/>
        <v>36</v>
      </c>
      <c r="G25" s="83">
        <f t="shared" si="1"/>
        <v>0</v>
      </c>
      <c r="H25" s="84">
        <f t="shared" si="2"/>
        <v>0</v>
      </c>
      <c r="I25" s="83">
        <f>'ملخص البطولات'!F25</f>
        <v>7</v>
      </c>
      <c r="J25" s="84">
        <f t="shared" si="3"/>
        <v>0</v>
      </c>
    </row>
    <row r="26" spans="1:10" ht="14.5">
      <c r="A26" s="82">
        <f>'ملخص البطولات'!A26</f>
        <v>49</v>
      </c>
      <c r="B26" s="100" t="str" cm="1">
        <f t="array" ref="B26">IF(C26=0,"-",_xlfn.TEXTJOIN("، ",TRUE,IF((Sheet1!$B$2:$B$185=$C$2)*(Sheet1!$F$2:$F$185=$A26),Sheet1!$E$2:$E$185,"")))</f>
        <v>-</v>
      </c>
      <c r="C26" s="83">
        <f>COUNTIFS(Sheet1!$F$2:$F$185,$A26,Sheet1!$B$2:$B$185,$C$2)</f>
        <v>0</v>
      </c>
      <c r="D26" s="83">
        <f>'ملخص البطولات'!K26*المدخلات!$B$10</f>
        <v>16</v>
      </c>
      <c r="E26" s="84">
        <f>'الحكام حسب عدد الفرق'!D26</f>
        <v>2.25</v>
      </c>
      <c r="F26" s="84">
        <f t="shared" si="0"/>
        <v>36</v>
      </c>
      <c r="G26" s="83">
        <f t="shared" si="1"/>
        <v>0</v>
      </c>
      <c r="H26" s="84">
        <f t="shared" si="2"/>
        <v>0</v>
      </c>
      <c r="I26" s="83">
        <f>'ملخص البطولات'!F26</f>
        <v>6</v>
      </c>
      <c r="J26" s="84">
        <f t="shared" si="3"/>
        <v>0</v>
      </c>
    </row>
    <row r="27" spans="1:10" ht="14.5">
      <c r="A27" s="85" t="s">
        <v>700</v>
      </c>
      <c r="B27" s="85"/>
      <c r="C27" s="86">
        <f>SUM(C4:C26)</f>
        <v>24</v>
      </c>
      <c r="D27" s="86"/>
      <c r="E27" s="87"/>
      <c r="F27" s="87"/>
      <c r="G27" s="86">
        <f>SUM(G4:G26)</f>
        <v>117</v>
      </c>
      <c r="H27" s="87">
        <f>SUM(H4:H26)</f>
        <v>283</v>
      </c>
      <c r="I27" s="86"/>
      <c r="J27" s="87">
        <f>SUM(J4:J26)</f>
        <v>1910.5</v>
      </c>
    </row>
    <row r="28" spans="1:10" ht="14.5">
      <c r="A28" s="76"/>
      <c r="B28" s="76"/>
      <c r="C28" s="76"/>
      <c r="D28" s="76"/>
      <c r="E28" s="76"/>
      <c r="F28" s="76"/>
      <c r="G28" s="76"/>
      <c r="H28" s="76"/>
      <c r="I28" s="76"/>
      <c r="J28" s="76"/>
    </row>
    <row r="29" spans="1:10" ht="14.5">
      <c r="A29" s="77" t="s">
        <v>679</v>
      </c>
      <c r="B29" s="77"/>
      <c r="C29" s="76"/>
      <c r="D29" s="76"/>
      <c r="E29" s="76"/>
      <c r="F29" s="76"/>
      <c r="G29" s="76"/>
      <c r="H29" s="76"/>
      <c r="I29" s="76"/>
      <c r="J29" s="76"/>
    </row>
    <row r="30" spans="1:10" ht="14.5">
      <c r="A30" s="76" t="s">
        <v>712</v>
      </c>
      <c r="B30" s="76"/>
      <c r="C30" s="76"/>
      <c r="D30" s="76"/>
      <c r="E30" s="76"/>
      <c r="F30" s="76"/>
      <c r="G30" s="76"/>
      <c r="H30" s="76"/>
      <c r="I30" s="76"/>
      <c r="J30" s="76"/>
    </row>
    <row r="31" spans="1:10" ht="14.5">
      <c r="A31" s="76" t="s">
        <v>713</v>
      </c>
      <c r="B31" s="76"/>
      <c r="C31" s="76"/>
      <c r="D31" s="76"/>
      <c r="E31" s="76"/>
      <c r="F31" s="76"/>
      <c r="G31" s="76"/>
      <c r="H31" s="76"/>
      <c r="I31" s="76"/>
      <c r="J31" s="76"/>
    </row>
  </sheetData>
  <mergeCells count="1">
    <mergeCell ref="A1:J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A5A7-1FD8-45DA-ACCB-839A5B147BF8}">
  <dimension ref="A1:J31"/>
  <sheetViews>
    <sheetView showGridLines="0" rightToLeft="1" workbookViewId="0">
      <pane ySplit="3" topLeftCell="A4" activePane="bottomLeft" state="frozen"/>
      <selection pane="bottomLeft" sqref="A1:I1"/>
    </sheetView>
  </sheetViews>
  <sheetFormatPr defaultRowHeight="14"/>
  <cols>
    <col min="1" max="1" width="18.33203125" customWidth="1"/>
    <col min="2" max="2" width="43.33203125" customWidth="1"/>
    <col min="3" max="10" width="18.33203125" customWidth="1"/>
  </cols>
  <sheetData>
    <row r="1" spans="1:10" ht="18.5">
      <c r="A1" s="145" t="s">
        <v>714</v>
      </c>
      <c r="B1" s="145"/>
      <c r="C1" s="146"/>
      <c r="D1" s="146"/>
      <c r="E1" s="146"/>
      <c r="F1" s="146"/>
      <c r="G1" s="146"/>
      <c r="H1" s="146"/>
      <c r="I1" s="146"/>
      <c r="J1" s="146"/>
    </row>
    <row r="2" spans="1:10" ht="14.5">
      <c r="A2" s="78" t="s">
        <v>645</v>
      </c>
      <c r="B2" s="78"/>
      <c r="C2" s="94" t="s">
        <v>565</v>
      </c>
      <c r="D2" s="76"/>
      <c r="E2" s="76"/>
      <c r="F2" s="76"/>
      <c r="G2" s="76"/>
      <c r="H2" s="76"/>
      <c r="I2" s="76"/>
      <c r="J2" s="76"/>
    </row>
    <row r="3" spans="1:10" ht="48" customHeight="1">
      <c r="A3" s="81" t="s">
        <v>691</v>
      </c>
      <c r="B3" s="81" t="s">
        <v>720</v>
      </c>
      <c r="C3" s="81" t="s">
        <v>646</v>
      </c>
      <c r="D3" s="81" t="s">
        <v>692</v>
      </c>
      <c r="E3" s="81" t="s">
        <v>693</v>
      </c>
      <c r="F3" s="81" t="s">
        <v>694</v>
      </c>
      <c r="G3" s="81" t="s">
        <v>695</v>
      </c>
      <c r="H3" s="81" t="s">
        <v>711</v>
      </c>
      <c r="I3" s="81" t="s">
        <v>697</v>
      </c>
      <c r="J3" s="81" t="s">
        <v>699</v>
      </c>
    </row>
    <row r="4" spans="1:10" ht="14.5">
      <c r="A4" s="82">
        <f>'ملخص البطولات'!A4</f>
        <v>5</v>
      </c>
      <c r="B4" s="100" t="str" cm="1">
        <f t="array" ref="B4">IF(C4=0,"-",_xlfn.TEXTJOIN("، ",TRUE,IF((Sheet1!$B$2:$B$185=$C$2)*(Sheet1!$F$2:$F$185=$A4),Sheet1!$E$2:$E$185,"")))</f>
        <v>الخرج، شرورة، الدوادمي</v>
      </c>
      <c r="C4" s="83">
        <f>COUNTIFS(Sheet1!$F$2:$F$185,$A4,Sheet1!$B$2:$B$185,$C$2)</f>
        <v>3</v>
      </c>
      <c r="D4" s="83">
        <f>'ملخص البطولات'!K4*المدخلات!$B$10</f>
        <v>1</v>
      </c>
      <c r="E4" s="84">
        <f>'الحكام حسب عدد الفرق'!D4</f>
        <v>2.5</v>
      </c>
      <c r="F4" s="84">
        <f t="shared" ref="F4:F26" si="0">D4*E4</f>
        <v>2.5</v>
      </c>
      <c r="G4" s="83">
        <f t="shared" ref="G4:G26" si="1">C4*D4</f>
        <v>3</v>
      </c>
      <c r="H4" s="84">
        <f t="shared" ref="H4:H26" si="2">C4*F4</f>
        <v>7.5</v>
      </c>
      <c r="I4" s="83">
        <f>'ملخص البطولات'!F4</f>
        <v>7</v>
      </c>
      <c r="J4" s="84">
        <f t="shared" ref="J4:J26" si="3">H4*I4</f>
        <v>52.5</v>
      </c>
    </row>
    <row r="5" spans="1:10" ht="14.5">
      <c r="A5" s="82">
        <f>'ملخص البطولات'!A5</f>
        <v>6</v>
      </c>
      <c r="B5" s="100" t="str" cm="1">
        <f t="array" ref="B5">IF(C5=0,"-",_xlfn.TEXTJOIN("، ",TRUE,IF((Sheet1!$B$2:$B$185=$C$2)*(Sheet1!$F$2:$F$185=$A5),Sheet1!$E$2:$E$185,"")))</f>
        <v>القريات، طبرجل</v>
      </c>
      <c r="C5" s="83">
        <f>COUNTIFS(Sheet1!$F$2:$F$185,$A5,Sheet1!$B$2:$B$185,$C$2)</f>
        <v>2</v>
      </c>
      <c r="D5" s="83">
        <f>'ملخص البطولات'!K5*المدخلات!$B$10</f>
        <v>3</v>
      </c>
      <c r="E5" s="84">
        <f>'الحكام حسب عدد الفرق'!D5</f>
        <v>2.25</v>
      </c>
      <c r="F5" s="84">
        <f t="shared" si="0"/>
        <v>6.75</v>
      </c>
      <c r="G5" s="83">
        <f t="shared" si="1"/>
        <v>6</v>
      </c>
      <c r="H5" s="84">
        <f t="shared" si="2"/>
        <v>13.5</v>
      </c>
      <c r="I5" s="83">
        <f>'ملخص البطولات'!F5</f>
        <v>6</v>
      </c>
      <c r="J5" s="84">
        <f t="shared" si="3"/>
        <v>81</v>
      </c>
    </row>
    <row r="6" spans="1:10" ht="14.5">
      <c r="A6" s="82">
        <f>'ملخص البطولات'!A6</f>
        <v>7</v>
      </c>
      <c r="B6" s="100" t="str" cm="1">
        <f t="array" ref="B6">IF(C6=0,"-",_xlfn.TEXTJOIN("، ",TRUE,IF((Sheet1!$B$2:$B$185=$C$2)*(Sheet1!$F$2:$F$185=$A6),Sheet1!$E$2:$E$185,"")))</f>
        <v>مركز الرفيعة، الباحة، بلقرن، العقيق</v>
      </c>
      <c r="C6" s="83">
        <f>COUNTIFS(Sheet1!$F$2:$F$185,$A6,Sheet1!$B$2:$B$185,$C$2)</f>
        <v>2</v>
      </c>
      <c r="D6" s="83">
        <f>'ملخص البطولات'!K6*المدخلات!$B$10</f>
        <v>2</v>
      </c>
      <c r="E6" s="84">
        <f>'الحكام حسب عدد الفرق'!D6</f>
        <v>2.5</v>
      </c>
      <c r="F6" s="84">
        <f t="shared" si="0"/>
        <v>5</v>
      </c>
      <c r="G6" s="83">
        <f t="shared" si="1"/>
        <v>4</v>
      </c>
      <c r="H6" s="84">
        <f t="shared" si="2"/>
        <v>10</v>
      </c>
      <c r="I6" s="83">
        <f>'ملخص البطولات'!F6</f>
        <v>6</v>
      </c>
      <c r="J6" s="84">
        <f t="shared" si="3"/>
        <v>60</v>
      </c>
    </row>
    <row r="7" spans="1:10" ht="14.5">
      <c r="A7" s="82">
        <f>'ملخص البطولات'!A7</f>
        <v>8</v>
      </c>
      <c r="B7" s="100" t="str" cm="1">
        <f t="array" ref="B7">IF(C7=0,"-",_xlfn.TEXTJOIN("، ",TRUE,IF((Sheet1!$B$2:$B$185=$C$2)*(Sheet1!$F$2:$F$185=$A7),Sheet1!$E$2:$E$185,"")))</f>
        <v>البكيرية، الرس، رياض الخبراء، البدائع، القنفذة، أحد المسارحة</v>
      </c>
      <c r="C7" s="83">
        <f>COUNTIFS(Sheet1!$F$2:$F$185,$A7,Sheet1!$B$2:$B$185,$C$2)</f>
        <v>3</v>
      </c>
      <c r="D7" s="83">
        <f>'ملخص البطولات'!K7*المدخلات!$B$10</f>
        <v>4</v>
      </c>
      <c r="E7" s="84">
        <f>'الحكام حسب عدد الفرق'!D7</f>
        <v>1.75</v>
      </c>
      <c r="F7" s="84">
        <f t="shared" si="0"/>
        <v>7</v>
      </c>
      <c r="G7" s="83">
        <f t="shared" si="1"/>
        <v>12</v>
      </c>
      <c r="H7" s="84">
        <f t="shared" si="2"/>
        <v>21</v>
      </c>
      <c r="I7" s="83">
        <f>'ملخص البطولات'!F7</f>
        <v>7</v>
      </c>
      <c r="J7" s="84">
        <f t="shared" si="3"/>
        <v>147</v>
      </c>
    </row>
    <row r="8" spans="1:10" ht="14.5">
      <c r="A8" s="82">
        <f>'ملخص البطولات'!A8</f>
        <v>9</v>
      </c>
      <c r="B8" s="100" t="str" cm="1">
        <f t="array" ref="B8">IF(C8=0,"-",_xlfn.TEXTJOIN("، ",TRUE,IF((Sheet1!$B$2:$B$185=$C$2)*(Sheet1!$F$2:$F$185=$A8),Sheet1!$E$2:$E$185,"")))</f>
        <v>صامطة</v>
      </c>
      <c r="C8" s="83">
        <f>COUNTIFS(Sheet1!$F$2:$F$185,$A8,Sheet1!$B$2:$B$185,$C$2)</f>
        <v>1</v>
      </c>
      <c r="D8" s="83">
        <f>'ملخص البطولات'!K8*المدخلات!$B$10</f>
        <v>3</v>
      </c>
      <c r="E8" s="84">
        <f>'الحكام حسب عدد الفرق'!D8</f>
        <v>2.5</v>
      </c>
      <c r="F8" s="84">
        <f t="shared" si="0"/>
        <v>7.5</v>
      </c>
      <c r="G8" s="83">
        <f t="shared" si="1"/>
        <v>3</v>
      </c>
      <c r="H8" s="84">
        <f t="shared" si="2"/>
        <v>7.5</v>
      </c>
      <c r="I8" s="83">
        <f>'ملخص البطولات'!F8</f>
        <v>6</v>
      </c>
      <c r="J8" s="84">
        <f t="shared" si="3"/>
        <v>45</v>
      </c>
    </row>
    <row r="9" spans="1:10" ht="14.5">
      <c r="A9" s="82">
        <f>'ملخص البطولات'!A9</f>
        <v>10</v>
      </c>
      <c r="B9" s="100" t="str" cm="1">
        <f t="array" ref="B9">IF(C9=0,"-",_xlfn.TEXTJOIN("، ",TRUE,IF((Sheet1!$B$2:$B$185=$C$2)*(Sheet1!$F$2:$F$185=$A9),Sheet1!$E$2:$E$185,"")))</f>
        <v>أبو عريش</v>
      </c>
      <c r="C9" s="83">
        <f>COUNTIFS(Sheet1!$F$2:$F$185,$A9,Sheet1!$B$2:$B$185,$C$2)</f>
        <v>1</v>
      </c>
      <c r="D9" s="83">
        <f>'ملخص البطولات'!K9*المدخلات!$B$10</f>
        <v>4</v>
      </c>
      <c r="E9" s="84">
        <f>'الحكام حسب عدد الفرق'!D9</f>
        <v>2.25</v>
      </c>
      <c r="F9" s="84">
        <f t="shared" si="0"/>
        <v>9</v>
      </c>
      <c r="G9" s="83">
        <f t="shared" si="1"/>
        <v>4</v>
      </c>
      <c r="H9" s="84">
        <f t="shared" si="2"/>
        <v>9</v>
      </c>
      <c r="I9" s="83">
        <f>'ملخص البطولات'!F9</f>
        <v>7</v>
      </c>
      <c r="J9" s="84">
        <f t="shared" si="3"/>
        <v>63</v>
      </c>
    </row>
    <row r="10" spans="1:10" ht="14.5">
      <c r="A10" s="82">
        <f>'ملخص البطولات'!A10</f>
        <v>11</v>
      </c>
      <c r="B10" s="100" t="str" cm="1">
        <f t="array" ref="B10">IF(C10=0,"-",_xlfn.TEXTJOIN("، ",TRUE,IF((Sheet1!$B$2:$B$185=$C$2)*(Sheet1!$F$2:$F$185=$A10),Sheet1!$E$2:$E$185,"")))</f>
        <v>أبها، خميس مشيط، جيزان</v>
      </c>
      <c r="C10" s="83">
        <f>COUNTIFS(Sheet1!$F$2:$F$185,$A10,Sheet1!$B$2:$B$185,$C$2)</f>
        <v>2</v>
      </c>
      <c r="D10" s="83">
        <f>'ملخص البطولات'!K10*المدخلات!$B$10</f>
        <v>4</v>
      </c>
      <c r="E10" s="84">
        <f>'الحكام حسب عدد الفرق'!D10</f>
        <v>3.5</v>
      </c>
      <c r="F10" s="84">
        <f t="shared" si="0"/>
        <v>14</v>
      </c>
      <c r="G10" s="83">
        <f t="shared" si="1"/>
        <v>8</v>
      </c>
      <c r="H10" s="84">
        <f t="shared" si="2"/>
        <v>28</v>
      </c>
      <c r="I10" s="83">
        <f>'ملخص البطولات'!F10</f>
        <v>7</v>
      </c>
      <c r="J10" s="84">
        <f t="shared" si="3"/>
        <v>196</v>
      </c>
    </row>
    <row r="11" spans="1:10" ht="14.5">
      <c r="A11" s="82">
        <f>'ملخص البطولات'!A11</f>
        <v>12</v>
      </c>
      <c r="B11" s="100" t="str" cm="1">
        <f t="array" ref="B11">IF(C11=0,"-",_xlfn.TEXTJOIN("، ",TRUE,IF((Sheet1!$B$2:$B$185=$C$2)*(Sheet1!$F$2:$F$185=$A11),Sheet1!$E$2:$E$185,"")))</f>
        <v>حائل</v>
      </c>
      <c r="C11" s="83">
        <f>COUNTIFS(Sheet1!$F$2:$F$185,$A11,Sheet1!$B$2:$B$185,$C$2)</f>
        <v>1</v>
      </c>
      <c r="D11" s="83">
        <f>'ملخص البطولات'!K11*المدخلات!$B$10</f>
        <v>4</v>
      </c>
      <c r="E11" s="84">
        <f>'الحكام حسب عدد الفرق'!D11</f>
        <v>2.25</v>
      </c>
      <c r="F11" s="84">
        <f t="shared" si="0"/>
        <v>9</v>
      </c>
      <c r="G11" s="83">
        <f t="shared" si="1"/>
        <v>4</v>
      </c>
      <c r="H11" s="84">
        <f t="shared" si="2"/>
        <v>9</v>
      </c>
      <c r="I11" s="83">
        <f>'ملخص البطولات'!F11</f>
        <v>6</v>
      </c>
      <c r="J11" s="84">
        <f t="shared" si="3"/>
        <v>54</v>
      </c>
    </row>
    <row r="12" spans="1:10" ht="14.5">
      <c r="A12" s="82">
        <f>'ملخص البطولات'!A12</f>
        <v>13</v>
      </c>
      <c r="B12" s="100" t="str" cm="1">
        <f t="array" ref="B12">IF(C12=0,"-",_xlfn.TEXTJOIN("، ",TRUE,IF((Sheet1!$B$2:$B$185=$C$2)*(Sheet1!$F$2:$F$185=$A12),Sheet1!$E$2:$E$185,"")))</f>
        <v>-</v>
      </c>
      <c r="C12" s="83">
        <f>COUNTIFS(Sheet1!$F$2:$F$185,$A12,Sheet1!$B$2:$B$185,$C$2)</f>
        <v>0</v>
      </c>
      <c r="D12" s="83">
        <f>'ملخص البطولات'!K12*المدخلات!$B$10</f>
        <v>4</v>
      </c>
      <c r="E12" s="84">
        <f>'الحكام حسب عدد الفرق'!D12</f>
        <v>2.25</v>
      </c>
      <c r="F12" s="84">
        <f t="shared" si="0"/>
        <v>9</v>
      </c>
      <c r="G12" s="83">
        <f t="shared" si="1"/>
        <v>0</v>
      </c>
      <c r="H12" s="84">
        <f t="shared" si="2"/>
        <v>0</v>
      </c>
      <c r="I12" s="83">
        <f>'ملخص البطولات'!F12</f>
        <v>6</v>
      </c>
      <c r="J12" s="84">
        <f t="shared" si="3"/>
        <v>0</v>
      </c>
    </row>
    <row r="13" spans="1:10" ht="14.5">
      <c r="A13" s="82">
        <f>'ملخص البطولات'!A13</f>
        <v>14</v>
      </c>
      <c r="B13" s="100" t="str" cm="1">
        <f t="array" ref="B13">IF(C13=0,"-",_xlfn.TEXTJOIN("، ",TRUE,IF((Sheet1!$B$2:$B$185=$C$2)*(Sheet1!$F$2:$F$185=$A13),Sheet1!$E$2:$E$185,"")))</f>
        <v>الخفجي، بريدة، عيون الجواء، المذنب، عنيزة</v>
      </c>
      <c r="C13" s="83">
        <f>COUNTIFS(Sheet1!$F$2:$F$185,$A13,Sheet1!$B$2:$B$185,$C$2)</f>
        <v>2</v>
      </c>
      <c r="D13" s="83">
        <f>'ملخص البطولات'!K13*المدخلات!$B$10</f>
        <v>4</v>
      </c>
      <c r="E13" s="84">
        <f>'الحكام حسب عدد الفرق'!D13</f>
        <v>2.5</v>
      </c>
      <c r="F13" s="84">
        <f t="shared" si="0"/>
        <v>10</v>
      </c>
      <c r="G13" s="83">
        <f t="shared" si="1"/>
        <v>8</v>
      </c>
      <c r="H13" s="84">
        <f t="shared" si="2"/>
        <v>20</v>
      </c>
      <c r="I13" s="83">
        <f>'ملخص البطولات'!F13</f>
        <v>6</v>
      </c>
      <c r="J13" s="84">
        <f t="shared" si="3"/>
        <v>120</v>
      </c>
    </row>
    <row r="14" spans="1:10" ht="14.5">
      <c r="A14" s="82">
        <f>'ملخص البطولات'!A14</f>
        <v>15</v>
      </c>
      <c r="B14" s="100" t="str" cm="1">
        <f t="array" ref="B14">IF(C14=0,"-",_xlfn.TEXTJOIN("، ",TRUE,IF((Sheet1!$B$2:$B$185=$C$2)*(Sheet1!$F$2:$F$185=$A14),Sheet1!$E$2:$E$185,"")))</f>
        <v>القطيف، الجبيل، سكاكا، دومة الجندل، الطائف</v>
      </c>
      <c r="C14" s="83">
        <f>COUNTIFS(Sheet1!$F$2:$F$185,$A14,Sheet1!$B$2:$B$185,$C$2)</f>
        <v>3</v>
      </c>
      <c r="D14" s="83">
        <f>'ملخص البطولات'!K14*المدخلات!$B$10</f>
        <v>6</v>
      </c>
      <c r="E14" s="84">
        <f>'الحكام حسب عدد الفرق'!D14</f>
        <v>2.5</v>
      </c>
      <c r="F14" s="84">
        <f t="shared" si="0"/>
        <v>15</v>
      </c>
      <c r="G14" s="83">
        <f t="shared" si="1"/>
        <v>18</v>
      </c>
      <c r="H14" s="84">
        <f t="shared" si="2"/>
        <v>45</v>
      </c>
      <c r="I14" s="83">
        <f>'ملخص البطولات'!F14</f>
        <v>7</v>
      </c>
      <c r="J14" s="84">
        <f t="shared" si="3"/>
        <v>315</v>
      </c>
    </row>
    <row r="15" spans="1:10" ht="14.5">
      <c r="A15" s="82">
        <f>'ملخص البطولات'!A15</f>
        <v>16</v>
      </c>
      <c r="B15" s="100" t="str" cm="1">
        <f t="array" ref="B15">IF(C15=0,"-",_xlfn.TEXTJOIN("، ",TRUE,IF((Sheet1!$B$2:$B$185=$C$2)*(Sheet1!$F$2:$F$185=$A15),Sheet1!$E$2:$E$185,"")))</f>
        <v>صبيا، ضمد</v>
      </c>
      <c r="C15" s="83">
        <f>COUNTIFS(Sheet1!$F$2:$F$185,$A15,Sheet1!$B$2:$B$185,$C$2)</f>
        <v>1</v>
      </c>
      <c r="D15" s="83">
        <f>'ملخص البطولات'!K15*المدخلات!$B$10</f>
        <v>8</v>
      </c>
      <c r="E15" s="84">
        <f>'الحكام حسب عدد الفرق'!D15</f>
        <v>1.75</v>
      </c>
      <c r="F15" s="84">
        <f t="shared" si="0"/>
        <v>14</v>
      </c>
      <c r="G15" s="83">
        <f t="shared" si="1"/>
        <v>8</v>
      </c>
      <c r="H15" s="84">
        <f t="shared" si="2"/>
        <v>14</v>
      </c>
      <c r="I15" s="83">
        <f>'ملخص البطولات'!F15</f>
        <v>7</v>
      </c>
      <c r="J15" s="84">
        <f t="shared" si="3"/>
        <v>98</v>
      </c>
    </row>
    <row r="16" spans="1:10" ht="14.5">
      <c r="A16" s="82">
        <f>'ملخص البطولات'!A16</f>
        <v>17</v>
      </c>
      <c r="B16" s="100" t="str" cm="1">
        <f t="array" ref="B16">IF(C16=0,"-",_xlfn.TEXTJOIN("، ",TRUE,IF((Sheet1!$B$2:$B$185=$C$2)*(Sheet1!$F$2:$F$185=$A16),Sheet1!$E$2:$E$185,"")))</f>
        <v>-</v>
      </c>
      <c r="C16" s="83">
        <f>COUNTIFS(Sheet1!$F$2:$F$185,$A16,Sheet1!$B$2:$B$185,$C$2)</f>
        <v>0</v>
      </c>
      <c r="D16" s="83">
        <f>'ملخص البطولات'!K16*المدخلات!$B$10</f>
        <v>7</v>
      </c>
      <c r="E16" s="84">
        <f>'الحكام حسب عدد الفرق'!D16</f>
        <v>2.5</v>
      </c>
      <c r="F16" s="84">
        <f t="shared" si="0"/>
        <v>17.5</v>
      </c>
      <c r="G16" s="83">
        <f t="shared" si="1"/>
        <v>0</v>
      </c>
      <c r="H16" s="84">
        <f t="shared" si="2"/>
        <v>0</v>
      </c>
      <c r="I16" s="83">
        <f>'ملخص البطولات'!F16</f>
        <v>7</v>
      </c>
      <c r="J16" s="84">
        <f t="shared" si="3"/>
        <v>0</v>
      </c>
    </row>
    <row r="17" spans="1:10" ht="14.5">
      <c r="A17" s="82">
        <f>'ملخص البطولات'!A17</f>
        <v>18</v>
      </c>
      <c r="B17" s="100" t="str" cm="1">
        <f t="array" ref="B17">IF(C17=0,"-",_xlfn.TEXTJOIN("، ",TRUE,IF((Sheet1!$B$2:$B$185=$C$2)*(Sheet1!$F$2:$F$185=$A17),Sheet1!$E$2:$E$185,"")))</f>
        <v>-</v>
      </c>
      <c r="C17" s="83">
        <f>COUNTIFS(Sheet1!$F$2:$F$185,$A17,Sheet1!$B$2:$B$185,$C$2)</f>
        <v>0</v>
      </c>
      <c r="D17" s="83">
        <f>'ملخص البطولات'!K17*المدخلات!$B$10</f>
        <v>8</v>
      </c>
      <c r="E17" s="84">
        <f>'الحكام حسب عدد الفرق'!D17</f>
        <v>2.25</v>
      </c>
      <c r="F17" s="84">
        <f t="shared" si="0"/>
        <v>18</v>
      </c>
      <c r="G17" s="83">
        <f t="shared" si="1"/>
        <v>0</v>
      </c>
      <c r="H17" s="84">
        <f t="shared" si="2"/>
        <v>0</v>
      </c>
      <c r="I17" s="83">
        <f>'ملخص البطولات'!F17</f>
        <v>7</v>
      </c>
      <c r="J17" s="84">
        <f t="shared" si="3"/>
        <v>0</v>
      </c>
    </row>
    <row r="18" spans="1:10" ht="14.5">
      <c r="A18" s="82">
        <f>'ملخص البطولات'!A18</f>
        <v>19</v>
      </c>
      <c r="B18" s="100" t="str" cm="1">
        <f t="array" ref="B18">IF(C18=0,"-",_xlfn.TEXTJOIN("، ",TRUE,IF((Sheet1!$B$2:$B$185=$C$2)*(Sheet1!$F$2:$F$185=$A18),Sheet1!$E$2:$E$185,"")))</f>
        <v>حفر الباطن</v>
      </c>
      <c r="C18" s="83">
        <f>COUNTIFS(Sheet1!$F$2:$F$185,$A18,Sheet1!$B$2:$B$185,$C$2)</f>
        <v>1</v>
      </c>
      <c r="D18" s="83">
        <f>'ملخص البطولات'!K18*المدخلات!$B$10</f>
        <v>7</v>
      </c>
      <c r="E18" s="84">
        <f>'الحكام حسب عدد الفرق'!D18</f>
        <v>2.5</v>
      </c>
      <c r="F18" s="84">
        <f t="shared" si="0"/>
        <v>17.5</v>
      </c>
      <c r="G18" s="83">
        <f t="shared" si="1"/>
        <v>7</v>
      </c>
      <c r="H18" s="84">
        <f t="shared" si="2"/>
        <v>17.5</v>
      </c>
      <c r="I18" s="83">
        <f>'ملخص البطولات'!F18</f>
        <v>7</v>
      </c>
      <c r="J18" s="84">
        <f t="shared" si="3"/>
        <v>122.5</v>
      </c>
    </row>
    <row r="19" spans="1:10" ht="14.5">
      <c r="A19" s="82">
        <f>'ملخص البطولات'!A19</f>
        <v>21</v>
      </c>
      <c r="B19" s="100" t="str" cm="1">
        <f t="array" ref="B19">IF(C19=0,"-",_xlfn.TEXTJOIN("، ",TRUE,IF((Sheet1!$B$2:$B$185=$C$2)*(Sheet1!$F$2:$F$185=$A19),Sheet1!$E$2:$E$185,"")))</f>
        <v>-</v>
      </c>
      <c r="C19" s="83">
        <f>COUNTIFS(Sheet1!$F$2:$F$185,$A19,Sheet1!$B$2:$B$185,$C$2)</f>
        <v>0</v>
      </c>
      <c r="D19" s="83">
        <f>'ملخص البطولات'!K19*المدخلات!$B$10</f>
        <v>8</v>
      </c>
      <c r="E19" s="84">
        <f>'الحكام حسب عدد الفرق'!D19</f>
        <v>3.5</v>
      </c>
      <c r="F19" s="84">
        <f t="shared" si="0"/>
        <v>28</v>
      </c>
      <c r="G19" s="83">
        <f t="shared" si="1"/>
        <v>0</v>
      </c>
      <c r="H19" s="84">
        <f t="shared" si="2"/>
        <v>0</v>
      </c>
      <c r="I19" s="83">
        <f>'ملخص البطولات'!F19</f>
        <v>7</v>
      </c>
      <c r="J19" s="84">
        <f t="shared" si="3"/>
        <v>0</v>
      </c>
    </row>
    <row r="20" spans="1:10" ht="14.5">
      <c r="A20" s="82">
        <f>'ملخص البطولات'!A20</f>
        <v>25</v>
      </c>
      <c r="B20" s="100" t="str" cm="1">
        <f t="array" ref="B20">IF(C20=0,"-",_xlfn.TEXTJOIN("، ",TRUE,IF((Sheet1!$B$2:$B$185=$C$2)*(Sheet1!$F$2:$F$185=$A20),Sheet1!$E$2:$E$185,"")))</f>
        <v>المدينة المنورة</v>
      </c>
      <c r="C20" s="83">
        <f>COUNTIFS(Sheet1!$F$2:$F$185,$A20,Sheet1!$B$2:$B$185,$C$2)</f>
        <v>1</v>
      </c>
      <c r="D20" s="83">
        <f>'ملخص البطولات'!K20*المدخلات!$B$10</f>
        <v>11</v>
      </c>
      <c r="E20" s="84">
        <f>'الحكام حسب عدد الفرق'!D20</f>
        <v>2.5</v>
      </c>
      <c r="F20" s="84">
        <f t="shared" si="0"/>
        <v>27.5</v>
      </c>
      <c r="G20" s="83">
        <f t="shared" si="1"/>
        <v>11</v>
      </c>
      <c r="H20" s="84">
        <f t="shared" si="2"/>
        <v>27.5</v>
      </c>
      <c r="I20" s="83">
        <f>'ملخص البطولات'!F20</f>
        <v>7</v>
      </c>
      <c r="J20" s="84">
        <f t="shared" si="3"/>
        <v>192.5</v>
      </c>
    </row>
    <row r="21" spans="1:10" ht="14.5">
      <c r="A21" s="82">
        <f>'ملخص البطولات'!A21</f>
        <v>28</v>
      </c>
      <c r="B21" s="100" t="str" cm="1">
        <f t="array" ref="B21">IF(C21=0,"-",_xlfn.TEXTJOIN("، ",TRUE,IF((Sheet1!$B$2:$B$185=$C$2)*(Sheet1!$F$2:$F$185=$A21),Sheet1!$E$2:$E$185,"")))</f>
        <v>الأحساء</v>
      </c>
      <c r="C21" s="83">
        <f>COUNTIFS(Sheet1!$F$2:$F$185,$A21,Sheet1!$B$2:$B$185,$C$2)</f>
        <v>1</v>
      </c>
      <c r="D21" s="83">
        <f>'ملخص البطولات'!K21*المدخلات!$B$10</f>
        <v>10</v>
      </c>
      <c r="E21" s="84">
        <f>'الحكام حسب عدد الفرق'!D21</f>
        <v>2.5</v>
      </c>
      <c r="F21" s="84">
        <f t="shared" si="0"/>
        <v>25</v>
      </c>
      <c r="G21" s="83">
        <f t="shared" si="1"/>
        <v>10</v>
      </c>
      <c r="H21" s="84">
        <f t="shared" si="2"/>
        <v>25</v>
      </c>
      <c r="I21" s="83">
        <f>'ملخص البطولات'!F21</f>
        <v>7</v>
      </c>
      <c r="J21" s="84">
        <f t="shared" si="3"/>
        <v>175</v>
      </c>
    </row>
    <row r="22" spans="1:10" ht="14.5">
      <c r="A22" s="82">
        <f>'ملخص البطولات'!A22</f>
        <v>29</v>
      </c>
      <c r="B22" s="100" t="str" cm="1">
        <f t="array" ref="B22">IF(C22=0,"-",_xlfn.TEXTJOIN("، ",TRUE,IF((Sheet1!$B$2:$B$185=$C$2)*(Sheet1!$F$2:$F$185=$A22),Sheet1!$E$2:$E$185,"")))</f>
        <v>مكة المكرمة، الجموم</v>
      </c>
      <c r="C22" s="83">
        <f>COUNTIFS(Sheet1!$F$2:$F$185,$A22,Sheet1!$B$2:$B$185,$C$2)</f>
        <v>1</v>
      </c>
      <c r="D22" s="83">
        <f>'ملخص البطولات'!K22*المدخلات!$B$10</f>
        <v>11</v>
      </c>
      <c r="E22" s="84">
        <f>'الحكام حسب عدد الفرق'!D22</f>
        <v>2.5</v>
      </c>
      <c r="F22" s="84">
        <f t="shared" si="0"/>
        <v>27.5</v>
      </c>
      <c r="G22" s="83">
        <f t="shared" si="1"/>
        <v>11</v>
      </c>
      <c r="H22" s="84">
        <f t="shared" si="2"/>
        <v>27.5</v>
      </c>
      <c r="I22" s="83">
        <f>'ملخص البطولات'!F22</f>
        <v>7</v>
      </c>
      <c r="J22" s="84">
        <f t="shared" si="3"/>
        <v>192.5</v>
      </c>
    </row>
    <row r="23" spans="1:10" ht="14.5">
      <c r="A23" s="82">
        <f>'ملخص البطولات'!A23</f>
        <v>30</v>
      </c>
      <c r="B23" s="100" t="str" cm="1">
        <f t="array" ref="B23">IF(C23=0,"-",_xlfn.TEXTJOIN("، ",TRUE,IF((Sheet1!$B$2:$B$185=$C$2)*(Sheet1!$F$2:$F$185=$A23),Sheet1!$E$2:$E$185,"")))</f>
        <v>-</v>
      </c>
      <c r="C23" s="83">
        <f>COUNTIFS(Sheet1!$F$2:$F$185,$A23,Sheet1!$B$2:$B$185,$C$2)</f>
        <v>0</v>
      </c>
      <c r="D23" s="83">
        <f>'ملخص البطولات'!K23*المدخلات!$B$10</f>
        <v>12</v>
      </c>
      <c r="E23" s="84">
        <f>'الحكام حسب عدد الفرق'!D23</f>
        <v>2.25</v>
      </c>
      <c r="F23" s="84">
        <f t="shared" si="0"/>
        <v>27</v>
      </c>
      <c r="G23" s="83">
        <f t="shared" si="1"/>
        <v>0</v>
      </c>
      <c r="H23" s="84">
        <f t="shared" si="2"/>
        <v>0</v>
      </c>
      <c r="I23" s="83">
        <f>'ملخص البطولات'!F23</f>
        <v>7</v>
      </c>
      <c r="J23" s="84">
        <f t="shared" si="3"/>
        <v>0</v>
      </c>
    </row>
    <row r="24" spans="1:10" ht="14.5">
      <c r="A24" s="82">
        <f>'ملخص البطولات'!A24</f>
        <v>31</v>
      </c>
      <c r="B24" s="100" t="str" cm="1">
        <f t="array" ref="B24">IF(C24=0,"-",_xlfn.TEXTJOIN("، ",TRUE,IF((Sheet1!$B$2:$B$185=$C$2)*(Sheet1!$F$2:$F$185=$A24),Sheet1!$E$2:$E$185,"")))</f>
        <v>الظهران، الخبر، الدمام، سيهات</v>
      </c>
      <c r="C24" s="83">
        <f>COUNTIFS(Sheet1!$F$2:$F$185,$A24,Sheet1!$B$2:$B$185,$C$2)</f>
        <v>1</v>
      </c>
      <c r="D24" s="83">
        <f>'ملخص البطولات'!K24*المدخلات!$B$10</f>
        <v>12</v>
      </c>
      <c r="E24" s="84">
        <f>'الحكام حسب عدد الفرق'!D24</f>
        <v>3.5</v>
      </c>
      <c r="F24" s="84">
        <f t="shared" si="0"/>
        <v>42</v>
      </c>
      <c r="G24" s="83">
        <f t="shared" si="1"/>
        <v>12</v>
      </c>
      <c r="H24" s="84">
        <f t="shared" si="2"/>
        <v>42</v>
      </c>
      <c r="I24" s="83">
        <f>'ملخص البطولات'!F24</f>
        <v>7</v>
      </c>
      <c r="J24" s="84">
        <f t="shared" si="3"/>
        <v>294</v>
      </c>
    </row>
    <row r="25" spans="1:10" ht="14.5">
      <c r="A25" s="82">
        <f>'ملخص البطولات'!A25</f>
        <v>40</v>
      </c>
      <c r="B25" s="100" t="str" cm="1">
        <f t="array" ref="B25">IF(C25=0,"-",_xlfn.TEXTJOIN("، ",TRUE,IF((Sheet1!$B$2:$B$185=$C$2)*(Sheet1!$F$2:$F$185=$A25),Sheet1!$E$2:$E$185,"")))</f>
        <v>الرياض</v>
      </c>
      <c r="C25" s="83">
        <f>COUNTIFS(Sheet1!$F$2:$F$185,$A25,Sheet1!$B$2:$B$185,$C$2)</f>
        <v>1</v>
      </c>
      <c r="D25" s="83">
        <f>'ملخص البطولات'!K25*المدخلات!$B$10</f>
        <v>16</v>
      </c>
      <c r="E25" s="84">
        <f>'الحكام حسب عدد الفرق'!D25</f>
        <v>2.25</v>
      </c>
      <c r="F25" s="84">
        <f t="shared" si="0"/>
        <v>36</v>
      </c>
      <c r="G25" s="83">
        <f t="shared" si="1"/>
        <v>16</v>
      </c>
      <c r="H25" s="84">
        <f t="shared" si="2"/>
        <v>36</v>
      </c>
      <c r="I25" s="83">
        <f>'ملخص البطولات'!F25</f>
        <v>7</v>
      </c>
      <c r="J25" s="84">
        <f t="shared" si="3"/>
        <v>252</v>
      </c>
    </row>
    <row r="26" spans="1:10" ht="14.5">
      <c r="A26" s="82">
        <f>'ملخص البطولات'!A26</f>
        <v>49</v>
      </c>
      <c r="B26" s="100" t="str" cm="1">
        <f t="array" ref="B26">IF(C26=0,"-",_xlfn.TEXTJOIN("، ",TRUE,IF((Sheet1!$B$2:$B$185=$C$2)*(Sheet1!$F$2:$F$185=$A26),Sheet1!$E$2:$E$185,"")))</f>
        <v>جدة</v>
      </c>
      <c r="C26" s="83">
        <f>COUNTIFS(Sheet1!$F$2:$F$185,$A26,Sheet1!$B$2:$B$185,$C$2)</f>
        <v>1</v>
      </c>
      <c r="D26" s="83">
        <f>'ملخص البطولات'!K26*المدخلات!$B$10</f>
        <v>16</v>
      </c>
      <c r="E26" s="84">
        <f>'الحكام حسب عدد الفرق'!D26</f>
        <v>2.25</v>
      </c>
      <c r="F26" s="84">
        <f t="shared" si="0"/>
        <v>36</v>
      </c>
      <c r="G26" s="83">
        <f t="shared" si="1"/>
        <v>16</v>
      </c>
      <c r="H26" s="84">
        <f t="shared" si="2"/>
        <v>36</v>
      </c>
      <c r="I26" s="83">
        <f>'ملخص البطولات'!F26</f>
        <v>6</v>
      </c>
      <c r="J26" s="84">
        <f t="shared" si="3"/>
        <v>216</v>
      </c>
    </row>
    <row r="27" spans="1:10" ht="14.5">
      <c r="A27" s="85" t="s">
        <v>700</v>
      </c>
      <c r="B27" s="85"/>
      <c r="C27" s="86">
        <f>SUM(C4:C26)</f>
        <v>28</v>
      </c>
      <c r="D27" s="86"/>
      <c r="E27" s="87"/>
      <c r="F27" s="87"/>
      <c r="G27" s="86">
        <f>SUM(G4:G26)</f>
        <v>161</v>
      </c>
      <c r="H27" s="87">
        <f>SUM(H4:H26)</f>
        <v>396</v>
      </c>
      <c r="I27" s="86"/>
      <c r="J27" s="87">
        <f>SUM(J4:J26)</f>
        <v>2676</v>
      </c>
    </row>
    <row r="28" spans="1:10" ht="14.5">
      <c r="A28" s="76"/>
      <c r="B28" s="76"/>
      <c r="C28" s="76"/>
      <c r="D28" s="76"/>
      <c r="E28" s="76"/>
      <c r="F28" s="76"/>
      <c r="G28" s="76"/>
      <c r="H28" s="76"/>
      <c r="I28" s="76"/>
      <c r="J28" s="76"/>
    </row>
    <row r="29" spans="1:10" ht="14.5">
      <c r="A29" s="77" t="s">
        <v>679</v>
      </c>
      <c r="B29" s="77"/>
      <c r="C29" s="76"/>
      <c r="D29" s="76"/>
      <c r="E29" s="76"/>
      <c r="F29" s="76"/>
      <c r="G29" s="76"/>
      <c r="H29" s="76"/>
      <c r="I29" s="76"/>
      <c r="J29" s="76"/>
    </row>
    <row r="30" spans="1:10" ht="14.5">
      <c r="A30" s="76" t="s">
        <v>712</v>
      </c>
      <c r="B30" s="76"/>
      <c r="C30" s="76"/>
      <c r="D30" s="76"/>
      <c r="E30" s="76"/>
      <c r="F30" s="76"/>
      <c r="G30" s="76"/>
      <c r="H30" s="76"/>
      <c r="I30" s="76"/>
      <c r="J30" s="76"/>
    </row>
    <row r="31" spans="1:10" ht="14.5">
      <c r="A31" s="76" t="s">
        <v>713</v>
      </c>
      <c r="B31" s="76"/>
      <c r="C31" s="76"/>
      <c r="D31" s="76"/>
      <c r="E31" s="76"/>
      <c r="F31" s="76"/>
      <c r="G31" s="76"/>
      <c r="H31" s="76"/>
      <c r="I31" s="76"/>
      <c r="J31" s="76"/>
    </row>
  </sheetData>
  <mergeCells count="1">
    <mergeCell ref="A1:J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9878-0007-4FC7-9133-6C727BCA6F98}">
  <dimension ref="A1:H35"/>
  <sheetViews>
    <sheetView showGridLines="0" rightToLeft="1" workbookViewId="0">
      <pane ySplit="3" topLeftCell="A4" activePane="bottomLeft" state="frozen"/>
      <selection pane="bottomLeft" activeCell="A3" sqref="A3:H32"/>
    </sheetView>
  </sheetViews>
  <sheetFormatPr defaultRowHeight="14"/>
  <cols>
    <col min="1" max="1" width="21.6640625" customWidth="1"/>
    <col min="2" max="2" width="43.33203125" customWidth="1"/>
    <col min="3" max="8" width="18.33203125" customWidth="1"/>
  </cols>
  <sheetData>
    <row r="1" spans="1:8" ht="18.5">
      <c r="A1" s="145" t="s">
        <v>715</v>
      </c>
      <c r="B1" s="145"/>
      <c r="C1" s="146"/>
      <c r="D1" s="146"/>
      <c r="E1" s="146"/>
      <c r="F1" s="146"/>
      <c r="G1" s="146"/>
      <c r="H1" s="146"/>
    </row>
    <row r="2" spans="1:8" ht="14.5">
      <c r="A2" s="78" t="s">
        <v>645</v>
      </c>
      <c r="B2" s="94" t="s">
        <v>564</v>
      </c>
      <c r="C2" s="76"/>
      <c r="D2" s="76"/>
      <c r="E2" s="76"/>
      <c r="F2" s="76"/>
      <c r="G2" s="76"/>
      <c r="H2" s="76"/>
    </row>
    <row r="3" spans="1:8" ht="48" customHeight="1">
      <c r="A3" s="81" t="s">
        <v>364</v>
      </c>
      <c r="B3" s="81" t="s">
        <v>720</v>
      </c>
      <c r="C3" s="81" t="s">
        <v>76</v>
      </c>
      <c r="D3" s="81" t="s">
        <v>674</v>
      </c>
      <c r="E3" s="81" t="s">
        <v>675</v>
      </c>
      <c r="F3" s="81" t="s">
        <v>716</v>
      </c>
      <c r="G3" s="81" t="s">
        <v>401</v>
      </c>
      <c r="H3" s="81" t="s">
        <v>717</v>
      </c>
    </row>
    <row r="4" spans="1:8" ht="14.5">
      <c r="A4" s="95" t="str">
        <f>'حكام تحت 7 وتحت 9'!A5</f>
        <v>مجموعة طبرجل</v>
      </c>
      <c r="B4" s="100" t="str" cm="1">
        <f t="array" ref="B4">IF(C4=0,"-",_xlfn.TEXTJOIN("، ",TRUE,IF((Sheet1!$B$2:$B$185=$B$2)*(Sheet1!$C$2:$C$185=$A4),Sheet1!$E$2:$E$185,"")))</f>
        <v>طبرجل</v>
      </c>
      <c r="C4" s="96">
        <f>'حكام تحت 7 وتحت 9'!B5</f>
        <v>5</v>
      </c>
      <c r="D4" s="96">
        <f>'حكام تحت 7 وتحت 9'!C5</f>
        <v>1</v>
      </c>
      <c r="E4" s="97">
        <f>'حكام تحت 7 وتحت 9'!D5</f>
        <v>2.5</v>
      </c>
      <c r="F4" s="97">
        <f>'حكام تحت 7 وتحت 9'!E5</f>
        <v>2.5</v>
      </c>
      <c r="G4" s="96">
        <f>'حكام تحت 7 وتحت 9'!L5</f>
        <v>7</v>
      </c>
      <c r="H4" s="97">
        <f>'حكام تحت 7 وتحت 9'!M5</f>
        <v>17.5</v>
      </c>
    </row>
    <row r="5" spans="1:8" ht="14.5">
      <c r="A5" s="95" t="str">
        <f>'حكام تحت 7 وتحت 9'!A6</f>
        <v>مجموعة الخرج</v>
      </c>
      <c r="B5" s="100" t="str" cm="1">
        <f t="array" ref="B5">IF(C5=0,"-",_xlfn.TEXTJOIN("، ",TRUE,IF((Sheet1!$B$2:$B$185=$B$2)*(Sheet1!$C$2:$C$185=$A5),Sheet1!$E$2:$E$185,"")))</f>
        <v>-</v>
      </c>
      <c r="C5" s="96">
        <f>'حكام تحت 7 وتحت 9'!B6</f>
        <v>0</v>
      </c>
      <c r="D5" s="96">
        <f>'حكام تحت 7 وتحت 9'!C6</f>
        <v>0</v>
      </c>
      <c r="E5" s="97">
        <f>'حكام تحت 7 وتحت 9'!D6</f>
        <v>0</v>
      </c>
      <c r="F5" s="97">
        <f>'حكام تحت 7 وتحت 9'!E6</f>
        <v>0</v>
      </c>
      <c r="G5" s="96">
        <f>'حكام تحت 7 وتحت 9'!L6</f>
        <v>0</v>
      </c>
      <c r="H5" s="97">
        <f>'حكام تحت 7 وتحت 9'!M6</f>
        <v>0</v>
      </c>
    </row>
    <row r="6" spans="1:8" ht="14.5">
      <c r="A6" s="95" t="str">
        <f>'حكام تحت 7 وتحت 9'!A7</f>
        <v>مجموعة شرورة</v>
      </c>
      <c r="B6" s="100" t="str" cm="1">
        <f t="array" ref="B6">IF(C6=0,"-",_xlfn.TEXTJOIN("، ",TRUE,IF((Sheet1!$B$2:$B$185=$B$2)*(Sheet1!$C$2:$C$185=$A6),Sheet1!$E$2:$E$185,"")))</f>
        <v>شرورة</v>
      </c>
      <c r="C6" s="96">
        <f>'حكام تحت 7 وتحت 9'!B7</f>
        <v>5</v>
      </c>
      <c r="D6" s="96">
        <f>'حكام تحت 7 وتحت 9'!C7</f>
        <v>1</v>
      </c>
      <c r="E6" s="97">
        <f>'حكام تحت 7 وتحت 9'!D7</f>
        <v>2.5</v>
      </c>
      <c r="F6" s="97">
        <f>'حكام تحت 7 وتحت 9'!E7</f>
        <v>2.5</v>
      </c>
      <c r="G6" s="96">
        <f>'حكام تحت 7 وتحت 9'!L7</f>
        <v>7</v>
      </c>
      <c r="H6" s="97">
        <f>'حكام تحت 7 وتحت 9'!M7</f>
        <v>17.5</v>
      </c>
    </row>
    <row r="7" spans="1:8" ht="14.5">
      <c r="A7" s="95" t="str">
        <f>'حكام تحت 7 وتحت 9'!A8</f>
        <v>مجموعة الدوادمي</v>
      </c>
      <c r="B7" s="100" t="str" cm="1">
        <f t="array" ref="B7">IF(C7=0,"-",_xlfn.TEXTJOIN("، ",TRUE,IF((Sheet1!$B$2:$B$185=$B$2)*(Sheet1!$C$2:$C$185=$A7),Sheet1!$E$2:$E$185,"")))</f>
        <v>-</v>
      </c>
      <c r="C7" s="96">
        <f>'حكام تحت 7 وتحت 9'!B8</f>
        <v>0</v>
      </c>
      <c r="D7" s="96">
        <f>'حكام تحت 7 وتحت 9'!C8</f>
        <v>0</v>
      </c>
      <c r="E7" s="97">
        <f>'حكام تحت 7 وتحت 9'!D8</f>
        <v>0</v>
      </c>
      <c r="F7" s="97">
        <f>'حكام تحت 7 وتحت 9'!E8</f>
        <v>0</v>
      </c>
      <c r="G7" s="96">
        <f>'حكام تحت 7 وتحت 9'!L8</f>
        <v>0</v>
      </c>
      <c r="H7" s="97">
        <f>'حكام تحت 7 وتحت 9'!M8</f>
        <v>0</v>
      </c>
    </row>
    <row r="8" spans="1:8" ht="14.5">
      <c r="A8" s="95" t="str">
        <f>'حكام تحت 7 وتحت 9'!A9</f>
        <v>مجموعة القريات</v>
      </c>
      <c r="B8" s="100" t="str" cm="1">
        <f t="array" ref="B8">IF(C8=0,"-",_xlfn.TEXTJOIN("، ",TRUE,IF((Sheet1!$B$2:$B$185=$B$2)*(Sheet1!$C$2:$C$185=$A8),Sheet1!$E$2:$E$185,"")))</f>
        <v>القريات</v>
      </c>
      <c r="C8" s="96">
        <f>'حكام تحت 7 وتحت 9'!B9</f>
        <v>7</v>
      </c>
      <c r="D8" s="96">
        <f>'حكام تحت 7 وتحت 9'!C9</f>
        <v>2</v>
      </c>
      <c r="E8" s="97">
        <f>'حكام تحت 7 وتحت 9'!D9</f>
        <v>2.5</v>
      </c>
      <c r="F8" s="97">
        <f>'حكام تحت 7 وتحت 9'!E9</f>
        <v>5</v>
      </c>
      <c r="G8" s="96">
        <f>'حكام تحت 7 وتحت 9'!L9</f>
        <v>6</v>
      </c>
      <c r="H8" s="97">
        <f>'حكام تحت 7 وتحت 9'!M9</f>
        <v>30</v>
      </c>
    </row>
    <row r="9" spans="1:8" ht="14.5">
      <c r="A9" s="95" t="str">
        <f>'حكام تحت 7 وتحت 9'!A10</f>
        <v>مجموعة الباحة</v>
      </c>
      <c r="B9" s="100" t="str" cm="1">
        <f t="array" ref="B9">IF(C9=0,"-",_xlfn.TEXTJOIN("، ",TRUE,IF((Sheet1!$B$2:$B$185=$B$2)*(Sheet1!$C$2:$C$185=$A9),Sheet1!$E$2:$E$185,"")))</f>
        <v>الباحة، بلقرن</v>
      </c>
      <c r="C9" s="96">
        <f>'حكام تحت 7 وتحت 9'!B10</f>
        <v>6</v>
      </c>
      <c r="D9" s="96">
        <f>'حكام تحت 7 وتحت 9'!C10</f>
        <v>3</v>
      </c>
      <c r="E9" s="97">
        <f>'حكام تحت 7 وتحت 9'!D10</f>
        <v>2.25</v>
      </c>
      <c r="F9" s="97">
        <f>'حكام تحت 7 وتحت 9'!E10</f>
        <v>6.75</v>
      </c>
      <c r="G9" s="96">
        <f>'حكام تحت 7 وتحت 9'!L10</f>
        <v>6</v>
      </c>
      <c r="H9" s="97">
        <f>'حكام تحت 7 وتحت 9'!M10</f>
        <v>40.5</v>
      </c>
    </row>
    <row r="10" spans="1:8" ht="14.5">
      <c r="A10" s="95" t="str">
        <f>'حكام تحت 7 وتحت 9'!A11</f>
        <v>مجموعة حائل</v>
      </c>
      <c r="B10" s="100" t="str" cm="1">
        <f t="array" ref="B10">IF(C10=0,"-",_xlfn.TEXTJOIN("، ",TRUE,IF((Sheet1!$B$2:$B$185=$B$2)*(Sheet1!$C$2:$C$185=$A10),Sheet1!$E$2:$E$185,"")))</f>
        <v>حائل</v>
      </c>
      <c r="C10" s="96">
        <f>'حكام تحت 7 وتحت 9'!B11</f>
        <v>7</v>
      </c>
      <c r="D10" s="96">
        <f>'حكام تحت 7 وتحت 9'!C11</f>
        <v>2</v>
      </c>
      <c r="E10" s="97">
        <f>'حكام تحت 7 وتحت 9'!D11</f>
        <v>2.5</v>
      </c>
      <c r="F10" s="97">
        <f>'حكام تحت 7 وتحت 9'!E11</f>
        <v>5</v>
      </c>
      <c r="G10" s="96">
        <f>'حكام تحت 7 وتحت 9'!L11</f>
        <v>6</v>
      </c>
      <c r="H10" s="97">
        <f>'حكام تحت 7 وتحت 9'!M11</f>
        <v>30</v>
      </c>
    </row>
    <row r="11" spans="1:8" ht="14.5">
      <c r="A11" s="95" t="str">
        <f>'حكام تحت 7 وتحت 9'!A12</f>
        <v>مجموعة أبها</v>
      </c>
      <c r="B11" s="100" t="str" cm="1">
        <f t="array" ref="B11">IF(C11=0,"-",_xlfn.TEXTJOIN("، ",TRUE,IF((Sheet1!$B$2:$B$185=$B$2)*(Sheet1!$C$2:$C$185=$A11),Sheet1!$E$2:$E$185,"")))</f>
        <v>أبها، خميس مشيط</v>
      </c>
      <c r="C11" s="96">
        <f>'حكام تحت 7 وتحت 9'!B12</f>
        <v>6</v>
      </c>
      <c r="D11" s="96">
        <f>'حكام تحت 7 وتحت 9'!C12</f>
        <v>3</v>
      </c>
      <c r="E11" s="97">
        <f>'حكام تحت 7 وتحت 9'!D12</f>
        <v>2.25</v>
      </c>
      <c r="F11" s="97">
        <f>'حكام تحت 7 وتحت 9'!E12</f>
        <v>6.75</v>
      </c>
      <c r="G11" s="96">
        <f>'حكام تحت 7 وتحت 9'!L12</f>
        <v>6</v>
      </c>
      <c r="H11" s="97">
        <f>'حكام تحت 7 وتحت 9'!M12</f>
        <v>40.5</v>
      </c>
    </row>
    <row r="12" spans="1:8" ht="14.5">
      <c r="A12" s="95" t="str">
        <f>'حكام تحت 7 وتحت 9'!A13</f>
        <v>مجموعة الرس</v>
      </c>
      <c r="B12" s="100" t="str" cm="1">
        <f t="array" ref="B12">IF(C12=0,"-",_xlfn.TEXTJOIN("، ",TRUE,IF((Sheet1!$B$2:$B$185=$B$2)*(Sheet1!$C$2:$C$185=$A12),Sheet1!$E$2:$E$185,"")))</f>
        <v>-</v>
      </c>
      <c r="C12" s="96">
        <f>'حكام تحت 7 وتحت 9'!B13</f>
        <v>0</v>
      </c>
      <c r="D12" s="96">
        <f>'حكام تحت 7 وتحت 9'!C13</f>
        <v>0</v>
      </c>
      <c r="E12" s="97">
        <f>'حكام تحت 7 وتحت 9'!D13</f>
        <v>0</v>
      </c>
      <c r="F12" s="97">
        <f>'حكام تحت 7 وتحت 9'!E13</f>
        <v>0</v>
      </c>
      <c r="G12" s="96">
        <f>'حكام تحت 7 وتحت 9'!L13</f>
        <v>0</v>
      </c>
      <c r="H12" s="97">
        <f>'حكام تحت 7 وتحت 9'!M13</f>
        <v>0</v>
      </c>
    </row>
    <row r="13" spans="1:8" ht="14.5">
      <c r="A13" s="95" t="str">
        <f>'حكام تحت 7 وتحت 9'!A14</f>
        <v>مجموعة جازان</v>
      </c>
      <c r="B13" s="100" t="str" cm="1">
        <f t="array" ref="B13">IF(C13=0,"-",_xlfn.TEXTJOIN("، ",TRUE,IF((Sheet1!$B$2:$B$185=$B$2)*(Sheet1!$C$2:$C$185=$A13),Sheet1!$E$2:$E$185,"")))</f>
        <v>جيزان</v>
      </c>
      <c r="C13" s="96">
        <f>'حكام تحت 7 وتحت 9'!B14</f>
        <v>8</v>
      </c>
      <c r="D13" s="96">
        <f>'حكام تحت 7 وتحت 9'!C14</f>
        <v>4</v>
      </c>
      <c r="E13" s="97">
        <f>'حكام تحت 7 وتحت 9'!D14</f>
        <v>1.75</v>
      </c>
      <c r="F13" s="97">
        <f>'حكام تحت 7 وتحت 9'!E14</f>
        <v>7</v>
      </c>
      <c r="G13" s="96">
        <f>'حكام تحت 7 وتحت 9'!L14</f>
        <v>7</v>
      </c>
      <c r="H13" s="97">
        <f>'حكام تحت 7 وتحت 9'!M14</f>
        <v>49</v>
      </c>
    </row>
    <row r="14" spans="1:8" ht="14.5">
      <c r="A14" s="95" t="str">
        <f>'حكام تحت 7 وتحت 9'!A15</f>
        <v>مجموعة مركز الرفيعة</v>
      </c>
      <c r="B14" s="100" t="str" cm="1">
        <f t="array" ref="B14">IF(C14=0,"-",_xlfn.TEXTJOIN("، ",TRUE,IF((Sheet1!$B$2:$B$185=$B$2)*(Sheet1!$C$2:$C$185=$A14),Sheet1!$E$2:$E$185,"")))</f>
        <v>مركز الرفيعة</v>
      </c>
      <c r="C14" s="96">
        <f>'حكام تحت 7 وتحت 9'!B15</f>
        <v>7</v>
      </c>
      <c r="D14" s="96">
        <f>'حكام تحت 7 وتحت 9'!C15</f>
        <v>2</v>
      </c>
      <c r="E14" s="97">
        <f>'حكام تحت 7 وتحت 9'!D15</f>
        <v>2.5</v>
      </c>
      <c r="F14" s="97">
        <f>'حكام تحت 7 وتحت 9'!E15</f>
        <v>5</v>
      </c>
      <c r="G14" s="96">
        <f>'حكام تحت 7 وتحت 9'!L15</f>
        <v>6</v>
      </c>
      <c r="H14" s="97">
        <f>'حكام تحت 7 وتحت 9'!M15</f>
        <v>30</v>
      </c>
    </row>
    <row r="15" spans="1:8" ht="14.5">
      <c r="A15" s="95" t="str">
        <f>'حكام تحت 7 وتحت 9'!A16</f>
        <v>مجموعة القطيف</v>
      </c>
      <c r="B15" s="100" t="str" cm="1">
        <f t="array" ref="B15">IF(C15=0,"-",_xlfn.TEXTJOIN("، ",TRUE,IF((Sheet1!$B$2:$B$185=$B$2)*(Sheet1!$C$2:$C$185=$A15),Sheet1!$E$2:$E$185,"")))</f>
        <v>القطيف</v>
      </c>
      <c r="C15" s="96">
        <f>'حكام تحت 7 وتحت 9'!B16</f>
        <v>10</v>
      </c>
      <c r="D15" s="96">
        <f>'حكام تحت 7 وتحت 9'!C16</f>
        <v>4</v>
      </c>
      <c r="E15" s="97">
        <f>'حكام تحت 7 وتحت 9'!D16</f>
        <v>2.25</v>
      </c>
      <c r="F15" s="97">
        <f>'حكام تحت 7 وتحت 9'!E16</f>
        <v>9</v>
      </c>
      <c r="G15" s="96">
        <f>'حكام تحت 7 وتحت 9'!L16</f>
        <v>7</v>
      </c>
      <c r="H15" s="97">
        <f>'حكام تحت 7 وتحت 9'!M16</f>
        <v>63</v>
      </c>
    </row>
    <row r="16" spans="1:8" ht="14.5">
      <c r="A16" s="95" t="str">
        <f>'حكام تحت 7 وتحت 9'!A17</f>
        <v>مجموعة أحد المسارحة</v>
      </c>
      <c r="B16" s="100" t="str" cm="1">
        <f t="array" ref="B16">IF(C16=0,"-",_xlfn.TEXTJOIN("، ",TRUE,IF((Sheet1!$B$2:$B$185=$B$2)*(Sheet1!$C$2:$C$185=$A16),Sheet1!$E$2:$E$185,"")))</f>
        <v>أحد المسارحة</v>
      </c>
      <c r="C16" s="96">
        <f>'حكام تحت 7 وتحت 9'!B17</f>
        <v>8</v>
      </c>
      <c r="D16" s="96">
        <f>'حكام تحت 7 وتحت 9'!C17</f>
        <v>4</v>
      </c>
      <c r="E16" s="97">
        <f>'حكام تحت 7 وتحت 9'!D17</f>
        <v>1.75</v>
      </c>
      <c r="F16" s="97">
        <f>'حكام تحت 7 وتحت 9'!E17</f>
        <v>7</v>
      </c>
      <c r="G16" s="96">
        <f>'حكام تحت 7 وتحت 9'!L17</f>
        <v>7</v>
      </c>
      <c r="H16" s="97">
        <f>'حكام تحت 7 وتحت 9'!M17</f>
        <v>49</v>
      </c>
    </row>
    <row r="17" spans="1:8" ht="14.5">
      <c r="A17" s="95" t="str">
        <f>'حكام تحت 7 وتحت 9'!A18</f>
        <v>مجموعة سكاكا</v>
      </c>
      <c r="B17" s="100" t="str" cm="1">
        <f t="array" ref="B17">IF(C17=0,"-",_xlfn.TEXTJOIN("، ",TRUE,IF((Sheet1!$B$2:$B$185=$B$2)*(Sheet1!$C$2:$C$185=$A17),Sheet1!$E$2:$E$185,"")))</f>
        <v>سكاكا، دومة الجندل</v>
      </c>
      <c r="C17" s="96">
        <f>'حكام تحت 7 وتحت 9'!B18</f>
        <v>12</v>
      </c>
      <c r="D17" s="96">
        <f>'حكام تحت 7 وتحت 9'!C18</f>
        <v>4</v>
      </c>
      <c r="E17" s="97">
        <f>'حكام تحت 7 وتحت 9'!D18</f>
        <v>2.25</v>
      </c>
      <c r="F17" s="97">
        <f>'حكام تحت 7 وتحت 9'!E18</f>
        <v>9</v>
      </c>
      <c r="G17" s="96">
        <f>'حكام تحت 7 وتحت 9'!L18</f>
        <v>6</v>
      </c>
      <c r="H17" s="97">
        <f>'حكام تحت 7 وتحت 9'!M18</f>
        <v>54</v>
      </c>
    </row>
    <row r="18" spans="1:8" ht="14.5">
      <c r="A18" s="95" t="str">
        <f>'حكام تحت 7 وتحت 9'!A19</f>
        <v>مجموعة الدمام</v>
      </c>
      <c r="B18" s="100" t="str" cm="1">
        <f t="array" ref="B18">IF(C18=0,"-",_xlfn.TEXTJOIN("، ",TRUE,IF((Sheet1!$B$2:$B$185=$B$2)*(Sheet1!$C$2:$C$185=$A18),Sheet1!$E$2:$E$185,"")))</f>
        <v>الظهران، الخبر، الدمام، سيهات</v>
      </c>
      <c r="C18" s="96">
        <f>'حكام تحت 7 وتحت 9'!B19</f>
        <v>16</v>
      </c>
      <c r="D18" s="96">
        <f>'حكام تحت 7 وتحت 9'!C19</f>
        <v>8</v>
      </c>
      <c r="E18" s="97">
        <f>'حكام تحت 7 وتحت 9'!D19</f>
        <v>1.75</v>
      </c>
      <c r="F18" s="97">
        <f>'حكام تحت 7 وتحت 9'!E19</f>
        <v>14</v>
      </c>
      <c r="G18" s="96">
        <f>'حكام تحت 7 وتحت 9'!L19</f>
        <v>7</v>
      </c>
      <c r="H18" s="97">
        <f>'حكام تحت 7 وتحت 9'!M19</f>
        <v>98</v>
      </c>
    </row>
    <row r="19" spans="1:8" ht="14.5">
      <c r="A19" s="95" t="str">
        <f>'حكام تحت 7 وتحت 9'!A20</f>
        <v>مجموعة صامطة</v>
      </c>
      <c r="B19" s="100" t="str" cm="1">
        <f t="array" ref="B19">IF(C19=0,"-",_xlfn.TEXTJOIN("، ",TRUE,IF((Sheet1!$B$2:$B$185=$B$2)*(Sheet1!$C$2:$C$185=$A19),Sheet1!$E$2:$E$185,"")))</f>
        <v>صامطة</v>
      </c>
      <c r="C19" s="96">
        <f>'حكام تحت 7 وتحت 9'!B20</f>
        <v>9</v>
      </c>
      <c r="D19" s="96">
        <f>'حكام تحت 7 وتحت 9'!C20</f>
        <v>3</v>
      </c>
      <c r="E19" s="97">
        <f>'حكام تحت 7 وتحت 9'!D20</f>
        <v>2.5</v>
      </c>
      <c r="F19" s="97">
        <f>'حكام تحت 7 وتحت 9'!E20</f>
        <v>7.5</v>
      </c>
      <c r="G19" s="96">
        <f>'حكام تحت 7 وتحت 9'!L20</f>
        <v>6</v>
      </c>
      <c r="H19" s="97">
        <f>'حكام تحت 7 وتحت 9'!M20</f>
        <v>45</v>
      </c>
    </row>
    <row r="20" spans="1:8" ht="14.5">
      <c r="A20" s="95" t="str">
        <f>'حكام تحت 7 وتحت 9'!A21</f>
        <v>مجموعة القنفذة</v>
      </c>
      <c r="B20" s="100" t="str" cm="1">
        <f t="array" ref="B20">IF(C20=0,"-",_xlfn.TEXTJOIN("، ",TRUE,IF((Sheet1!$B$2:$B$185=$B$2)*(Sheet1!$C$2:$C$185=$A20),Sheet1!$E$2:$E$185,"")))</f>
        <v>-</v>
      </c>
      <c r="C20" s="96">
        <f>'حكام تحت 7 وتحت 9'!B21</f>
        <v>0</v>
      </c>
      <c r="D20" s="96">
        <f>'حكام تحت 7 وتحت 9'!C21</f>
        <v>0</v>
      </c>
      <c r="E20" s="97">
        <f>'حكام تحت 7 وتحت 9'!D21</f>
        <v>0</v>
      </c>
      <c r="F20" s="97">
        <f>'حكام تحت 7 وتحت 9'!E21</f>
        <v>0</v>
      </c>
      <c r="G20" s="96">
        <f>'حكام تحت 7 وتحت 9'!L21</f>
        <v>0</v>
      </c>
      <c r="H20" s="97">
        <f>'حكام تحت 7 وتحت 9'!M21</f>
        <v>0</v>
      </c>
    </row>
    <row r="21" spans="1:8" ht="14.5">
      <c r="A21" s="95" t="str">
        <f>'حكام تحت 7 وتحت 9'!A22</f>
        <v>مجموعة المدينة المنورة</v>
      </c>
      <c r="B21" s="100" t="str" cm="1">
        <f t="array" ref="B21">IF(C21=0,"-",_xlfn.TEXTJOIN("، ",TRUE,IF((Sheet1!$B$2:$B$185=$B$2)*(Sheet1!$C$2:$C$185=$A21),Sheet1!$E$2:$E$185,"")))</f>
        <v>المدينة المنورة</v>
      </c>
      <c r="C21" s="96">
        <f>'حكام تحت 7 وتحت 9'!B22</f>
        <v>16</v>
      </c>
      <c r="D21" s="96">
        <f>'حكام تحت 7 وتحت 9'!C22</f>
        <v>8</v>
      </c>
      <c r="E21" s="97">
        <f>'حكام تحت 7 وتحت 9'!D22</f>
        <v>1.75</v>
      </c>
      <c r="F21" s="97">
        <f>'حكام تحت 7 وتحت 9'!E22</f>
        <v>14</v>
      </c>
      <c r="G21" s="96">
        <f>'حكام تحت 7 وتحت 9'!L22</f>
        <v>7</v>
      </c>
      <c r="H21" s="97">
        <f>'حكام تحت 7 وتحت 9'!M22</f>
        <v>98</v>
      </c>
    </row>
    <row r="22" spans="1:8" ht="14.5">
      <c r="A22" s="95" t="str">
        <f>'حكام تحت 7 وتحت 9'!A23</f>
        <v>مجموعة أبو عريش</v>
      </c>
      <c r="B22" s="100" t="str" cm="1">
        <f t="array" ref="B22">IF(C22=0,"-",_xlfn.TEXTJOIN("، ",TRUE,IF((Sheet1!$B$2:$B$185=$B$2)*(Sheet1!$C$2:$C$185=$A22),Sheet1!$E$2:$E$185,"")))</f>
        <v>أبو عريش</v>
      </c>
      <c r="C22" s="96">
        <f>'حكام تحت 7 وتحت 9'!B23</f>
        <v>10</v>
      </c>
      <c r="D22" s="96">
        <f>'حكام تحت 7 وتحت 9'!C23</f>
        <v>4</v>
      </c>
      <c r="E22" s="97">
        <f>'حكام تحت 7 وتحت 9'!D23</f>
        <v>2.25</v>
      </c>
      <c r="F22" s="97">
        <f>'حكام تحت 7 وتحت 9'!E23</f>
        <v>9</v>
      </c>
      <c r="G22" s="96">
        <f>'حكام تحت 7 وتحت 9'!L23</f>
        <v>7</v>
      </c>
      <c r="H22" s="97">
        <f>'حكام تحت 7 وتحت 9'!M23</f>
        <v>63</v>
      </c>
    </row>
    <row r="23" spans="1:8" ht="14.5">
      <c r="A23" s="95" t="str">
        <f>'حكام تحت 7 وتحت 9'!A24</f>
        <v>مجموعة القصيم</v>
      </c>
      <c r="B23" s="100" t="str" cm="1">
        <f t="array" ref="B23">IF(C23=0,"-",_xlfn.TEXTJOIN("، ",TRUE,IF((Sheet1!$B$2:$B$185=$B$2)*(Sheet1!$C$2:$C$185=$A23),Sheet1!$E$2:$E$185,"")))</f>
        <v>بريدة، عيون الجواء، المذنب، عنيزة</v>
      </c>
      <c r="C23" s="96">
        <f>'حكام تحت 7 وتحت 9'!B24</f>
        <v>9</v>
      </c>
      <c r="D23" s="96">
        <f>'حكام تحت 7 وتحت 9'!C24</f>
        <v>3</v>
      </c>
      <c r="E23" s="97">
        <f>'حكام تحت 7 وتحت 9'!D24</f>
        <v>2.5</v>
      </c>
      <c r="F23" s="97">
        <f>'حكام تحت 7 وتحت 9'!E24</f>
        <v>7.5</v>
      </c>
      <c r="G23" s="96">
        <f>'حكام تحت 7 وتحت 9'!L24</f>
        <v>6</v>
      </c>
      <c r="H23" s="97">
        <f>'حكام تحت 7 وتحت 9'!M24</f>
        <v>45</v>
      </c>
    </row>
    <row r="24" spans="1:8" ht="14.5">
      <c r="A24" s="95" t="str">
        <f>'حكام تحت 7 وتحت 9'!A25</f>
        <v>مجموعة الطائف</v>
      </c>
      <c r="B24" s="100" t="str" cm="1">
        <f t="array" ref="B24">IF(C24=0,"-",_xlfn.TEXTJOIN("، ",TRUE,IF((Sheet1!$B$2:$B$185=$B$2)*(Sheet1!$C$2:$C$185=$A24),Sheet1!$E$2:$E$185,"")))</f>
        <v>الطائف</v>
      </c>
      <c r="C24" s="96">
        <f>'حكام تحت 7 وتحت 9'!B25</f>
        <v>13</v>
      </c>
      <c r="D24" s="96">
        <f>'حكام تحت 7 وتحت 9'!C25</f>
        <v>4</v>
      </c>
      <c r="E24" s="97">
        <f>'حكام تحت 7 وتحت 9'!D25</f>
        <v>2.25</v>
      </c>
      <c r="F24" s="97">
        <f>'حكام تحت 7 وتحت 9'!E25</f>
        <v>9</v>
      </c>
      <c r="G24" s="96">
        <f>'حكام تحت 7 وتحت 9'!L25</f>
        <v>6</v>
      </c>
      <c r="H24" s="97">
        <f>'حكام تحت 7 وتحت 9'!M25</f>
        <v>54</v>
      </c>
    </row>
    <row r="25" spans="1:8" ht="14.5">
      <c r="A25" s="95" t="str">
        <f>'حكام تحت 7 وتحت 9'!A26</f>
        <v>مجموعة الخفجي</v>
      </c>
      <c r="B25" s="100" t="str" cm="1">
        <f t="array" ref="B25">IF(C25=0,"-",_xlfn.TEXTJOIN("، ",TRUE,IF((Sheet1!$B$2:$B$185=$B$2)*(Sheet1!$C$2:$C$185=$A25),Sheet1!$E$2:$E$185,"")))</f>
        <v>الخفجي</v>
      </c>
      <c r="C25" s="96">
        <f>'حكام تحت 7 وتحت 9'!B26</f>
        <v>13</v>
      </c>
      <c r="D25" s="96">
        <f>'حكام تحت 7 وتحت 9'!C26</f>
        <v>4</v>
      </c>
      <c r="E25" s="97">
        <f>'حكام تحت 7 وتحت 9'!D26</f>
        <v>2.25</v>
      </c>
      <c r="F25" s="97">
        <f>'حكام تحت 7 وتحت 9'!E26</f>
        <v>9</v>
      </c>
      <c r="G25" s="96">
        <f>'حكام تحت 7 وتحت 9'!L26</f>
        <v>6</v>
      </c>
      <c r="H25" s="97">
        <f>'حكام تحت 7 وتحت 9'!M26</f>
        <v>54</v>
      </c>
    </row>
    <row r="26" spans="1:8" ht="14.5">
      <c r="A26" s="95" t="str">
        <f>'حكام تحت 7 وتحت 9'!A27</f>
        <v>مجموعة الأحساء</v>
      </c>
      <c r="B26" s="100" t="str" cm="1">
        <f t="array" ref="B26">IF(C26=0,"-",_xlfn.TEXTJOIN("، ",TRUE,IF((Sheet1!$B$2:$B$185=$B$2)*(Sheet1!$C$2:$C$185=$A26),Sheet1!$E$2:$E$185,"")))</f>
        <v>الأحساء</v>
      </c>
      <c r="C26" s="96">
        <f>'حكام تحت 7 وتحت 9'!B27</f>
        <v>18</v>
      </c>
      <c r="D26" s="96">
        <f>'حكام تحت 7 وتحت 9'!C27</f>
        <v>8</v>
      </c>
      <c r="E26" s="97">
        <f>'حكام تحت 7 وتحت 9'!D27</f>
        <v>2.25</v>
      </c>
      <c r="F26" s="97">
        <f>'حكام تحت 7 وتحت 9'!E27</f>
        <v>18</v>
      </c>
      <c r="G26" s="96">
        <f>'حكام تحت 7 وتحت 9'!L27</f>
        <v>7</v>
      </c>
      <c r="H26" s="97">
        <f>'حكام تحت 7 وتحت 9'!M27</f>
        <v>126</v>
      </c>
    </row>
    <row r="27" spans="1:8" ht="14.5">
      <c r="A27" s="95" t="str">
        <f>'حكام تحت 7 وتحت 9'!A28</f>
        <v>مجموعة صبيا</v>
      </c>
      <c r="B27" s="100" t="str" cm="1">
        <f t="array" ref="B27">IF(C27=0,"-",_xlfn.TEXTJOIN("، ",TRUE,IF((Sheet1!$B$2:$B$185=$B$2)*(Sheet1!$C$2:$C$185=$A27),Sheet1!$E$2:$E$185,"")))</f>
        <v>صبيا، ضمد</v>
      </c>
      <c r="C27" s="96">
        <f>'حكام تحت 7 وتحت 9'!B28</f>
        <v>15</v>
      </c>
      <c r="D27" s="96">
        <f>'حكام تحت 7 وتحت 9'!C28</f>
        <v>6</v>
      </c>
      <c r="E27" s="97">
        <f>'حكام تحت 7 وتحت 9'!D28</f>
        <v>2.5</v>
      </c>
      <c r="F27" s="97">
        <f>'حكام تحت 7 وتحت 9'!E28</f>
        <v>15</v>
      </c>
      <c r="G27" s="96">
        <f>'حكام تحت 7 وتحت 9'!L28</f>
        <v>7</v>
      </c>
      <c r="H27" s="97">
        <f>'حكام تحت 7 وتحت 9'!M28</f>
        <v>105</v>
      </c>
    </row>
    <row r="28" spans="1:8" ht="14.5">
      <c r="A28" s="95" t="str">
        <f>'حكام تحت 7 وتحت 9'!A29</f>
        <v>مجموعة مكة المكرمة</v>
      </c>
      <c r="B28" s="100" t="str" cm="1">
        <f t="array" ref="B28">IF(C28=0,"-",_xlfn.TEXTJOIN("، ",TRUE,IF((Sheet1!$B$2:$B$185=$B$2)*(Sheet1!$C$2:$C$185=$A28),Sheet1!$E$2:$E$185,"")))</f>
        <v>مكة المكرمة</v>
      </c>
      <c r="C28" s="96">
        <f>'حكام تحت 7 وتحت 9'!B29</f>
        <v>21</v>
      </c>
      <c r="D28" s="96">
        <f>'حكام تحت 7 وتحت 9'!C29</f>
        <v>8</v>
      </c>
      <c r="E28" s="97">
        <f>'حكام تحت 7 وتحت 9'!D29</f>
        <v>3.5</v>
      </c>
      <c r="F28" s="97">
        <f>'حكام تحت 7 وتحت 9'!E29</f>
        <v>28</v>
      </c>
      <c r="G28" s="96">
        <f>'حكام تحت 7 وتحت 9'!L29</f>
        <v>7</v>
      </c>
      <c r="H28" s="97">
        <f>'حكام تحت 7 وتحت 9'!M29</f>
        <v>196</v>
      </c>
    </row>
    <row r="29" spans="1:8" ht="14.5">
      <c r="A29" s="95" t="str">
        <f>'حكام تحت 7 وتحت 9'!A30</f>
        <v>مجموعة حفر الباطن</v>
      </c>
      <c r="B29" s="100" t="str" cm="1">
        <f t="array" ref="B29">IF(C29=0,"-",_xlfn.TEXTJOIN("، ",TRUE,IF((Sheet1!$B$2:$B$185=$B$2)*(Sheet1!$C$2:$C$185=$A29),Sheet1!$E$2:$E$185,"")))</f>
        <v>حفر الباطن</v>
      </c>
      <c r="C29" s="96">
        <f>'حكام تحت 7 وتحت 9'!B30</f>
        <v>17</v>
      </c>
      <c r="D29" s="96">
        <f>'حكام تحت 7 وتحت 9'!C30</f>
        <v>7</v>
      </c>
      <c r="E29" s="97">
        <f>'حكام تحت 7 وتحت 9'!D30</f>
        <v>2.5</v>
      </c>
      <c r="F29" s="97">
        <f>'حكام تحت 7 وتحت 9'!E30</f>
        <v>17.5</v>
      </c>
      <c r="G29" s="96">
        <f>'حكام تحت 7 وتحت 9'!L30</f>
        <v>7</v>
      </c>
      <c r="H29" s="97">
        <f>'حكام تحت 7 وتحت 9'!M30</f>
        <v>122.5</v>
      </c>
    </row>
    <row r="30" spans="1:8" ht="14.5">
      <c r="A30" s="95" t="str">
        <f>'حكام تحت 7 وتحت 9'!A31</f>
        <v>مجموعة الرياض</v>
      </c>
      <c r="B30" s="100" t="str" cm="1">
        <f t="array" ref="B30">IF(C30=0,"-",_xlfn.TEXTJOIN("، ",TRUE,IF((Sheet1!$B$2:$B$185=$B$2)*(Sheet1!$C$2:$C$185=$A30),Sheet1!$E$2:$E$185,"")))</f>
        <v>الرياض</v>
      </c>
      <c r="C30" s="96">
        <f>'حكام تحت 7 وتحت 9'!B31</f>
        <v>30</v>
      </c>
      <c r="D30" s="96">
        <f>'حكام تحت 7 وتحت 9'!C31</f>
        <v>12</v>
      </c>
      <c r="E30" s="97">
        <f>'حكام تحت 7 وتحت 9'!D31</f>
        <v>2.25</v>
      </c>
      <c r="F30" s="97">
        <f>'حكام تحت 7 وتحت 9'!E31</f>
        <v>27</v>
      </c>
      <c r="G30" s="96">
        <f>'حكام تحت 7 وتحت 9'!L31</f>
        <v>7</v>
      </c>
      <c r="H30" s="97">
        <f>'حكام تحت 7 وتحت 9'!M31</f>
        <v>189</v>
      </c>
    </row>
    <row r="31" spans="1:8" ht="14.5">
      <c r="A31" s="95" t="str">
        <f>'حكام تحت 7 وتحت 9'!A32</f>
        <v>مجموعة جدة</v>
      </c>
      <c r="B31" s="100" t="str" cm="1">
        <f t="array" ref="B31">IF(C31=0,"-",_xlfn.TEXTJOIN("، ",TRUE,IF((Sheet1!$B$2:$B$185=$B$2)*(Sheet1!$C$2:$C$185=$A31),Sheet1!$E$2:$E$185,"")))</f>
        <v>جدة</v>
      </c>
      <c r="C31" s="96">
        <f>'حكام تحت 7 وتحت 9'!B32</f>
        <v>31</v>
      </c>
      <c r="D31" s="96">
        <f>'حكام تحت 7 وتحت 9'!C32</f>
        <v>12</v>
      </c>
      <c r="E31" s="97">
        <f>'حكام تحت 7 وتحت 9'!D32</f>
        <v>3.5</v>
      </c>
      <c r="F31" s="97">
        <f>'حكام تحت 7 وتحت 9'!E32</f>
        <v>42</v>
      </c>
      <c r="G31" s="96">
        <f>'حكام تحت 7 وتحت 9'!L32</f>
        <v>7</v>
      </c>
      <c r="H31" s="97">
        <f>'حكام تحت 7 وتحت 9'!M32</f>
        <v>294</v>
      </c>
    </row>
    <row r="32" spans="1:8" ht="14.5">
      <c r="A32" s="85" t="s">
        <v>644</v>
      </c>
      <c r="B32" s="85"/>
      <c r="C32" s="98">
        <f>SUM(C4:C31)</f>
        <v>299</v>
      </c>
      <c r="D32" s="98">
        <f>SUM(D4:D31)</f>
        <v>117</v>
      </c>
      <c r="E32" s="99"/>
      <c r="F32" s="99">
        <f>SUM(F4:F31)</f>
        <v>283</v>
      </c>
      <c r="G32" s="98"/>
      <c r="H32" s="99">
        <f>SUM(H4:H31)</f>
        <v>1910.5</v>
      </c>
    </row>
    <row r="33" spans="1:8" ht="14.5">
      <c r="A33" s="76"/>
      <c r="B33" s="76"/>
      <c r="C33" s="76"/>
      <c r="D33" s="76"/>
      <c r="E33" s="76"/>
      <c r="F33" s="76"/>
      <c r="G33" s="76"/>
      <c r="H33" s="76"/>
    </row>
    <row r="34" spans="1:8" ht="14.5">
      <c r="A34" s="77" t="s">
        <v>679</v>
      </c>
      <c r="B34" s="77"/>
      <c r="C34" s="76"/>
      <c r="D34" s="76"/>
      <c r="E34" s="76"/>
      <c r="F34" s="76"/>
      <c r="G34" s="76"/>
      <c r="H34" s="76"/>
    </row>
    <row r="35" spans="1:8" ht="14.5">
      <c r="A35" s="76" t="s">
        <v>718</v>
      </c>
      <c r="B35" s="76"/>
      <c r="C35" s="76"/>
      <c r="D35" s="76"/>
      <c r="E35" s="76"/>
      <c r="F35" s="76"/>
      <c r="G35" s="76"/>
      <c r="H35" s="76"/>
    </row>
  </sheetData>
  <mergeCells count="1">
    <mergeCell ref="A1:H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0452F-CEAD-4988-88AC-EF24D1E7D1F4}">
  <dimension ref="A1:H35"/>
  <sheetViews>
    <sheetView showGridLines="0" rightToLeft="1" workbookViewId="0">
      <pane ySplit="3" topLeftCell="A4" activePane="bottomLeft" state="frozen"/>
      <selection pane="bottomLeft" activeCell="A3" sqref="A3:H32"/>
    </sheetView>
  </sheetViews>
  <sheetFormatPr defaultRowHeight="14"/>
  <cols>
    <col min="1" max="1" width="21.6640625" customWidth="1"/>
    <col min="2" max="2" width="43.33203125" customWidth="1"/>
    <col min="3" max="8" width="18.33203125" customWidth="1"/>
  </cols>
  <sheetData>
    <row r="1" spans="1:8" ht="18.5">
      <c r="A1" s="145" t="s">
        <v>719</v>
      </c>
      <c r="B1" s="145"/>
      <c r="C1" s="146"/>
      <c r="D1" s="146"/>
      <c r="E1" s="146"/>
      <c r="F1" s="146"/>
      <c r="G1" s="146"/>
      <c r="H1" s="146"/>
    </row>
    <row r="2" spans="1:8" ht="14.5">
      <c r="A2" s="78" t="s">
        <v>645</v>
      </c>
      <c r="B2" s="94" t="s">
        <v>565</v>
      </c>
      <c r="C2" s="76"/>
      <c r="D2" s="76"/>
      <c r="E2" s="76"/>
      <c r="F2" s="76"/>
      <c r="G2" s="76"/>
      <c r="H2" s="76"/>
    </row>
    <row r="3" spans="1:8" ht="48" customHeight="1">
      <c r="A3" s="81" t="s">
        <v>364</v>
      </c>
      <c r="B3" s="81" t="s">
        <v>720</v>
      </c>
      <c r="C3" s="81" t="s">
        <v>76</v>
      </c>
      <c r="D3" s="81" t="s">
        <v>674</v>
      </c>
      <c r="E3" s="81" t="s">
        <v>675</v>
      </c>
      <c r="F3" s="81" t="s">
        <v>716</v>
      </c>
      <c r="G3" s="81" t="s">
        <v>401</v>
      </c>
      <c r="H3" s="81" t="s">
        <v>717</v>
      </c>
    </row>
    <row r="4" spans="1:8" ht="14.5">
      <c r="A4" s="95" t="str">
        <f>'حكام تحت 7 وتحت 9'!A5</f>
        <v>مجموعة طبرجل</v>
      </c>
      <c r="B4" s="100" t="str" cm="1">
        <f t="array" ref="B4">IF(C4=0,"-",_xlfn.TEXTJOIN("، ",TRUE,IF((Sheet1!$B$2:$B$185=$B$2)*(Sheet1!$C$2:$C$185=$A4),Sheet1!$E$2:$E$185,"")))</f>
        <v>طبرجل</v>
      </c>
      <c r="C4" s="96">
        <f>'حكام تحت 7 وتحت 9'!F5</f>
        <v>6</v>
      </c>
      <c r="D4" s="96">
        <f>'حكام تحت 7 وتحت 9'!G5</f>
        <v>3</v>
      </c>
      <c r="E4" s="97">
        <f>'حكام تحت 7 وتحت 9'!H5</f>
        <v>2.25</v>
      </c>
      <c r="F4" s="97">
        <f>'حكام تحت 7 وتحت 9'!I5</f>
        <v>6.75</v>
      </c>
      <c r="G4" s="96">
        <f>'حكام تحت 7 وتحت 9'!N5</f>
        <v>6</v>
      </c>
      <c r="H4" s="97">
        <f>'حكام تحت 7 وتحت 9'!O5</f>
        <v>40.5</v>
      </c>
    </row>
    <row r="5" spans="1:8" ht="14.5">
      <c r="A5" s="95" t="str">
        <f>'حكام تحت 7 وتحت 9'!A6</f>
        <v>مجموعة الخرج</v>
      </c>
      <c r="B5" s="100" t="str" cm="1">
        <f t="array" ref="B5">IF(C5=0,"-",_xlfn.TEXTJOIN("، ",TRUE,IF((Sheet1!$B$2:$B$185=$B$2)*(Sheet1!$C$2:$C$185=$A5),Sheet1!$E$2:$E$185,"")))</f>
        <v>الخرج</v>
      </c>
      <c r="C5" s="96">
        <f>'حكام تحت 7 وتحت 9'!F6</f>
        <v>5</v>
      </c>
      <c r="D5" s="96">
        <f>'حكام تحت 7 وتحت 9'!G6</f>
        <v>1</v>
      </c>
      <c r="E5" s="97">
        <f>'حكام تحت 7 وتحت 9'!H6</f>
        <v>2.5</v>
      </c>
      <c r="F5" s="97">
        <f>'حكام تحت 7 وتحت 9'!I6</f>
        <v>2.5</v>
      </c>
      <c r="G5" s="96">
        <f>'حكام تحت 7 وتحت 9'!N6</f>
        <v>7</v>
      </c>
      <c r="H5" s="97">
        <f>'حكام تحت 7 وتحت 9'!O6</f>
        <v>17.5</v>
      </c>
    </row>
    <row r="6" spans="1:8" ht="14.5">
      <c r="A6" s="95" t="str">
        <f>'حكام تحت 7 وتحت 9'!A7</f>
        <v>مجموعة شرورة</v>
      </c>
      <c r="B6" s="100" t="str" cm="1">
        <f t="array" ref="B6">IF(C6=0,"-",_xlfn.TEXTJOIN("، ",TRUE,IF((Sheet1!$B$2:$B$185=$B$2)*(Sheet1!$C$2:$C$185=$A6),Sheet1!$E$2:$E$185,"")))</f>
        <v>شرورة</v>
      </c>
      <c r="C6" s="96">
        <f>'حكام تحت 7 وتحت 9'!F7</f>
        <v>5</v>
      </c>
      <c r="D6" s="96">
        <f>'حكام تحت 7 وتحت 9'!G7</f>
        <v>1</v>
      </c>
      <c r="E6" s="97">
        <f>'حكام تحت 7 وتحت 9'!H7</f>
        <v>2.5</v>
      </c>
      <c r="F6" s="97">
        <f>'حكام تحت 7 وتحت 9'!I7</f>
        <v>2.5</v>
      </c>
      <c r="G6" s="96">
        <f>'حكام تحت 7 وتحت 9'!N7</f>
        <v>7</v>
      </c>
      <c r="H6" s="97">
        <f>'حكام تحت 7 وتحت 9'!O7</f>
        <v>17.5</v>
      </c>
    </row>
    <row r="7" spans="1:8" ht="14.5">
      <c r="A7" s="95" t="str">
        <f>'حكام تحت 7 وتحت 9'!A8</f>
        <v>مجموعة الدوادمي</v>
      </c>
      <c r="B7" s="100" t="str" cm="1">
        <f t="array" ref="B7">IF(C7=0,"-",_xlfn.TEXTJOIN("، ",TRUE,IF((Sheet1!$B$2:$B$185=$B$2)*(Sheet1!$C$2:$C$185=$A7),Sheet1!$E$2:$E$185,"")))</f>
        <v>الدوادمي</v>
      </c>
      <c r="C7" s="96">
        <f>'حكام تحت 7 وتحت 9'!F8</f>
        <v>5</v>
      </c>
      <c r="D7" s="96">
        <f>'حكام تحت 7 وتحت 9'!G8</f>
        <v>1</v>
      </c>
      <c r="E7" s="97">
        <f>'حكام تحت 7 وتحت 9'!H8</f>
        <v>2.5</v>
      </c>
      <c r="F7" s="97">
        <f>'حكام تحت 7 وتحت 9'!I8</f>
        <v>2.5</v>
      </c>
      <c r="G7" s="96">
        <f>'حكام تحت 7 وتحت 9'!N8</f>
        <v>7</v>
      </c>
      <c r="H7" s="97">
        <f>'حكام تحت 7 وتحت 9'!O8</f>
        <v>17.5</v>
      </c>
    </row>
    <row r="8" spans="1:8" ht="14.5">
      <c r="A8" s="95" t="str">
        <f>'حكام تحت 7 وتحت 9'!A9</f>
        <v>مجموعة القريات</v>
      </c>
      <c r="B8" s="100" t="str" cm="1">
        <f t="array" ref="B8">IF(C8=0,"-",_xlfn.TEXTJOIN("، ",TRUE,IF((Sheet1!$B$2:$B$185=$B$2)*(Sheet1!$C$2:$C$185=$A8),Sheet1!$E$2:$E$185,"")))</f>
        <v>القريات</v>
      </c>
      <c r="C8" s="96">
        <f>'حكام تحت 7 وتحت 9'!F9</f>
        <v>6</v>
      </c>
      <c r="D8" s="96">
        <f>'حكام تحت 7 وتحت 9'!G9</f>
        <v>3</v>
      </c>
      <c r="E8" s="97">
        <f>'حكام تحت 7 وتحت 9'!H9</f>
        <v>2.25</v>
      </c>
      <c r="F8" s="97">
        <f>'حكام تحت 7 وتحت 9'!I9</f>
        <v>6.75</v>
      </c>
      <c r="G8" s="96">
        <f>'حكام تحت 7 وتحت 9'!N9</f>
        <v>6</v>
      </c>
      <c r="H8" s="97">
        <f>'حكام تحت 7 وتحت 9'!O9</f>
        <v>40.5</v>
      </c>
    </row>
    <row r="9" spans="1:8" ht="14.5">
      <c r="A9" s="95" t="str">
        <f>'حكام تحت 7 وتحت 9'!A10</f>
        <v>مجموعة الباحة</v>
      </c>
      <c r="B9" s="100" t="str" cm="1">
        <f t="array" ref="B9">IF(C9=0,"-",_xlfn.TEXTJOIN("، ",TRUE,IF((Sheet1!$B$2:$B$185=$B$2)*(Sheet1!$C$2:$C$185=$A9),Sheet1!$E$2:$E$185,"")))</f>
        <v>الباحة، بلقرن، العقيق</v>
      </c>
      <c r="C9" s="96">
        <f>'حكام تحت 7 وتحت 9'!F10</f>
        <v>7</v>
      </c>
      <c r="D9" s="96">
        <f>'حكام تحت 7 وتحت 9'!G10</f>
        <v>2</v>
      </c>
      <c r="E9" s="97">
        <f>'حكام تحت 7 وتحت 9'!H10</f>
        <v>2.5</v>
      </c>
      <c r="F9" s="97">
        <f>'حكام تحت 7 وتحت 9'!I10</f>
        <v>5</v>
      </c>
      <c r="G9" s="96">
        <f>'حكام تحت 7 وتحت 9'!N10</f>
        <v>6</v>
      </c>
      <c r="H9" s="97">
        <f>'حكام تحت 7 وتحت 9'!O10</f>
        <v>30</v>
      </c>
    </row>
    <row r="10" spans="1:8" ht="14.5">
      <c r="A10" s="95" t="str">
        <f>'حكام تحت 7 وتحت 9'!A11</f>
        <v>مجموعة حائل</v>
      </c>
      <c r="B10" s="100" t="str" cm="1">
        <f t="array" ref="B10">IF(C10=0,"-",_xlfn.TEXTJOIN("، ",TRUE,IF((Sheet1!$B$2:$B$185=$B$2)*(Sheet1!$C$2:$C$185=$A10),Sheet1!$E$2:$E$185,"")))</f>
        <v>حائل</v>
      </c>
      <c r="C10" s="96">
        <f>'حكام تحت 7 وتحت 9'!F11</f>
        <v>12</v>
      </c>
      <c r="D10" s="96">
        <f>'حكام تحت 7 وتحت 9'!G11</f>
        <v>4</v>
      </c>
      <c r="E10" s="97">
        <f>'حكام تحت 7 وتحت 9'!H11</f>
        <v>2.25</v>
      </c>
      <c r="F10" s="97">
        <f>'حكام تحت 7 وتحت 9'!I11</f>
        <v>9</v>
      </c>
      <c r="G10" s="96">
        <f>'حكام تحت 7 وتحت 9'!N11</f>
        <v>6</v>
      </c>
      <c r="H10" s="97">
        <f>'حكام تحت 7 وتحت 9'!O11</f>
        <v>54</v>
      </c>
    </row>
    <row r="11" spans="1:8" ht="14.5">
      <c r="A11" s="95" t="str">
        <f>'حكام تحت 7 وتحت 9'!A12</f>
        <v>مجموعة أبها</v>
      </c>
      <c r="B11" s="100" t="str" cm="1">
        <f t="array" ref="B11">IF(C11=0,"-",_xlfn.TEXTJOIN("، ",TRUE,IF((Sheet1!$B$2:$B$185=$B$2)*(Sheet1!$C$2:$C$185=$A11),Sheet1!$E$2:$E$185,"")))</f>
        <v>أبها، خميس مشيط</v>
      </c>
      <c r="C11" s="96">
        <f>'حكام تحت 7 وتحت 9'!F12</f>
        <v>11</v>
      </c>
      <c r="D11" s="96">
        <f>'حكام تحت 7 وتحت 9'!G12</f>
        <v>4</v>
      </c>
      <c r="E11" s="97">
        <f>'حكام تحت 7 وتحت 9'!H12</f>
        <v>3.5</v>
      </c>
      <c r="F11" s="97">
        <f>'حكام تحت 7 وتحت 9'!I12</f>
        <v>14</v>
      </c>
      <c r="G11" s="96">
        <f>'حكام تحت 7 وتحت 9'!N12</f>
        <v>7</v>
      </c>
      <c r="H11" s="97">
        <f>'حكام تحت 7 وتحت 9'!O12</f>
        <v>98</v>
      </c>
    </row>
    <row r="12" spans="1:8" ht="14.5">
      <c r="A12" s="95" t="str">
        <f>'حكام تحت 7 وتحت 9'!A13</f>
        <v>مجموعة الرس</v>
      </c>
      <c r="B12" s="100" t="str" cm="1">
        <f t="array" ref="B12">IF(C12=0,"-",_xlfn.TEXTJOIN("، ",TRUE,IF((Sheet1!$B$2:$B$185=$B$2)*(Sheet1!$C$2:$C$185=$A12),Sheet1!$E$2:$E$185,"")))</f>
        <v>البكيرية، الرس، رياض الخبراء، البدائع</v>
      </c>
      <c r="C12" s="96">
        <f>'حكام تحت 7 وتحت 9'!F13</f>
        <v>8</v>
      </c>
      <c r="D12" s="96">
        <f>'حكام تحت 7 وتحت 9'!G13</f>
        <v>4</v>
      </c>
      <c r="E12" s="97">
        <f>'حكام تحت 7 وتحت 9'!H13</f>
        <v>1.75</v>
      </c>
      <c r="F12" s="97">
        <f>'حكام تحت 7 وتحت 9'!I13</f>
        <v>7</v>
      </c>
      <c r="G12" s="96">
        <f>'حكام تحت 7 وتحت 9'!N13</f>
        <v>7</v>
      </c>
      <c r="H12" s="97">
        <f>'حكام تحت 7 وتحت 9'!O13</f>
        <v>49</v>
      </c>
    </row>
    <row r="13" spans="1:8" ht="14.5">
      <c r="A13" s="95" t="str">
        <f>'حكام تحت 7 وتحت 9'!A14</f>
        <v>مجموعة جازان</v>
      </c>
      <c r="B13" s="100" t="str" cm="1">
        <f t="array" ref="B13">IF(C13=0,"-",_xlfn.TEXTJOIN("، ",TRUE,IF((Sheet1!$B$2:$B$185=$B$2)*(Sheet1!$C$2:$C$185=$A13),Sheet1!$E$2:$E$185,"")))</f>
        <v>جيزان</v>
      </c>
      <c r="C13" s="96">
        <f>'حكام تحت 7 وتحت 9'!F14</f>
        <v>11</v>
      </c>
      <c r="D13" s="96">
        <f>'حكام تحت 7 وتحت 9'!G14</f>
        <v>4</v>
      </c>
      <c r="E13" s="97">
        <f>'حكام تحت 7 وتحت 9'!H14</f>
        <v>3.5</v>
      </c>
      <c r="F13" s="97">
        <f>'حكام تحت 7 وتحت 9'!I14</f>
        <v>14</v>
      </c>
      <c r="G13" s="96">
        <f>'حكام تحت 7 وتحت 9'!N14</f>
        <v>7</v>
      </c>
      <c r="H13" s="97">
        <f>'حكام تحت 7 وتحت 9'!O14</f>
        <v>98</v>
      </c>
    </row>
    <row r="14" spans="1:8" ht="14.5">
      <c r="A14" s="95" t="str">
        <f>'حكام تحت 7 وتحت 9'!A15</f>
        <v>مجموعة مركز الرفيعة</v>
      </c>
      <c r="B14" s="100" t="str" cm="1">
        <f t="array" ref="B14">IF(C14=0,"-",_xlfn.TEXTJOIN("، ",TRUE,IF((Sheet1!$B$2:$B$185=$B$2)*(Sheet1!$C$2:$C$185=$A14),Sheet1!$E$2:$E$185,"")))</f>
        <v>مركز الرفيعة</v>
      </c>
      <c r="C14" s="96">
        <f>'حكام تحت 7 وتحت 9'!F15</f>
        <v>7</v>
      </c>
      <c r="D14" s="96">
        <f>'حكام تحت 7 وتحت 9'!G15</f>
        <v>2</v>
      </c>
      <c r="E14" s="97">
        <f>'حكام تحت 7 وتحت 9'!H15</f>
        <v>2.5</v>
      </c>
      <c r="F14" s="97">
        <f>'حكام تحت 7 وتحت 9'!I15</f>
        <v>5</v>
      </c>
      <c r="G14" s="96">
        <f>'حكام تحت 7 وتحت 9'!N15</f>
        <v>6</v>
      </c>
      <c r="H14" s="97">
        <f>'حكام تحت 7 وتحت 9'!O15</f>
        <v>30</v>
      </c>
    </row>
    <row r="15" spans="1:8" ht="14.5">
      <c r="A15" s="95" t="str">
        <f>'حكام تحت 7 وتحت 9'!A16</f>
        <v>مجموعة القطيف</v>
      </c>
      <c r="B15" s="100" t="str" cm="1">
        <f t="array" ref="B15">IF(C15=0,"-",_xlfn.TEXTJOIN("، ",TRUE,IF((Sheet1!$B$2:$B$185=$B$2)*(Sheet1!$C$2:$C$185=$A15),Sheet1!$E$2:$E$185,"")))</f>
        <v>القطيف، الجبيل</v>
      </c>
      <c r="C15" s="96">
        <f>'حكام تحت 7 وتحت 9'!F16</f>
        <v>15</v>
      </c>
      <c r="D15" s="96">
        <f>'حكام تحت 7 وتحت 9'!G16</f>
        <v>6</v>
      </c>
      <c r="E15" s="97">
        <f>'حكام تحت 7 وتحت 9'!H16</f>
        <v>2.5</v>
      </c>
      <c r="F15" s="97">
        <f>'حكام تحت 7 وتحت 9'!I16</f>
        <v>15</v>
      </c>
      <c r="G15" s="96">
        <f>'حكام تحت 7 وتحت 9'!N16</f>
        <v>7</v>
      </c>
      <c r="H15" s="97">
        <f>'حكام تحت 7 وتحت 9'!O16</f>
        <v>105</v>
      </c>
    </row>
    <row r="16" spans="1:8" ht="14.5">
      <c r="A16" s="95" t="str">
        <f>'حكام تحت 7 وتحت 9'!A17</f>
        <v>مجموعة أحد المسارحة</v>
      </c>
      <c r="B16" s="100" t="str" cm="1">
        <f t="array" ref="B16">IF(C16=0,"-",_xlfn.TEXTJOIN("، ",TRUE,IF((Sheet1!$B$2:$B$185=$B$2)*(Sheet1!$C$2:$C$185=$A16),Sheet1!$E$2:$E$185,"")))</f>
        <v>أحد المسارحة</v>
      </c>
      <c r="C16" s="96">
        <f>'حكام تحت 7 وتحت 9'!F17</f>
        <v>8</v>
      </c>
      <c r="D16" s="96">
        <f>'حكام تحت 7 وتحت 9'!G17</f>
        <v>4</v>
      </c>
      <c r="E16" s="97">
        <f>'حكام تحت 7 وتحت 9'!H17</f>
        <v>1.75</v>
      </c>
      <c r="F16" s="97">
        <f>'حكام تحت 7 وتحت 9'!I17</f>
        <v>7</v>
      </c>
      <c r="G16" s="96">
        <f>'حكام تحت 7 وتحت 9'!N17</f>
        <v>7</v>
      </c>
      <c r="H16" s="97">
        <f>'حكام تحت 7 وتحت 9'!O17</f>
        <v>49</v>
      </c>
    </row>
    <row r="17" spans="1:8" ht="14.5">
      <c r="A17" s="95" t="str">
        <f>'حكام تحت 7 وتحت 9'!A18</f>
        <v>مجموعة سكاكا</v>
      </c>
      <c r="B17" s="100" t="str" cm="1">
        <f t="array" ref="B17">IF(C17=0,"-",_xlfn.TEXTJOIN("، ",TRUE,IF((Sheet1!$B$2:$B$185=$B$2)*(Sheet1!$C$2:$C$185=$A17),Sheet1!$E$2:$E$185,"")))</f>
        <v>سكاكا، دومة الجندل</v>
      </c>
      <c r="C17" s="96">
        <f>'حكام تحت 7 وتحت 9'!F18</f>
        <v>15</v>
      </c>
      <c r="D17" s="96">
        <f>'حكام تحت 7 وتحت 9'!G18</f>
        <v>6</v>
      </c>
      <c r="E17" s="97">
        <f>'حكام تحت 7 وتحت 9'!H18</f>
        <v>2.5</v>
      </c>
      <c r="F17" s="97">
        <f>'حكام تحت 7 وتحت 9'!I18</f>
        <v>15</v>
      </c>
      <c r="G17" s="96">
        <f>'حكام تحت 7 وتحت 9'!N18</f>
        <v>7</v>
      </c>
      <c r="H17" s="97">
        <f>'حكام تحت 7 وتحت 9'!O18</f>
        <v>105</v>
      </c>
    </row>
    <row r="18" spans="1:8" ht="14.5">
      <c r="A18" s="95" t="str">
        <f>'حكام تحت 7 وتحت 9'!A19</f>
        <v>مجموعة الدمام</v>
      </c>
      <c r="B18" s="100" t="str" cm="1">
        <f t="array" ref="B18">IF(C18=0,"-",_xlfn.TEXTJOIN("، ",TRUE,IF((Sheet1!$B$2:$B$185=$B$2)*(Sheet1!$C$2:$C$185=$A18),Sheet1!$E$2:$E$185,"")))</f>
        <v>الظهران، الخبر، الدمام، سيهات</v>
      </c>
      <c r="C18" s="96">
        <f>'حكام تحت 7 وتحت 9'!F19</f>
        <v>31</v>
      </c>
      <c r="D18" s="96">
        <f>'حكام تحت 7 وتحت 9'!G19</f>
        <v>12</v>
      </c>
      <c r="E18" s="97">
        <f>'حكام تحت 7 وتحت 9'!H19</f>
        <v>3.5</v>
      </c>
      <c r="F18" s="97">
        <f>'حكام تحت 7 وتحت 9'!I19</f>
        <v>42</v>
      </c>
      <c r="G18" s="96">
        <f>'حكام تحت 7 وتحت 9'!N19</f>
        <v>7</v>
      </c>
      <c r="H18" s="97">
        <f>'حكام تحت 7 وتحت 9'!O19</f>
        <v>294</v>
      </c>
    </row>
    <row r="19" spans="1:8" ht="14.5">
      <c r="A19" s="95" t="str">
        <f>'حكام تحت 7 وتحت 9'!A20</f>
        <v>مجموعة صامطة</v>
      </c>
      <c r="B19" s="100" t="str" cm="1">
        <f t="array" ref="B19">IF(C19=0,"-",_xlfn.TEXTJOIN("، ",TRUE,IF((Sheet1!$B$2:$B$185=$B$2)*(Sheet1!$C$2:$C$185=$A19),Sheet1!$E$2:$E$185,"")))</f>
        <v>صامطة</v>
      </c>
      <c r="C19" s="96">
        <f>'حكام تحت 7 وتحت 9'!F20</f>
        <v>9</v>
      </c>
      <c r="D19" s="96">
        <f>'حكام تحت 7 وتحت 9'!G20</f>
        <v>3</v>
      </c>
      <c r="E19" s="97">
        <f>'حكام تحت 7 وتحت 9'!H20</f>
        <v>2.5</v>
      </c>
      <c r="F19" s="97">
        <f>'حكام تحت 7 وتحت 9'!I20</f>
        <v>7.5</v>
      </c>
      <c r="G19" s="96">
        <f>'حكام تحت 7 وتحت 9'!N20</f>
        <v>6</v>
      </c>
      <c r="H19" s="97">
        <f>'حكام تحت 7 وتحت 9'!O20</f>
        <v>45</v>
      </c>
    </row>
    <row r="20" spans="1:8" ht="14.5">
      <c r="A20" s="95" t="str">
        <f>'حكام تحت 7 وتحت 9'!A21</f>
        <v>مجموعة القنفذة</v>
      </c>
      <c r="B20" s="100" t="str" cm="1">
        <f t="array" ref="B20">IF(C20=0,"-",_xlfn.TEXTJOIN("، ",TRUE,IF((Sheet1!$B$2:$B$185=$B$2)*(Sheet1!$C$2:$C$185=$A20),Sheet1!$E$2:$E$185,"")))</f>
        <v>القنفذة</v>
      </c>
      <c r="C20" s="96">
        <f>'حكام تحت 7 وتحت 9'!F21</f>
        <v>8</v>
      </c>
      <c r="D20" s="96">
        <f>'حكام تحت 7 وتحت 9'!G21</f>
        <v>4</v>
      </c>
      <c r="E20" s="97">
        <f>'حكام تحت 7 وتحت 9'!H21</f>
        <v>1.75</v>
      </c>
      <c r="F20" s="97">
        <f>'حكام تحت 7 وتحت 9'!I21</f>
        <v>7</v>
      </c>
      <c r="G20" s="96">
        <f>'حكام تحت 7 وتحت 9'!N21</f>
        <v>7</v>
      </c>
      <c r="H20" s="97">
        <f>'حكام تحت 7 وتحت 9'!O21</f>
        <v>49</v>
      </c>
    </row>
    <row r="21" spans="1:8" ht="14.5">
      <c r="A21" s="95" t="str">
        <f>'حكام تحت 7 وتحت 9'!A22</f>
        <v>مجموعة المدينة المنورة</v>
      </c>
      <c r="B21" s="100" t="str" cm="1">
        <f t="array" ref="B21">IF(C21=0,"-",_xlfn.TEXTJOIN("، ",TRUE,IF((Sheet1!$B$2:$B$185=$B$2)*(Sheet1!$C$2:$C$185=$A21),Sheet1!$E$2:$E$185,"")))</f>
        <v>المدينة المنورة</v>
      </c>
      <c r="C21" s="96">
        <f>'حكام تحت 7 وتحت 9'!F22</f>
        <v>25</v>
      </c>
      <c r="D21" s="96">
        <f>'حكام تحت 7 وتحت 9'!G22</f>
        <v>11</v>
      </c>
      <c r="E21" s="97">
        <f>'حكام تحت 7 وتحت 9'!H22</f>
        <v>2.5</v>
      </c>
      <c r="F21" s="97">
        <f>'حكام تحت 7 وتحت 9'!I22</f>
        <v>27.5</v>
      </c>
      <c r="G21" s="96">
        <f>'حكام تحت 7 وتحت 9'!N22</f>
        <v>7</v>
      </c>
      <c r="H21" s="97">
        <f>'حكام تحت 7 وتحت 9'!O22</f>
        <v>192.5</v>
      </c>
    </row>
    <row r="22" spans="1:8" ht="14.5">
      <c r="A22" s="95" t="str">
        <f>'حكام تحت 7 وتحت 9'!A23</f>
        <v>مجموعة أبو عريش</v>
      </c>
      <c r="B22" s="100" t="str" cm="1">
        <f t="array" ref="B22">IF(C22=0,"-",_xlfn.TEXTJOIN("، ",TRUE,IF((Sheet1!$B$2:$B$185=$B$2)*(Sheet1!$C$2:$C$185=$A22),Sheet1!$E$2:$E$185,"")))</f>
        <v>أبو عريش</v>
      </c>
      <c r="C22" s="96">
        <f>'حكام تحت 7 وتحت 9'!F23</f>
        <v>10</v>
      </c>
      <c r="D22" s="96">
        <f>'حكام تحت 7 وتحت 9'!G23</f>
        <v>4</v>
      </c>
      <c r="E22" s="97">
        <f>'حكام تحت 7 وتحت 9'!H23</f>
        <v>2.25</v>
      </c>
      <c r="F22" s="97">
        <f>'حكام تحت 7 وتحت 9'!I23</f>
        <v>9</v>
      </c>
      <c r="G22" s="96">
        <f>'حكام تحت 7 وتحت 9'!N23</f>
        <v>7</v>
      </c>
      <c r="H22" s="97">
        <f>'حكام تحت 7 وتحت 9'!O23</f>
        <v>63</v>
      </c>
    </row>
    <row r="23" spans="1:8" ht="14.5">
      <c r="A23" s="95" t="str">
        <f>'حكام تحت 7 وتحت 9'!A24</f>
        <v>مجموعة القصيم</v>
      </c>
      <c r="B23" s="100" t="str" cm="1">
        <f t="array" ref="B23">IF(C23=0,"-",_xlfn.TEXTJOIN("، ",TRUE,IF((Sheet1!$B$2:$B$185=$B$2)*(Sheet1!$C$2:$C$185=$A23),Sheet1!$E$2:$E$185,"")))</f>
        <v>بريدة، عيون الجواء، المذنب، عنيزة</v>
      </c>
      <c r="C23" s="96">
        <f>'حكام تحت 7 وتحت 9'!F24</f>
        <v>14</v>
      </c>
      <c r="D23" s="96">
        <f>'حكام تحت 7 وتحت 9'!G24</f>
        <v>4</v>
      </c>
      <c r="E23" s="97">
        <f>'حكام تحت 7 وتحت 9'!H24</f>
        <v>2.5</v>
      </c>
      <c r="F23" s="97">
        <f>'حكام تحت 7 وتحت 9'!I24</f>
        <v>10</v>
      </c>
      <c r="G23" s="96">
        <f>'حكام تحت 7 وتحت 9'!N24</f>
        <v>6</v>
      </c>
      <c r="H23" s="97">
        <f>'حكام تحت 7 وتحت 9'!O24</f>
        <v>60</v>
      </c>
    </row>
    <row r="24" spans="1:8" ht="14.5">
      <c r="A24" s="95" t="str">
        <f>'حكام تحت 7 وتحت 9'!A25</f>
        <v>مجموعة الطائف</v>
      </c>
      <c r="B24" s="100" t="str" cm="1">
        <f t="array" ref="B24">IF(C24=0,"-",_xlfn.TEXTJOIN("، ",TRUE,IF((Sheet1!$B$2:$B$185=$B$2)*(Sheet1!$C$2:$C$185=$A24),Sheet1!$E$2:$E$185,"")))</f>
        <v>الطائف</v>
      </c>
      <c r="C24" s="96">
        <f>'حكام تحت 7 وتحت 9'!F25</f>
        <v>15</v>
      </c>
      <c r="D24" s="96">
        <f>'حكام تحت 7 وتحت 9'!G25</f>
        <v>6</v>
      </c>
      <c r="E24" s="97">
        <f>'حكام تحت 7 وتحت 9'!H25</f>
        <v>2.5</v>
      </c>
      <c r="F24" s="97">
        <f>'حكام تحت 7 وتحت 9'!I25</f>
        <v>15</v>
      </c>
      <c r="G24" s="96">
        <f>'حكام تحت 7 وتحت 9'!N25</f>
        <v>7</v>
      </c>
      <c r="H24" s="97">
        <f>'حكام تحت 7 وتحت 9'!O25</f>
        <v>105</v>
      </c>
    </row>
    <row r="25" spans="1:8" ht="14.5">
      <c r="A25" s="95" t="str">
        <f>'حكام تحت 7 وتحت 9'!A26</f>
        <v>مجموعة الخفجي</v>
      </c>
      <c r="B25" s="100" t="str" cm="1">
        <f t="array" ref="B25">IF(C25=0,"-",_xlfn.TEXTJOIN("، ",TRUE,IF((Sheet1!$B$2:$B$185=$B$2)*(Sheet1!$C$2:$C$185=$A25),Sheet1!$E$2:$E$185,"")))</f>
        <v>الخفجي</v>
      </c>
      <c r="C25" s="96">
        <f>'حكام تحت 7 وتحت 9'!F26</f>
        <v>14</v>
      </c>
      <c r="D25" s="96">
        <f>'حكام تحت 7 وتحت 9'!G26</f>
        <v>4</v>
      </c>
      <c r="E25" s="97">
        <f>'حكام تحت 7 وتحت 9'!H26</f>
        <v>2.5</v>
      </c>
      <c r="F25" s="97">
        <f>'حكام تحت 7 وتحت 9'!I26</f>
        <v>10</v>
      </c>
      <c r="G25" s="96">
        <f>'حكام تحت 7 وتحت 9'!N26</f>
        <v>6</v>
      </c>
      <c r="H25" s="97">
        <f>'حكام تحت 7 وتحت 9'!O26</f>
        <v>60</v>
      </c>
    </row>
    <row r="26" spans="1:8" ht="14.5">
      <c r="A26" s="95" t="str">
        <f>'حكام تحت 7 وتحت 9'!A27</f>
        <v>مجموعة الأحساء</v>
      </c>
      <c r="B26" s="100" t="str" cm="1">
        <f t="array" ref="B26">IF(C26=0,"-",_xlfn.TEXTJOIN("، ",TRUE,IF((Sheet1!$B$2:$B$185=$B$2)*(Sheet1!$C$2:$C$185=$A26),Sheet1!$E$2:$E$185,"")))</f>
        <v>الأحساء</v>
      </c>
      <c r="C26" s="96">
        <f>'حكام تحت 7 وتحت 9'!F27</f>
        <v>28</v>
      </c>
      <c r="D26" s="96">
        <f>'حكام تحت 7 وتحت 9'!G27</f>
        <v>10</v>
      </c>
      <c r="E26" s="97">
        <f>'حكام تحت 7 وتحت 9'!H27</f>
        <v>2.5</v>
      </c>
      <c r="F26" s="97">
        <f>'حكام تحت 7 وتحت 9'!I27</f>
        <v>25</v>
      </c>
      <c r="G26" s="96">
        <f>'حكام تحت 7 وتحت 9'!N27</f>
        <v>7</v>
      </c>
      <c r="H26" s="97">
        <f>'حكام تحت 7 وتحت 9'!O27</f>
        <v>175</v>
      </c>
    </row>
    <row r="27" spans="1:8" ht="14.5">
      <c r="A27" s="95" t="str">
        <f>'حكام تحت 7 وتحت 9'!A28</f>
        <v>مجموعة صبيا</v>
      </c>
      <c r="B27" s="100" t="str" cm="1">
        <f t="array" ref="B27">IF(C27=0,"-",_xlfn.TEXTJOIN("، ",TRUE,IF((Sheet1!$B$2:$B$185=$B$2)*(Sheet1!$C$2:$C$185=$A27),Sheet1!$E$2:$E$185,"")))</f>
        <v>صبيا، ضمد</v>
      </c>
      <c r="C27" s="96">
        <f>'حكام تحت 7 وتحت 9'!F28</f>
        <v>16</v>
      </c>
      <c r="D27" s="96">
        <f>'حكام تحت 7 وتحت 9'!G28</f>
        <v>8</v>
      </c>
      <c r="E27" s="97">
        <f>'حكام تحت 7 وتحت 9'!H28</f>
        <v>1.75</v>
      </c>
      <c r="F27" s="97">
        <f>'حكام تحت 7 وتحت 9'!I28</f>
        <v>14</v>
      </c>
      <c r="G27" s="96">
        <f>'حكام تحت 7 وتحت 9'!N28</f>
        <v>7</v>
      </c>
      <c r="H27" s="97">
        <f>'حكام تحت 7 وتحت 9'!O28</f>
        <v>98</v>
      </c>
    </row>
    <row r="28" spans="1:8" ht="14.5">
      <c r="A28" s="95" t="str">
        <f>'حكام تحت 7 وتحت 9'!A29</f>
        <v>مجموعة مكة المكرمة</v>
      </c>
      <c r="B28" s="100" t="str" cm="1">
        <f t="array" ref="B28">IF(C28=0,"-",_xlfn.TEXTJOIN("، ",TRUE,IF((Sheet1!$B$2:$B$185=$B$2)*(Sheet1!$C$2:$C$185=$A28),Sheet1!$E$2:$E$185,"")))</f>
        <v>مكة المكرمة، الجموم</v>
      </c>
      <c r="C28" s="96">
        <f>'حكام تحت 7 وتحت 9'!F29</f>
        <v>29</v>
      </c>
      <c r="D28" s="96">
        <f>'حكام تحت 7 وتحت 9'!G29</f>
        <v>11</v>
      </c>
      <c r="E28" s="97">
        <f>'حكام تحت 7 وتحت 9'!H29</f>
        <v>2.5</v>
      </c>
      <c r="F28" s="97">
        <f>'حكام تحت 7 وتحت 9'!I29</f>
        <v>27.5</v>
      </c>
      <c r="G28" s="96">
        <f>'حكام تحت 7 وتحت 9'!N29</f>
        <v>7</v>
      </c>
      <c r="H28" s="97">
        <f>'حكام تحت 7 وتحت 9'!O29</f>
        <v>192.5</v>
      </c>
    </row>
    <row r="29" spans="1:8" ht="14.5">
      <c r="A29" s="95" t="str">
        <f>'حكام تحت 7 وتحت 9'!A30</f>
        <v>مجموعة حفر الباطن</v>
      </c>
      <c r="B29" s="100" t="str" cm="1">
        <f t="array" ref="B29">IF(C29=0,"-",_xlfn.TEXTJOIN("، ",TRUE,IF((Sheet1!$B$2:$B$185=$B$2)*(Sheet1!$C$2:$C$185=$A29),Sheet1!$E$2:$E$185,"")))</f>
        <v>حفر الباطن</v>
      </c>
      <c r="C29" s="96">
        <f>'حكام تحت 7 وتحت 9'!F30</f>
        <v>19</v>
      </c>
      <c r="D29" s="96">
        <f>'حكام تحت 7 وتحت 9'!G30</f>
        <v>7</v>
      </c>
      <c r="E29" s="97">
        <f>'حكام تحت 7 وتحت 9'!H30</f>
        <v>2.5</v>
      </c>
      <c r="F29" s="97">
        <f>'حكام تحت 7 وتحت 9'!I30</f>
        <v>17.5</v>
      </c>
      <c r="G29" s="96">
        <f>'حكام تحت 7 وتحت 9'!N30</f>
        <v>7</v>
      </c>
      <c r="H29" s="97">
        <f>'حكام تحت 7 وتحت 9'!O30</f>
        <v>122.5</v>
      </c>
    </row>
    <row r="30" spans="1:8" ht="14.5">
      <c r="A30" s="95" t="str">
        <f>'حكام تحت 7 وتحت 9'!A31</f>
        <v>مجموعة الرياض</v>
      </c>
      <c r="B30" s="100" t="str" cm="1">
        <f t="array" ref="B30">IF(C30=0,"-",_xlfn.TEXTJOIN("، ",TRUE,IF((Sheet1!$B$2:$B$185=$B$2)*(Sheet1!$C$2:$C$185=$A30),Sheet1!$E$2:$E$185,"")))</f>
        <v>الرياض</v>
      </c>
      <c r="C30" s="96">
        <f>'حكام تحت 7 وتحت 9'!F31</f>
        <v>40</v>
      </c>
      <c r="D30" s="96">
        <f>'حكام تحت 7 وتحت 9'!G31</f>
        <v>16</v>
      </c>
      <c r="E30" s="97">
        <f>'حكام تحت 7 وتحت 9'!H31</f>
        <v>2.25</v>
      </c>
      <c r="F30" s="97">
        <f>'حكام تحت 7 وتحت 9'!I31</f>
        <v>36</v>
      </c>
      <c r="G30" s="96">
        <f>'حكام تحت 7 وتحت 9'!N31</f>
        <v>7</v>
      </c>
      <c r="H30" s="97">
        <f>'حكام تحت 7 وتحت 9'!O31</f>
        <v>252</v>
      </c>
    </row>
    <row r="31" spans="1:8" ht="14.5">
      <c r="A31" s="95" t="str">
        <f>'حكام تحت 7 وتحت 9'!A32</f>
        <v>مجموعة جدة</v>
      </c>
      <c r="B31" s="100" t="str" cm="1">
        <f t="array" ref="B31">IF(C31=0,"-",_xlfn.TEXTJOIN("، ",TRUE,IF((Sheet1!$B$2:$B$185=$B$2)*(Sheet1!$C$2:$C$185=$A31),Sheet1!$E$2:$E$185,"")))</f>
        <v>جدة</v>
      </c>
      <c r="C31" s="96">
        <f>'حكام تحت 7 وتحت 9'!F32</f>
        <v>49</v>
      </c>
      <c r="D31" s="96">
        <f>'حكام تحت 7 وتحت 9'!G32</f>
        <v>16</v>
      </c>
      <c r="E31" s="97">
        <f>'حكام تحت 7 وتحت 9'!H32</f>
        <v>2.25</v>
      </c>
      <c r="F31" s="97">
        <f>'حكام تحت 7 وتحت 9'!I32</f>
        <v>36</v>
      </c>
      <c r="G31" s="96">
        <f>'حكام تحت 7 وتحت 9'!N32</f>
        <v>6</v>
      </c>
      <c r="H31" s="97">
        <f>'حكام تحت 7 وتحت 9'!O32</f>
        <v>216</v>
      </c>
    </row>
    <row r="32" spans="1:8" ht="14.5">
      <c r="A32" s="85" t="s">
        <v>644</v>
      </c>
      <c r="B32" s="85"/>
      <c r="C32" s="98">
        <f>SUM(C4:C31)</f>
        <v>428</v>
      </c>
      <c r="D32" s="98">
        <f>SUM(D4:D31)</f>
        <v>161</v>
      </c>
      <c r="E32" s="99"/>
      <c r="F32" s="99">
        <f>SUM(F4:F31)</f>
        <v>396</v>
      </c>
      <c r="G32" s="98"/>
      <c r="H32" s="99">
        <f>SUM(H4:H31)</f>
        <v>2676</v>
      </c>
    </row>
    <row r="33" spans="1:8" ht="14.5">
      <c r="A33" s="76"/>
      <c r="B33" s="76"/>
      <c r="C33" s="76"/>
      <c r="D33" s="76"/>
      <c r="E33" s="76"/>
      <c r="F33" s="76"/>
      <c r="G33" s="76"/>
      <c r="H33" s="76"/>
    </row>
    <row r="34" spans="1:8" ht="14.5">
      <c r="A34" s="77" t="s">
        <v>679</v>
      </c>
      <c r="B34" s="77"/>
      <c r="C34" s="76"/>
      <c r="D34" s="76"/>
      <c r="E34" s="76"/>
      <c r="F34" s="76"/>
      <c r="G34" s="76"/>
      <c r="H34" s="76"/>
    </row>
    <row r="35" spans="1:8" ht="14.5">
      <c r="A35" s="76" t="s">
        <v>718</v>
      </c>
      <c r="B35" s="76"/>
      <c r="C35" s="76"/>
      <c r="D35" s="76"/>
      <c r="E35" s="76"/>
      <c r="F35" s="76"/>
      <c r="G35" s="76"/>
      <c r="H35" s="76"/>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BC82852503AF4EAB2EF5018DE9DEC7" ma:contentTypeVersion="16" ma:contentTypeDescription="Create a new document." ma:contentTypeScope="" ma:versionID="eab508c9951ee695015998ff06a21af9">
  <xsd:schema xmlns:xsd="http://www.w3.org/2001/XMLSchema" xmlns:xs="http://www.w3.org/2001/XMLSchema" xmlns:p="http://schemas.microsoft.com/office/2006/metadata/properties" xmlns:ns2="892e9dcf-b510-48d2-a32f-1ed59fe9f3eb" xmlns:ns3="16be648b-369d-4545-b3ec-980ea45f5768" targetNamespace="http://schemas.microsoft.com/office/2006/metadata/properties" ma:root="true" ma:fieldsID="73c3eb72b85b8edb3d3b90476ca60681" ns2:_="" ns3:_="">
    <xsd:import namespace="892e9dcf-b510-48d2-a32f-1ed59fe9f3eb"/>
    <xsd:import namespace="16be648b-369d-4545-b3ec-980ea45f57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e9dcf-b510-48d2-a32f-1ed59fe9f3eb"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SearchProperties" ma:index="7" nillable="true" ma:displayName="MediaServiceSearchProperties" ma:hidden="true" ma:internalName="MediaServiceSearchProperties" ma:readOnly="true">
      <xsd:simpleType>
        <xsd:restriction base="dms:Note"/>
      </xsd:simpleType>
    </xsd:element>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9a84c0e-7c84-4ab2-b13f-ac9038868f2e" ma:termSetId="09814cd3-568e-fe90-9814-8d621ff8fb84" ma:anchorId="fba54fb3-c3e1-fe81-a776-ca4b69148c4d" ma:open="true" ma:isKeyword="false">
      <xsd:complexType>
        <xsd:sequence>
          <xsd:element ref="pc:Terms" minOccurs="0" maxOccurs="1"/>
        </xsd:sequence>
      </xsd:complex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MediaLengthInSeconds" ma:index="1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be648b-369d-4545-b3ec-980ea45f576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7a77de0-3755-4ac5-a23f-87046020bd02}" ma:internalName="TaxCatchAll" ma:showField="CatchAllData" ma:web="16be648b-369d-4545-b3ec-980ea45f5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be648b-369d-4545-b3ec-980ea45f5768" xsi:nil="true"/>
    <lcf76f155ced4ddcb4097134ff3c332f xmlns="892e9dcf-b510-48d2-a32f-1ed59fe9f3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99A14B-3C47-4B91-82ED-634AB61892CD}">
  <ds:schemaRefs>
    <ds:schemaRef ds:uri="http://schemas.microsoft.com/sharepoint/v3/contenttype/forms"/>
  </ds:schemaRefs>
</ds:datastoreItem>
</file>

<file path=customXml/itemProps2.xml><?xml version="1.0" encoding="utf-8"?>
<ds:datastoreItem xmlns:ds="http://schemas.openxmlformats.org/officeDocument/2006/customXml" ds:itemID="{FA322ECD-0E4D-414E-A45D-A46CD99FFD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2e9dcf-b510-48d2-a32f-1ed59fe9f3eb"/>
    <ds:schemaRef ds:uri="16be648b-369d-4545-b3ec-980ea45f5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2B2209-BE81-4C80-839B-8D9B91D17E0C}">
  <ds:schemaRefs>
    <ds:schemaRef ds:uri="http://schemas.microsoft.com/office/2006/metadata/properties"/>
    <ds:schemaRef ds:uri="http://schemas.microsoft.com/office/infopath/2007/PartnerControls"/>
    <ds:schemaRef ds:uri="16be648b-369d-4545-b3ec-980ea45f5768"/>
    <ds:schemaRef ds:uri="892e9dcf-b510-48d2-a32f-1ed59fe9f3e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12 فريقًا</vt:lpstr>
      <vt:lpstr>Sheet1</vt:lpstr>
      <vt:lpstr>المدخلات</vt:lpstr>
      <vt:lpstr>المبادئ</vt:lpstr>
      <vt:lpstr>ملخص البطولات</vt:lpstr>
      <vt:lpstr>5 فرق</vt:lpstr>
      <vt:lpstr>6 فرق</vt:lpstr>
      <vt:lpstr>7 فرق</vt:lpstr>
      <vt:lpstr>8 فرق</vt:lpstr>
      <vt:lpstr>9 فرق</vt:lpstr>
      <vt:lpstr>10 فرق</vt:lpstr>
      <vt:lpstr>11 فريق</vt:lpstr>
      <vt:lpstr>12 فريق</vt:lpstr>
      <vt:lpstr>13 فريق</vt:lpstr>
      <vt:lpstr>14 فريق</vt:lpstr>
      <vt:lpstr>15 فريق</vt:lpstr>
      <vt:lpstr>16 فريق</vt:lpstr>
      <vt:lpstr>17 فريق</vt:lpstr>
      <vt:lpstr>18 فريق</vt:lpstr>
      <vt:lpstr>19 فريق</vt:lpstr>
      <vt:lpstr>21 فريق</vt:lpstr>
      <vt:lpstr>25 فريق</vt:lpstr>
      <vt:lpstr>28 فريق</vt:lpstr>
      <vt:lpstr>29 فريق</vt:lpstr>
      <vt:lpstr>30 فريق</vt:lpstr>
      <vt:lpstr>31 فريق</vt:lpstr>
      <vt:lpstr>40 فريق</vt:lpstr>
      <vt:lpstr>49 فريق</vt:lpstr>
      <vt:lpstr>حساب الملاعب</vt:lpstr>
      <vt:lpstr>ملاعب تحت 7 وتحت 9</vt:lpstr>
      <vt:lpstr>الحكام حسب عدد الفرق</vt:lpstr>
      <vt:lpstr>حكام تحت 7 وتحت 9</vt:lpstr>
      <vt:lpstr>الحكام – تحت 7</vt:lpstr>
      <vt:lpstr>الحكام – تحت 9</vt:lpstr>
      <vt:lpstr>حكام المدن – تحت 7</vt:lpstr>
      <vt:lpstr>حكام المدن – تحت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Alnajjar</cp:lastModifiedBy>
  <dcterms:modified xsi:type="dcterms:W3CDTF">2026-09-30T11:28:59Z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0x010100AFBC82852503AF4EAB2EF5018DE9DEC7</vt:lpwstr>
  </property>
  <property fmtid="{D5CDD505-2E9C-101B-9397-08002B2CF9AE}" pid="3" name="MediaServiceImageTags">
    <vt:lpwstr/>
  </property>
</Properties>
</file>